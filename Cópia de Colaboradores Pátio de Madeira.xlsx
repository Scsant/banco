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Logistica_Florestal\EQUIPE\Sócrates Luis dos Santos\Banco de dados VP\"/>
    </mc:Choice>
  </mc:AlternateContent>
  <xr:revisionPtr revIDLastSave="0" documentId="8_{47244B15-22DB-475C-BB75-2E2C131A9E1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BD" sheetId="1" r:id="rId1"/>
    <sheet name="ESCALA 2025" sheetId="8" r:id="rId2"/>
    <sheet name="Planilha2" sheetId="5" r:id="rId3"/>
    <sheet name="Turnos" sheetId="2" r:id="rId4"/>
    <sheet name="Afastamentos" sheetId="6" r:id="rId5"/>
    <sheet name="Cartilha OS" sheetId="3" state="hidden" r:id="rId6"/>
  </sheets>
  <definedNames>
    <definedName name="_xlnm._FilterDatabase" localSheetId="0" hidden="1">BD!$B$1:$H$145</definedName>
    <definedName name="_xlnm._FilterDatabase" localSheetId="5" hidden="1">'Cartilha OS'!$A$1:$I$164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3" l="1"/>
  <c r="H17" i="3"/>
  <c r="H18" i="3"/>
  <c r="H19" i="3"/>
  <c r="H20" i="3"/>
  <c r="H21" i="3"/>
  <c r="H22" i="3"/>
  <c r="H23" i="3"/>
  <c r="H3" i="3" l="1"/>
  <c r="H4" i="3"/>
  <c r="H5" i="3"/>
  <c r="H6" i="3"/>
  <c r="H7" i="3"/>
  <c r="H8" i="3"/>
  <c r="H9" i="3"/>
  <c r="H10" i="3"/>
  <c r="H11" i="3"/>
  <c r="H12" i="3"/>
  <c r="H13" i="3"/>
  <c r="H14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8" i="3"/>
  <c r="H59" i="3"/>
  <c r="H60" i="3"/>
  <c r="H61" i="3"/>
  <c r="H62" i="3"/>
  <c r="H63" i="3"/>
  <c r="H64" i="3"/>
  <c r="H65" i="3"/>
  <c r="H66" i="3"/>
  <c r="H67" i="3"/>
  <c r="H68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7" i="3"/>
  <c r="H118" i="3"/>
  <c r="H119" i="3"/>
  <c r="H120" i="3"/>
  <c r="H121" i="3"/>
  <c r="H123" i="3"/>
  <c r="H124" i="3"/>
  <c r="H125" i="3"/>
  <c r="H126" i="3"/>
  <c r="H127" i="3"/>
  <c r="H128" i="3"/>
  <c r="H129" i="3"/>
  <c r="H131" i="3"/>
  <c r="H132" i="3"/>
  <c r="H133" i="3"/>
  <c r="H134" i="3"/>
  <c r="H135" i="3"/>
  <c r="H136" i="3"/>
  <c r="H137" i="3"/>
  <c r="H138" i="3"/>
  <c r="H139" i="3"/>
  <c r="H141" i="3"/>
  <c r="H142" i="3"/>
  <c r="H143" i="3"/>
  <c r="H144" i="3"/>
  <c r="H145" i="3"/>
  <c r="H146" i="3"/>
  <c r="H148" i="3"/>
  <c r="H149" i="3"/>
  <c r="H150" i="3"/>
  <c r="H152" i="3"/>
  <c r="H153" i="3"/>
  <c r="H154" i="3"/>
  <c r="H156" i="3"/>
  <c r="H157" i="3"/>
  <c r="H158" i="3"/>
  <c r="H159" i="3"/>
  <c r="H160" i="3"/>
  <c r="H161" i="3"/>
  <c r="H162" i="3"/>
  <c r="H163" i="3"/>
  <c r="H164" i="3"/>
  <c r="H2" i="3"/>
</calcChain>
</file>

<file path=xl/sharedStrings.xml><?xml version="1.0" encoding="utf-8"?>
<sst xmlns="http://schemas.openxmlformats.org/spreadsheetml/2006/main" count="4760" uniqueCount="777">
  <si>
    <t>MATRÍCULA</t>
  </si>
  <si>
    <t>NOME</t>
  </si>
  <si>
    <t>FUNÇÃO</t>
  </si>
  <si>
    <t xml:space="preserve">Assistente de recebimento </t>
  </si>
  <si>
    <t xml:space="preserve">Motorista de baldeio </t>
  </si>
  <si>
    <t>Técnico</t>
  </si>
  <si>
    <t>A</t>
  </si>
  <si>
    <t>VAGNER DONIZETE LUCIANO</t>
  </si>
  <si>
    <t>DIEGO APARECIDO DE ASSIS</t>
  </si>
  <si>
    <t>OTAVIO LUIS ALVES SALVADOR</t>
  </si>
  <si>
    <t>PEDRO HERCULANO DE ASSIS FILHO</t>
  </si>
  <si>
    <t>JESSICA PEREIRA DA SILVA</t>
  </si>
  <si>
    <t>WAGNER GABRIEL RICO</t>
  </si>
  <si>
    <t>PAULO CESAR MARQUES</t>
  </si>
  <si>
    <t>FLAVIO APARECIDO SBARAGLINI</t>
  </si>
  <si>
    <t>JOSE ANTONIO RIBEIRO</t>
  </si>
  <si>
    <t>MARCIO OLIVER</t>
  </si>
  <si>
    <t>CESAR HENRIQUE RODRIGUES</t>
  </si>
  <si>
    <t>CRISTIANO EUZEBIO MOREIRA</t>
  </si>
  <si>
    <t>ROBERTO CARLOS CAMILO</t>
  </si>
  <si>
    <t>JONAS DA SILVA</t>
  </si>
  <si>
    <t>CRISTIANE EMIDIO ELIAS</t>
  </si>
  <si>
    <t>ALISON PASQUALINOTTI</t>
  </si>
  <si>
    <t>FLAVIO HENRIQUE RODRIGUES</t>
  </si>
  <si>
    <t>MARCOS BONALUME FILHO</t>
  </si>
  <si>
    <t>HERNANI APARECIDO STOPPA</t>
  </si>
  <si>
    <t>JOAO VITOR RUIZ FRANCO</t>
  </si>
  <si>
    <t>OTAVIO PENTEADO DE CAMPOS</t>
  </si>
  <si>
    <t>GRAZIELA APARECIDA DA SILVA</t>
  </si>
  <si>
    <t>WESLEY HENRIQUE LOPES</t>
  </si>
  <si>
    <t>DIEGO DIAS DA SILVA</t>
  </si>
  <si>
    <t>ADRIANO RODRIGO DE OLIVEIRA</t>
  </si>
  <si>
    <t>REINALDO APARECIDO PIOTTO</t>
  </si>
  <si>
    <t>GLEISON CARLOS DE ARAUJO CARVALHO</t>
  </si>
  <si>
    <t>EMERSON APARECIDO NUNES</t>
  </si>
  <si>
    <t>MARCOS FERNANDO RAPHAEL</t>
  </si>
  <si>
    <t>ERICH HENRIQUE CARDOSO ROBERTO</t>
  </si>
  <si>
    <t>EDIMILSON RAMOS DOS SANTOS</t>
  </si>
  <si>
    <t>ADRIANO VALERIO</t>
  </si>
  <si>
    <t>NELSON CAMPESATO</t>
  </si>
  <si>
    <t>MATEUS HENRIQUE GOMES</t>
  </si>
  <si>
    <t>LEANDRO LEME DE OLIVEIRA</t>
  </si>
  <si>
    <t>MARCOS MACIEL SALAU</t>
  </si>
  <si>
    <t>VANESSA DE SOUZA NOGUEIRA</t>
  </si>
  <si>
    <t>EVANDRO DA SILVA ANASTACIO</t>
  </si>
  <si>
    <t>ADEMIR MOREIRA JUNIOR</t>
  </si>
  <si>
    <t>CLAUDEMIR CADASTRO EIRAS</t>
  </si>
  <si>
    <t>SIDNEI ALVES DE SOUZA</t>
  </si>
  <si>
    <t>VALTER NUNES</t>
  </si>
  <si>
    <t>PAULO HENRIQUE DE OLIVEIRA</t>
  </si>
  <si>
    <t>JOSE ALEXANDRE MONZANI</t>
  </si>
  <si>
    <t>RODRIGO MARCELINO DOS SANTOS SILVA</t>
  </si>
  <si>
    <t>AGUINALDO URIVES SCUSSEL</t>
  </si>
  <si>
    <t>ANTONIO APARECIDO DE BRITO</t>
  </si>
  <si>
    <t>AMARILDO ALVES FERRAZ</t>
  </si>
  <si>
    <t>LUCAS BARBOSA</t>
  </si>
  <si>
    <t>MATHEUS NILTON DUTRA</t>
  </si>
  <si>
    <t>EVERTON APARECIDO DA SILVA</t>
  </si>
  <si>
    <t>GABRIEL DE OLIVEIRA</t>
  </si>
  <si>
    <t>BEATRIZ FRANCISCA GOMES</t>
  </si>
  <si>
    <t>LUIZ CARLOS FELIX FILHO</t>
  </si>
  <si>
    <t>ELAINE CRISTINA TOMAZ</t>
  </si>
  <si>
    <t>TIAGO MAICON REZENDE DA SILVA</t>
  </si>
  <si>
    <t>FLAVIO CARDOSO DA SILVA</t>
  </si>
  <si>
    <t>IRANI FERREIRA MARCIANO</t>
  </si>
  <si>
    <t>CLEBER LEONARDO RODRIGUES</t>
  </si>
  <si>
    <t>CESAR GILIOLI</t>
  </si>
  <si>
    <t>JOICE PEREIRA DE GODOY</t>
  </si>
  <si>
    <t>JULIANO ROBERTO DEMAI</t>
  </si>
  <si>
    <t>JULIO CESAR RODRIGUES DE LIMA</t>
  </si>
  <si>
    <t>RICARDO DE OLIVEIRA</t>
  </si>
  <si>
    <t>ALAILSON PEREIRA</t>
  </si>
  <si>
    <t>JOAQUIM DOURADO DA SILVA</t>
  </si>
  <si>
    <t>MARIA ANTONIA DE CASTRO DINIZ</t>
  </si>
  <si>
    <t>SIDNEI VIEIRA</t>
  </si>
  <si>
    <t>RODRIGO CORREIA</t>
  </si>
  <si>
    <t>MARCOS ROBERTO PEREIRA</t>
  </si>
  <si>
    <t>PAULO FERNANDES DE MELO</t>
  </si>
  <si>
    <t>WILLIAN CESAR DE OLIVEIRA</t>
  </si>
  <si>
    <t>LEANDRO ZACARIAS DOS SANTOS</t>
  </si>
  <si>
    <t>LUIS PAULO APARECIDO RIBEIRO</t>
  </si>
  <si>
    <t>EDVANIO LIMA BEZERRA</t>
  </si>
  <si>
    <t>PAULO CESAR VICENTE</t>
  </si>
  <si>
    <t>JOSEFA ALINE ANDRADE DOS SANTOS MENDES</t>
  </si>
  <si>
    <t>ELAINE CRISTINA AMARAL DA SILVA</t>
  </si>
  <si>
    <t>LUCILENE MARIA VIEIRA ALVES</t>
  </si>
  <si>
    <t>LUIS ANTONIO DA SILVA</t>
  </si>
  <si>
    <t>MARCELO ROMANO DA SILVA</t>
  </si>
  <si>
    <t>GIOVANNI AROCA</t>
  </si>
  <si>
    <t>JULIANA BATISTA BISPO</t>
  </si>
  <si>
    <t>ROGERIO DOS SANTOS ARAUJO</t>
  </si>
  <si>
    <t>B</t>
  </si>
  <si>
    <t>C</t>
  </si>
  <si>
    <t>D</t>
  </si>
  <si>
    <t>E</t>
  </si>
  <si>
    <t>Assistente de recebimento (FERISTA)</t>
  </si>
  <si>
    <t>JOSE JUNIOR ROCHA</t>
  </si>
  <si>
    <t>THIAGO AUGUSTO BATISTELA PIETRO SANCHES</t>
  </si>
  <si>
    <t>BIANCA ARAUJO CANDIDO</t>
  </si>
  <si>
    <t>CAMILA LEITE SANTOS</t>
  </si>
  <si>
    <t>MATTHEWS VERGILIO GOMES DE MEDEIROS</t>
  </si>
  <si>
    <t>ADALTO AUGUSTO DOS SANTOS</t>
  </si>
  <si>
    <t>CLAUDINEI HENRIQUE PASQUALINOTTO</t>
  </si>
  <si>
    <t>JOSE LUIS COLTRE</t>
  </si>
  <si>
    <t>AZENILDO DE LIMA</t>
  </si>
  <si>
    <t>NATANAEL CILLI ALVES</t>
  </si>
  <si>
    <t>CRISTIANO JOSE FIQUES</t>
  </si>
  <si>
    <t>GABRIEL CRISTIANO TAMBORIM</t>
  </si>
  <si>
    <t>CLAUDEMIR APARECIDO VIEIRA RIBEIRO</t>
  </si>
  <si>
    <t>EMERSON JOSE LOPES DA SILVA</t>
  </si>
  <si>
    <t>ALEX FIDELES DA LUZ</t>
  </si>
  <si>
    <t>CLEITON PATEZ DE CARVALHO</t>
  </si>
  <si>
    <t>GISELE LOURENCO GOMES</t>
  </si>
  <si>
    <t>RENAN WILLIAM DE ALMEIDA</t>
  </si>
  <si>
    <t>DEUSIVAN DO NASCIMENTO SOUSA</t>
  </si>
  <si>
    <t>JHONATAN MOREIRA CUNHA</t>
  </si>
  <si>
    <t>PAULO SERGIO TOMAZ DE AQUINO</t>
  </si>
  <si>
    <t>JEAN CARLOS BERNARDES NUNES</t>
  </si>
  <si>
    <t>PAULO ROBERTO LEME DE LIMA</t>
  </si>
  <si>
    <t>JOSE CARLOS PUERTA</t>
  </si>
  <si>
    <t>GLEDISON ALVES DE ALMEIDA</t>
  </si>
  <si>
    <t>FABIANO CORREA DAMASCENO</t>
  </si>
  <si>
    <t>MARCIO APARECIDO BERNARDES</t>
  </si>
  <si>
    <t>LUCIO CARDOSO NUNES</t>
  </si>
  <si>
    <t>AGUINALDO FERRAZ DA SILVA</t>
  </si>
  <si>
    <t>MARCELO DA SILVA SOUSA</t>
  </si>
  <si>
    <t>EDMILSON DE JESUS DA SILVA</t>
  </si>
  <si>
    <t>CARLOS EDUARDO MONTEIRO BARROSO</t>
  </si>
  <si>
    <t>JULIANO JOSE DE FREITAS</t>
  </si>
  <si>
    <t>MARINA FAVERO MENDES</t>
  </si>
  <si>
    <t>JOSE ANTONIO SILVA BRITO</t>
  </si>
  <si>
    <t>OSVALDO ZACHARIAS</t>
  </si>
  <si>
    <t>JOHN LENNON DUTRA DA SILVA</t>
  </si>
  <si>
    <t>JOSE WAGNER RODRIGUES</t>
  </si>
  <si>
    <t>EZEQUIEL FERREIRA DA SILVA</t>
  </si>
  <si>
    <t>JAQUELINE PEREIRA LIMA</t>
  </si>
  <si>
    <t>GIOVANA LUCIA DE LIMA</t>
  </si>
  <si>
    <t>JOAO HENRIQUE GIORGETTI</t>
  </si>
  <si>
    <t>Operador de grua</t>
  </si>
  <si>
    <t>WELLYTON SANTOS DE SOUZA</t>
  </si>
  <si>
    <t>MARCOS LOURENCO DA SILVA</t>
  </si>
  <si>
    <t>LUIS ANTONIO AVELINO</t>
  </si>
  <si>
    <t>ALESSANDRA SILVA DE CARVALHO</t>
  </si>
  <si>
    <t>ELTON ALESSANDRO DE OLIVEIRA</t>
  </si>
  <si>
    <t>ROSANGELA BERNARDES SILVA</t>
  </si>
  <si>
    <t>ADRIANO CAETANO INACIO</t>
  </si>
  <si>
    <t>JOSE LAURINDO CORREA DA SILVA SANTOS</t>
  </si>
  <si>
    <t>ARTHUR FERREIRA</t>
  </si>
  <si>
    <t>OTAVIO NANTES DE ALMEIDA</t>
  </si>
  <si>
    <t>JOSE CARLOS DOS SANTOS JUNIOR</t>
  </si>
  <si>
    <t>ROGERIO CARLOS CORREA</t>
  </si>
  <si>
    <t>ANDRE FELIPE DE MATTOS</t>
  </si>
  <si>
    <t>STANLEY PRESSA CHAYEN</t>
  </si>
  <si>
    <t>NILTON CESAR JURADO</t>
  </si>
  <si>
    <t>INACIO EDUARDO BENTO FILETO</t>
  </si>
  <si>
    <t>LAURA CAROLINE CAMPOS</t>
  </si>
  <si>
    <t>ANA CAROLINA PINTO</t>
  </si>
  <si>
    <t>VALDINEI JOSE BISPO</t>
  </si>
  <si>
    <t>JOSE MANOEL BERNARDO</t>
  </si>
  <si>
    <t>THAMIRYS DA SILVA BESERRA</t>
  </si>
  <si>
    <t>DATA DE ADMISSÃO</t>
  </si>
  <si>
    <t xml:space="preserve">GUILHERME SINICIO DE BARROS </t>
  </si>
  <si>
    <t>Supervisor operações</t>
  </si>
  <si>
    <t xml:space="preserve">FABIO DE OLIVEIRA MARCIANO </t>
  </si>
  <si>
    <t>LUIZ FELIPE BISPO</t>
  </si>
  <si>
    <t xml:space="preserve">Analista de informações florestais </t>
  </si>
  <si>
    <t>MARIA VITORIA BOATO GONCALVES</t>
  </si>
  <si>
    <t xml:space="preserve">Jovem aprendiz </t>
  </si>
  <si>
    <t>ADM</t>
  </si>
  <si>
    <t xml:space="preserve">ADM </t>
  </si>
  <si>
    <t>EDER DA SILVA RAMOS</t>
  </si>
  <si>
    <t>Coordenador do pátio de madeira</t>
  </si>
  <si>
    <t xml:space="preserve">Supervisor de turno </t>
  </si>
  <si>
    <t>-</t>
  </si>
  <si>
    <t>N</t>
  </si>
  <si>
    <t>ELIANA PEREIRA COTRINHO</t>
  </si>
  <si>
    <t>TELEFONE</t>
  </si>
  <si>
    <t>KAIO GABRIEL BUENO</t>
  </si>
  <si>
    <t>(14) 9 9900-2005</t>
  </si>
  <si>
    <t>(92) 9 9452-8948</t>
  </si>
  <si>
    <t>(42) 9 9131-1291</t>
  </si>
  <si>
    <t>(34) 9 9251-0328</t>
  </si>
  <si>
    <t>(14) 9 9879-2105</t>
  </si>
  <si>
    <t>(14) 9 9734-9182</t>
  </si>
  <si>
    <t>(14) 9 9852-4650</t>
  </si>
  <si>
    <t>(14) 9 9710-5287</t>
  </si>
  <si>
    <t>(14) 9 9833-1792</t>
  </si>
  <si>
    <t>(14) 9 9764-5464</t>
  </si>
  <si>
    <t>(14) 9 9662-1597</t>
  </si>
  <si>
    <t>(14) 9 9131-1118</t>
  </si>
  <si>
    <t>(14) 9 9697-8015</t>
  </si>
  <si>
    <t>(14) 9 9619-1155</t>
  </si>
  <si>
    <t>(14) 9 9801-5475</t>
  </si>
  <si>
    <t>(14) 9 9816-8086</t>
  </si>
  <si>
    <t>(14) 9 9883-7471</t>
  </si>
  <si>
    <t>(14) 9 9703-8902</t>
  </si>
  <si>
    <t>(14) 9 8817-4123</t>
  </si>
  <si>
    <t>(14) 9 9778-5864</t>
  </si>
  <si>
    <t>(14) 9 9805-6482</t>
  </si>
  <si>
    <t>(14) 9 9652-0045</t>
  </si>
  <si>
    <t>(14) 9 9744-0122</t>
  </si>
  <si>
    <t>(14) 9 9140-7222</t>
  </si>
  <si>
    <t>(14) 9 9802-6040</t>
  </si>
  <si>
    <t>(14) 9 9889-1908</t>
  </si>
  <si>
    <t>(14) 9 9868-4362</t>
  </si>
  <si>
    <t>(14) 9 9770-7392</t>
  </si>
  <si>
    <t>(14) 9 9733-3523</t>
  </si>
  <si>
    <t>(14) 9 9675-9363</t>
  </si>
  <si>
    <t>(35) 9897-5707</t>
  </si>
  <si>
    <t>(27) 9 9604-7137</t>
  </si>
  <si>
    <t>(14) 9 9109-9501</t>
  </si>
  <si>
    <t>(14) 9 9195-4828</t>
  </si>
  <si>
    <t>(14) 9 9787-3525</t>
  </si>
  <si>
    <t>(14) 9 9825-1221</t>
  </si>
  <si>
    <t>(14) 9 9658-2839</t>
  </si>
  <si>
    <t>(14) 9 9819-0874</t>
  </si>
  <si>
    <t>(14) 9 9815-0205</t>
  </si>
  <si>
    <t>(14) 9 9805-1180</t>
  </si>
  <si>
    <t>(14) 9 9694-3917</t>
  </si>
  <si>
    <t>(14) 9 8140-4767</t>
  </si>
  <si>
    <t>(27) 9 9793-0821</t>
  </si>
  <si>
    <t>(14) 9 9605-5975</t>
  </si>
  <si>
    <t>(14) 9 9642-6624</t>
  </si>
  <si>
    <t>(14) 9 9649-4358</t>
  </si>
  <si>
    <t>(14) 9 9888-1506</t>
  </si>
  <si>
    <t>(14) 9 9172-8400</t>
  </si>
  <si>
    <t>(14) 9 8801-7906</t>
  </si>
  <si>
    <t>(14) 9 9723-6744</t>
  </si>
  <si>
    <t>(14) 9 9801-5039</t>
  </si>
  <si>
    <t>(14) 9 9681-2986</t>
  </si>
  <si>
    <t>(14) 9 8149-7727</t>
  </si>
  <si>
    <t>(14) 9 9714-4896</t>
  </si>
  <si>
    <t>(14) 9 9748-0405</t>
  </si>
  <si>
    <t>(14) 9 9897-9822</t>
  </si>
  <si>
    <t>(14) 9 9839-9917</t>
  </si>
  <si>
    <t>(14) 9 9630-0046</t>
  </si>
  <si>
    <t>(15) 9 9688-1348</t>
  </si>
  <si>
    <t>(14) 9 9850-0404</t>
  </si>
  <si>
    <t>(14) 9 9903-0973</t>
  </si>
  <si>
    <t>(14) 9 8816-3571</t>
  </si>
  <si>
    <t>(14) 9 9712-8736</t>
  </si>
  <si>
    <t>(14) 9 9701-6854</t>
  </si>
  <si>
    <t>(67) 9667-1185</t>
  </si>
  <si>
    <t>(14) 9 9649-1134</t>
  </si>
  <si>
    <t>REGIANE DE MORAES CARVALHO SILVA</t>
  </si>
  <si>
    <t>RODRIGO JOSÉ ANTUNES</t>
  </si>
  <si>
    <t>VALDIR APARECIDO DOS SANTOS</t>
  </si>
  <si>
    <t>MUDANÇA DE ÁREA</t>
  </si>
  <si>
    <t>NOVA ÁREA</t>
  </si>
  <si>
    <t>PREPARO DE CAVACOS</t>
  </si>
  <si>
    <t>FERISTA</t>
  </si>
  <si>
    <t>AMBULATÓRIO</t>
  </si>
  <si>
    <t>CELULOSE</t>
  </si>
  <si>
    <t>WILLIAN JOSÉ DOS SANTOS</t>
  </si>
  <si>
    <t>LOGÍSTICA OUTBOUND</t>
  </si>
  <si>
    <t>TURNO</t>
  </si>
  <si>
    <t xml:space="preserve">GESTÃO GERAL DO PATIO DE MADEIRA </t>
  </si>
  <si>
    <t>INSTRUTOR DE PÁTIO: CARLOS HENRIQUE BATISTA 37004364</t>
  </si>
  <si>
    <t>COORDENADOR DO PATIO DE MADEIRA                     
EDER DA SILVA RAMOS  37005338</t>
  </si>
  <si>
    <t>GERENTE LOGISTICA FLORESTAL                      
ANDRE LUIS SACARIN DO AMARAL   311630</t>
  </si>
  <si>
    <t>GERENTE SR OPERAÇÕES FLORESTAIS              
 JOAQUM TRECENTI BARROS LORDELO   303529</t>
  </si>
  <si>
    <t>SUPERVISOR OPERAÇÕES (SISTEMAS DE MEDIÇÃO): Guilherme Sinicio de Barros 37005777</t>
  </si>
  <si>
    <t xml:space="preserve">SUPERVISORES TURNO </t>
  </si>
  <si>
    <t>TURNO A</t>
  </si>
  <si>
    <t>TURNO B</t>
  </si>
  <si>
    <t>TURNO C</t>
  </si>
  <si>
    <t>TURNO D</t>
  </si>
  <si>
    <t>TURNO E</t>
  </si>
  <si>
    <t>JOSE JUNIOR ROCHA 37005794</t>
  </si>
  <si>
    <t>THIAGO AUGUSTO BATISTELA PIETRO SANCHES  37000359</t>
  </si>
  <si>
    <t>CAMILA LEITE SANTOS 37009590</t>
  </si>
  <si>
    <t>MATTHEWS VERGILIO GOMES DE MEDEIROS 37014126</t>
  </si>
  <si>
    <t>TÉCNICOS</t>
  </si>
  <si>
    <t>Giovanni Aroca  37004375</t>
  </si>
  <si>
    <t>Emerson José Lopes da Silva  302981</t>
  </si>
  <si>
    <t>Juliana Batista Bispo  37006079</t>
  </si>
  <si>
    <t>Rogerio dos Santos Araujo 37005681</t>
  </si>
  <si>
    <t>Deusivan de Nascimento de souza 37005687</t>
  </si>
  <si>
    <t>OPERADORES DE GRUA I E II</t>
  </si>
  <si>
    <t>Jean Carlos Bernades Nunes  37005816</t>
  </si>
  <si>
    <t>Paulo Roberto de Leme de Lima 37005818</t>
  </si>
  <si>
    <t>Cristiane Emidio Elias 3700701</t>
  </si>
  <si>
    <t xml:space="preserve">Jose Carlos dos Santos Júnior 37012442 </t>
  </si>
  <si>
    <t>Jose Alexandre Monzani 37006338</t>
  </si>
  <si>
    <t>Reinaldo Aparecido Piotto 37007831</t>
  </si>
  <si>
    <t>Marcos Maciel Salau 37006600</t>
  </si>
  <si>
    <t>Emerson Aparecido Nunes 37012158</t>
  </si>
  <si>
    <t>Rodrigo Marcelino dos Santos Silva   37006973</t>
  </si>
  <si>
    <t>Marcos Fernando Raphael 37014096</t>
  </si>
  <si>
    <t>Evandro da Silva Anastacio 37013980</t>
  </si>
  <si>
    <t>Antonio Aparecido de Brito 37007964</t>
  </si>
  <si>
    <t>Marcos Bonalume Filho 37007925</t>
  </si>
  <si>
    <t>Amarildo Alves Ferraz 37014058</t>
  </si>
  <si>
    <t>Marcio Oliver  302778</t>
  </si>
  <si>
    <t>FERISTAS</t>
  </si>
  <si>
    <t xml:space="preserve">ASSITENTE DE RECEBEIMNETO </t>
  </si>
  <si>
    <t>Regiane de Moraes Carvalho Silva 37011000</t>
  </si>
  <si>
    <t>Luiz Carlos Felix Filho 37003287</t>
  </si>
  <si>
    <t>Flavio Cardoso da Silva 37006068</t>
  </si>
  <si>
    <t>Inacio Bernado Bento Fileto 37006071</t>
  </si>
  <si>
    <t>Matheus Nilton Dutra 302509</t>
  </si>
  <si>
    <t>Cleber Leonardo Rodrigues 302491</t>
  </si>
  <si>
    <t>Nilton César 37011013</t>
  </si>
  <si>
    <t>Laura Campos 37011014</t>
  </si>
  <si>
    <t xml:space="preserve">MOTORISTAS DE BALDEIO </t>
  </si>
  <si>
    <t>Ana Carolina 37010556</t>
  </si>
  <si>
    <t>José Manoel Bernanrdo 37016663</t>
  </si>
  <si>
    <t>Leandro Zacarias dos Santos 37007655</t>
  </si>
  <si>
    <t>Jose Antonio da Silva  Brito 37006861</t>
  </si>
  <si>
    <t>Rodrigo Correia</t>
  </si>
  <si>
    <t>Thamirys da Silva Besserra 37016639</t>
  </si>
  <si>
    <t>Luis Paulo Aparecido Ribeiro 37007493</t>
  </si>
  <si>
    <t>Paulo Fernandes de Melo 37006696</t>
  </si>
  <si>
    <t>Marcelo Romano da Silva 37007023</t>
  </si>
  <si>
    <t>Julio Cesar Rodrigues de Lima 37012243</t>
  </si>
  <si>
    <t>Rodrigo José Antunes 37028897</t>
  </si>
  <si>
    <t>Valdir Aparecido dos Santos 37018896</t>
  </si>
  <si>
    <t xml:space="preserve">Eliana Pereira Cotrinho </t>
  </si>
  <si>
    <t>Valdnei José Bispo 37011165</t>
  </si>
  <si>
    <t>Willian Gustavo de Mendonça 37016953</t>
  </si>
  <si>
    <t>Lucas Barbosa 37005232</t>
  </si>
  <si>
    <t>Alessandra Silva de Carvalho 37015931</t>
  </si>
  <si>
    <t>Kaio Gabriel Bueno</t>
  </si>
  <si>
    <t>Larissa</t>
  </si>
  <si>
    <t>Aline Aparecida Floriano Fusco 37010202</t>
  </si>
  <si>
    <t>Elton Oliveira 37011077</t>
  </si>
  <si>
    <t>Marcos Roberto Pereira 37011088</t>
  </si>
  <si>
    <t>Edvanio Lima Bezerra 37013718</t>
  </si>
  <si>
    <t>Josefa Aline Andrade dos Santos Mendes 37015292</t>
  </si>
  <si>
    <t>Elaine Cristina Amaral da Silva 37015278</t>
  </si>
  <si>
    <t>Lucilene Maria Vieira Alves 37010214</t>
  </si>
  <si>
    <t>Vagner Donizete Luciano 37001952</t>
  </si>
  <si>
    <t>Edmilson Jesus da Silva 37006344</t>
  </si>
  <si>
    <t>Diego Aparecido de Assis 37006940</t>
  </si>
  <si>
    <t>Tiago Maicon Rezende da Silva 37008759</t>
  </si>
  <si>
    <t>Everton Aparecido da Silva 37005687</t>
  </si>
  <si>
    <t>Jhonatan Moreira Cunha 37005688</t>
  </si>
  <si>
    <t>Gisele Lourenço Gomes 303758</t>
  </si>
  <si>
    <t>Gabriel de Oliveira 37006113</t>
  </si>
  <si>
    <t>Beatriz Francisca Gomes 37006289</t>
  </si>
  <si>
    <t>Giovana Lucia da Silva 37009345</t>
  </si>
  <si>
    <t>Elaine Cristina Tomaz 37006067</t>
  </si>
  <si>
    <t>Irani Ferreira Marciano 3700754</t>
  </si>
  <si>
    <t>Marcio Aprecido Bernades 37006069</t>
  </si>
  <si>
    <t>Rogério Carlos Correa 37001006</t>
  </si>
  <si>
    <t>Pedro Herculano de Assis Filho 3700624</t>
  </si>
  <si>
    <t>Otávio Luis Alves Salvador 37014595</t>
  </si>
  <si>
    <t>Juliano Roberto Demai 37007056</t>
  </si>
  <si>
    <t>Cesar Gilioli 8010238</t>
  </si>
  <si>
    <t>Alailson Pereira 37006901</t>
  </si>
  <si>
    <t>Joaquim Dourado da Silva 37006883</t>
  </si>
  <si>
    <t>Maria Antonia de Castro Diniz 37006680</t>
  </si>
  <si>
    <t>Osvaldo Zacarias 37006877</t>
  </si>
  <si>
    <t>Sidnei Vieira 37006902</t>
  </si>
  <si>
    <t>Marina Favero 37006849</t>
  </si>
  <si>
    <t>Rosângela Bernardes Silva 37013349</t>
  </si>
  <si>
    <t>Paulo Cesar Vicente 37006922</t>
  </si>
  <si>
    <t>Jaqueline Pereira de Lima 37009290</t>
  </si>
  <si>
    <t>Aguinaldo Urives Scussel 3700627</t>
  </si>
  <si>
    <t>Paulo Henrique de Oliveira 302378</t>
  </si>
  <si>
    <t>Lucio Nunes 37006322</t>
  </si>
  <si>
    <t xml:space="preserve">Claudemir Cadastro Eiras 303934 </t>
  </si>
  <si>
    <t>Gabriel Tamborim 302923</t>
  </si>
  <si>
    <t>Luis Antonio Avelino 300955</t>
  </si>
  <si>
    <t>Cristiano Fiques 302924</t>
  </si>
  <si>
    <t>Adalto A dos Santos 300965</t>
  </si>
  <si>
    <t>Edimilson Ramos dos Santos 301048</t>
  </si>
  <si>
    <t>Mateus Henrique Gomes 303776</t>
  </si>
  <si>
    <t>Ezequiel Pereira da Silva 37007016</t>
  </si>
  <si>
    <t>Otavio Penteado de Campos 303775</t>
  </si>
  <si>
    <t>Gleydson Alves de Almeida 37005830</t>
  </si>
  <si>
    <t>Wesley Henrique Lopes 303787</t>
  </si>
  <si>
    <t>Fabiano Damasceno 37005983</t>
  </si>
  <si>
    <t xml:space="preserve">Diego Dias da Silva 37006598 </t>
  </si>
  <si>
    <t>Adriano Rodrigo de Oliveira 37006972</t>
  </si>
  <si>
    <t>Flavio Henrique Rodrigues 37040847</t>
  </si>
  <si>
    <t>Joao Henrique Giorgeti 37009403</t>
  </si>
  <si>
    <t>Claudemir Ap. Veira Ribeiro 302916</t>
  </si>
  <si>
    <t>Alison Pasqualinotti 37005809</t>
  </si>
  <si>
    <t>Jonas da Silva 303773</t>
  </si>
  <si>
    <t>Roberto Carlos Camilo 301049</t>
  </si>
  <si>
    <t>Cristiano Euzebio Moreira 302488</t>
  </si>
  <si>
    <t>José Laurindo Correa da Silva Santos 37001849</t>
  </si>
  <si>
    <t>José Wagner da Silva 37007011</t>
  </si>
  <si>
    <t>Paulo Cesar Marques 37005812</t>
  </si>
  <si>
    <t>José Carlos Puerta 37005825</t>
  </si>
  <si>
    <t>José Luis Coltre 301243</t>
  </si>
  <si>
    <t>Claudinei Pasqualinoto 300972</t>
  </si>
  <si>
    <t>Wellyton dos Santos Souza 303821</t>
  </si>
  <si>
    <t>LARISSA GABRIELE DA SILVA</t>
  </si>
  <si>
    <t>DESLIGADO</t>
  </si>
  <si>
    <t>DATA MOVIMENTAÇÃO</t>
  </si>
  <si>
    <t>Cadastro</t>
  </si>
  <si>
    <t>Nome</t>
  </si>
  <si>
    <t>Des.Cargo</t>
  </si>
  <si>
    <t>Des.Centro de Custo</t>
  </si>
  <si>
    <t>Setor</t>
  </si>
  <si>
    <t>SETOR</t>
  </si>
  <si>
    <t>OBS</t>
  </si>
  <si>
    <t>OP MAQUINA FLORESTAL II GRUA</t>
  </si>
  <si>
    <t>OP MAQ PATIO MAD L1</t>
  </si>
  <si>
    <t>WOOD YARD</t>
  </si>
  <si>
    <t>PÁTIO DE MADEIRA</t>
  </si>
  <si>
    <t>OP MAQUINA FLOR II GRUA PATIO MADEIRA</t>
  </si>
  <si>
    <t>Adriano Caetano Inacio</t>
  </si>
  <si>
    <t>OP MAQUINA FLORESTAL GRUA I</t>
  </si>
  <si>
    <t>OP MAQ PATIO MADEIRA</t>
  </si>
  <si>
    <t>MOTORISTA PATIO MADEIRA FLORESTAL</t>
  </si>
  <si>
    <t>OP RECHEGO MADEIRA</t>
  </si>
  <si>
    <t>Alessandra Silva de Carvalho</t>
  </si>
  <si>
    <t>ASSIST RECEBIMENTO MADEIRA</t>
  </si>
  <si>
    <t>GEST PATIO MADEIRA</t>
  </si>
  <si>
    <t>ALINE APARECIDA FLORIANO FUSCO</t>
  </si>
  <si>
    <t>ok</t>
  </si>
  <si>
    <t>Ana Carolina Pinto</t>
  </si>
  <si>
    <t>ANDERSON DONIZETE MORETTO</t>
  </si>
  <si>
    <t>MOTORISTA TRANSPORTE CARGAS</t>
  </si>
  <si>
    <t>OP RECH MADEIRA L1</t>
  </si>
  <si>
    <t>MENOR APRENDIZ</t>
  </si>
  <si>
    <t>TRAINEE</t>
  </si>
  <si>
    <t>Andre Felipe De Mattos</t>
  </si>
  <si>
    <t>ASSISTENTE RECEBIMENTO DE MADEIRA</t>
  </si>
  <si>
    <t>SUP PATIO MADEIRA FLORESTAL</t>
  </si>
  <si>
    <t>TEC OPERACOES FLORESTAIS I</t>
  </si>
  <si>
    <t>OP MAQUINA FLOR I GRUA PATIO MADEIRA</t>
  </si>
  <si>
    <t>Edvanio Lima Bezerra</t>
  </si>
  <si>
    <t>Elaine Cristina Amaral da Silva</t>
  </si>
  <si>
    <t>Eliana Pereira Cotrinho</t>
  </si>
  <si>
    <t>Elton Alessandro De Oliveira</t>
  </si>
  <si>
    <t>Emerson Aparecido Nunes</t>
  </si>
  <si>
    <t>TEC OPERACOES FLORESTAL I</t>
  </si>
  <si>
    <t>Flavio Henrique Rodrigues</t>
  </si>
  <si>
    <t>GABRIEL HENRIQUE SANCHES</t>
  </si>
  <si>
    <t>OP AREA UTILIDADES I</t>
  </si>
  <si>
    <t>Gleison Carlos De Araujo Carvalho</t>
  </si>
  <si>
    <t>JEFERSON CLEITON TEREZA</t>
  </si>
  <si>
    <t>TEC OPERACOES FLORESTAL II</t>
  </si>
  <si>
    <t>RH - TRAINEE PROGRAM</t>
  </si>
  <si>
    <t>Jose Manoel Bernardo</t>
  </si>
  <si>
    <t>Josefa Aline Andrade Dos Santos Mendes</t>
  </si>
  <si>
    <t>INSTR OP DE MAQ FLOTAI</t>
  </si>
  <si>
    <t>Julio Cesar Rodrigues de Lima</t>
  </si>
  <si>
    <t>Laura Caroline Campos</t>
  </si>
  <si>
    <t>OK</t>
  </si>
  <si>
    <t>Lucas Barbosa</t>
  </si>
  <si>
    <t>LUIS ANTONIO AVELINO</t>
  </si>
  <si>
    <t>Luiz Felipe Bispo</t>
  </si>
  <si>
    <t>FORESTRY WOODYARD SUPERVISOR</t>
  </si>
  <si>
    <t>OPER MAQ FLORESTAIS II GRUA PATIO MADEIR</t>
  </si>
  <si>
    <t>Marcos Fernando Raphael</t>
  </si>
  <si>
    <t>OPERADOR MAQUINAS FLORESTAIS II (GRUA PA</t>
  </si>
  <si>
    <t>Marcos Lourenco da Silva</t>
  </si>
  <si>
    <t>MARCOS ROBERTO GARCIA</t>
  </si>
  <si>
    <t>MOT TRANSPORTE CARGAS</t>
  </si>
  <si>
    <t>Marcos Roberto Pereira</t>
  </si>
  <si>
    <t>Matheus Otavio da Costa Lemes</t>
  </si>
  <si>
    <t>OP AREA RECUPERACAO I</t>
  </si>
  <si>
    <t>COO. LICOR BRANCO</t>
  </si>
  <si>
    <t>Matthews Vergilio Gomes de Medeiros</t>
  </si>
  <si>
    <t>SUPERVISOR PATIO MADEIRA FLORESTAL</t>
  </si>
  <si>
    <t>Nilton Cesar Jurado</t>
  </si>
  <si>
    <t>Otavio Luis Alves Salvador</t>
  </si>
  <si>
    <t>Otavio Penteado De Campos</t>
  </si>
  <si>
    <t>PAULO ANDRE DOMINGUES</t>
  </si>
  <si>
    <t>Regiane De Moraes Carvalho Silva</t>
  </si>
  <si>
    <t>Renato Deodata dos Santos</t>
  </si>
  <si>
    <t>OP MAQUINA FLORESTAL I GRUA</t>
  </si>
  <si>
    <t>Rosangela Bernardes Silva</t>
  </si>
  <si>
    <t>Rose Eliana Batista Silva da Paixao</t>
  </si>
  <si>
    <t>Stanley Pressa Chayen</t>
  </si>
  <si>
    <t>THAINA RODRIGUES DE OLIVEIRA</t>
  </si>
  <si>
    <t>Thamirys da Silva Beserra</t>
  </si>
  <si>
    <t>UEDSLEI LUIZ DA CUNHA</t>
  </si>
  <si>
    <t>SUPERVISOR LOGISTICA FLORESTAL</t>
  </si>
  <si>
    <t>Valdinei Jose Bispo</t>
  </si>
  <si>
    <t>WELLYNTON SANTOS DE SOUZA</t>
  </si>
  <si>
    <t>William Jose Dos Santos</t>
  </si>
  <si>
    <t>AN LOGISTICA I</t>
  </si>
  <si>
    <t>GESTÃO OUTB. EXP</t>
  </si>
  <si>
    <t>Willian Cesar de Oliveira</t>
  </si>
  <si>
    <t>Willian Gustavo de Mendonca</t>
  </si>
  <si>
    <t>mat</t>
  </si>
  <si>
    <t>Mudança de área</t>
  </si>
  <si>
    <t>não encontrado</t>
  </si>
  <si>
    <t>a</t>
  </si>
  <si>
    <t>n</t>
  </si>
  <si>
    <t xml:space="preserve">ALINE APARECIDA FLORIANO </t>
  </si>
  <si>
    <t>ADÃO APARECIDO DA SILVA LIMA COSSONICHE</t>
  </si>
  <si>
    <t>CESAR FERNANDES DA SILVA</t>
  </si>
  <si>
    <t>CLAUDINEIA SILENE DOS SANTOS</t>
  </si>
  <si>
    <t>CLEUSA DE SOUZA</t>
  </si>
  <si>
    <t>DORALICE DE FATIMA TEODORO SILVA</t>
  </si>
  <si>
    <t>JAINE FRANCO DA SILVA CORREA</t>
  </si>
  <si>
    <t>JONATAS DOS SANTOS LUQUI</t>
  </si>
  <si>
    <t>JOSE ANTONIO DOS SANTOS</t>
  </si>
  <si>
    <t>JOSE CARLOS CORREA</t>
  </si>
  <si>
    <t>LENALDO DE OLIVEIRA</t>
  </si>
  <si>
    <t>LUCIO FLAVIO DA CUNHA</t>
  </si>
  <si>
    <t>MAISA MARIANO DE SOUZA RIBEIRO</t>
  </si>
  <si>
    <t>MARCIO GLEY HONORATO</t>
  </si>
  <si>
    <t>MARCOS WILLIAN DOS SANTOS</t>
  </si>
  <si>
    <t>MATHEUS JUNIOR THEODORO DA COSTA</t>
  </si>
  <si>
    <t>PAULO HENRIQUE BUENO DOS SANTOS</t>
  </si>
  <si>
    <t>RAFAELA BRACONARO</t>
  </si>
  <si>
    <t>SANDRO APARECIDO OLIVA</t>
  </si>
  <si>
    <t>WILIAN ALVES COSTA NELLI</t>
  </si>
  <si>
    <t>14 98839-5743</t>
  </si>
  <si>
    <t>14 99724-0465</t>
  </si>
  <si>
    <t>14 99730-4703</t>
  </si>
  <si>
    <t xml:space="preserve"> 14 99709-9235</t>
  </si>
  <si>
    <t>14 99743-5324</t>
  </si>
  <si>
    <t>14 99635-7405</t>
  </si>
  <si>
    <t>14 99632-6558</t>
  </si>
  <si>
    <t>14 99143-4395</t>
  </si>
  <si>
    <t>14 99713-0084</t>
  </si>
  <si>
    <t>14 99779-4576</t>
  </si>
  <si>
    <t>14 99811-4470</t>
  </si>
  <si>
    <t>14 99861-4961</t>
  </si>
  <si>
    <t>14 99782-2053</t>
  </si>
  <si>
    <t>14 99784-3341</t>
  </si>
  <si>
    <t>14 99797-5227</t>
  </si>
  <si>
    <t>14 99827-9333</t>
  </si>
  <si>
    <t>14 99629-5845</t>
  </si>
  <si>
    <t>14 99147-6578</t>
  </si>
  <si>
    <t>14 99837-3747</t>
  </si>
  <si>
    <t>14 99689-5259</t>
  </si>
  <si>
    <t>14 99688-9458</t>
  </si>
  <si>
    <t>B- Padrinho</t>
  </si>
  <si>
    <t>LUIZ CRISTIANO DE OLIVEIRA</t>
  </si>
  <si>
    <t>NOME CREARE</t>
  </si>
  <si>
    <t>JOSE CORREA</t>
  </si>
  <si>
    <t>VALDINEI BISPO</t>
  </si>
  <si>
    <t>ELTON OLIVEIRA</t>
  </si>
  <si>
    <t>JOSE BRITO</t>
  </si>
  <si>
    <t>ROSANGELA SILVA</t>
  </si>
  <si>
    <t>MARCOS PEREIRA</t>
  </si>
  <si>
    <t>PAULO MELO</t>
  </si>
  <si>
    <t>PAULO SANTOS</t>
  </si>
  <si>
    <t>LENALDO OLIVEIRA</t>
  </si>
  <si>
    <t>CLEUSA SOUZA</t>
  </si>
  <si>
    <t>LEANDRO SANTOS</t>
  </si>
  <si>
    <t>LUIS RIBEIRO</t>
  </si>
  <si>
    <t>EDVANIO BEZERRA</t>
  </si>
  <si>
    <t>PAULO VICENTE</t>
  </si>
  <si>
    <t>JOSEFA MENDES</t>
  </si>
  <si>
    <t>ELAINE SILVA</t>
  </si>
  <si>
    <t>WILIAN NELLI</t>
  </si>
  <si>
    <t>MARCIO HONORATO</t>
  </si>
  <si>
    <t>ANA PINTO</t>
  </si>
  <si>
    <t>JULIANO DEMAI</t>
  </si>
  <si>
    <t>JULIO LIMA</t>
  </si>
  <si>
    <t>ELIANA COTRINHO</t>
  </si>
  <si>
    <t>JOSE SANTOS</t>
  </si>
  <si>
    <t>LUIZ OLIVEIRA</t>
  </si>
  <si>
    <t>SANDRO OLIVA</t>
  </si>
  <si>
    <t>ADÃO COSSONICHE</t>
  </si>
  <si>
    <t>MAISA RIBEIRO</t>
  </si>
  <si>
    <t>CLAUDINEIA SANTOS</t>
  </si>
  <si>
    <t>DORALICE SILVA</t>
  </si>
  <si>
    <t>ALINE FLORIANO</t>
  </si>
  <si>
    <t>JAQUELINE LIMA</t>
  </si>
  <si>
    <t>LUCILENE ALVES</t>
  </si>
  <si>
    <t>MARCELO SILVA</t>
  </si>
  <si>
    <t>RODRIGO ANTUNES</t>
  </si>
  <si>
    <t>VALDIR SANTOS</t>
  </si>
  <si>
    <t>JAINE CORREA</t>
  </si>
  <si>
    <t>MATHEUS COSTA</t>
  </si>
  <si>
    <t>MARCOS SANTOS</t>
  </si>
  <si>
    <t>CESAR SILVA</t>
  </si>
  <si>
    <t>JOSE BERNARDO</t>
  </si>
  <si>
    <t>THAMIRYS BESERRA</t>
  </si>
  <si>
    <t>JOAQUIM SILVA</t>
  </si>
  <si>
    <t>MARIA DINIZ</t>
  </si>
  <si>
    <t>MARINA MENDES</t>
  </si>
  <si>
    <t>JONATAS LUQUI</t>
  </si>
  <si>
    <t>LUCIO CUNHA</t>
  </si>
  <si>
    <t>AUGUSTO ROBERTO FERRAREZI</t>
  </si>
  <si>
    <t>ANA PAULA LOPES COSTAS DOS SANTOS</t>
  </si>
  <si>
    <t xml:space="preserve">JULIO CEZAR DE CAMARGO FARAH PORTO </t>
  </si>
  <si>
    <t xml:space="preserve">LENIE PAULA FIDELIS DA SILVA </t>
  </si>
  <si>
    <t xml:space="preserve">SILVIO DOS SANTOS </t>
  </si>
  <si>
    <t>RUBENS ZAMBONI</t>
  </si>
  <si>
    <t>ROSE ELIANE BATISTA</t>
  </si>
  <si>
    <t>FABIO MARCIANO</t>
  </si>
  <si>
    <t>WAGNER RICO</t>
  </si>
  <si>
    <t>LUIZ FILHO</t>
  </si>
  <si>
    <t>GIOVANA LIMA</t>
  </si>
  <si>
    <t>ELAINE TOMAZ</t>
  </si>
  <si>
    <t>FLAVIO SBARAGLINI</t>
  </si>
  <si>
    <t>JOSE RIBEIRO</t>
  </si>
  <si>
    <t>TIAGO SILVA</t>
  </si>
  <si>
    <t>AZENILDO LIMA</t>
  </si>
  <si>
    <t>MARCIO BERNARDES</t>
  </si>
  <si>
    <t>IRANI MARCIANO</t>
  </si>
  <si>
    <t>JHONATAN CUNHA</t>
  </si>
  <si>
    <t>ADRIANO INACIO</t>
  </si>
  <si>
    <t>MATHEUS DUTRA</t>
  </si>
  <si>
    <t>CESAR RODRIGUES</t>
  </si>
  <si>
    <t>NILTON JURADO</t>
  </si>
  <si>
    <t>RENAN ALMEIDA</t>
  </si>
  <si>
    <t>PAULO AQUINO</t>
  </si>
  <si>
    <t>REGIANE SILVA</t>
  </si>
  <si>
    <t>INACIO FILETO</t>
  </si>
  <si>
    <t>CLEBER RODRIGUES</t>
  </si>
  <si>
    <t>LAURA CAMPOS</t>
  </si>
  <si>
    <t>NATANAEL ALVES</t>
  </si>
  <si>
    <t>MARCELO SOUSA</t>
  </si>
  <si>
    <t>GISELE GOMES</t>
  </si>
  <si>
    <t>GABRIEL OLIVEIRA</t>
  </si>
  <si>
    <t>BEATRIZ GOMES</t>
  </si>
  <si>
    <t>LARISSA SILVA</t>
  </si>
  <si>
    <t>HERNANI STOPPA</t>
  </si>
  <si>
    <t>KAIO BUENO</t>
  </si>
  <si>
    <t>GRAZIELA SILVA</t>
  </si>
  <si>
    <t>EDER RAMOS</t>
  </si>
  <si>
    <t>MARIA GONCALVES</t>
  </si>
  <si>
    <t>CLEITON SHO</t>
  </si>
  <si>
    <t>FLAVIO S</t>
  </si>
  <si>
    <t>EVERTON SLVA</t>
  </si>
  <si>
    <t>JOAO SRANCO</t>
  </si>
  <si>
    <t>ALEX SA LUZ</t>
  </si>
  <si>
    <t>GLEISON CARVALHO</t>
  </si>
  <si>
    <t>OTAVIO SA</t>
  </si>
  <si>
    <t>ERICH SROBERTO</t>
  </si>
  <si>
    <t>LEANDRO SA</t>
  </si>
  <si>
    <t>CARLOS S BARROSO</t>
  </si>
  <si>
    <t>JOHN SILVA</t>
  </si>
  <si>
    <t>VANESSA SRA</t>
  </si>
  <si>
    <t>MARCOS SA</t>
  </si>
  <si>
    <t>ADEMIR JUNIOR</t>
  </si>
  <si>
    <t>SIDNEI SOUZA</t>
  </si>
  <si>
    <t>AGUINALDO SILVA</t>
  </si>
  <si>
    <t>JULIANO FREITAS</t>
  </si>
  <si>
    <t>ANDRE MATTOS</t>
  </si>
  <si>
    <t>STANLEY CHAYEN</t>
  </si>
  <si>
    <t>OTAVIO SOS</t>
  </si>
  <si>
    <t>GLEDISON SDA</t>
  </si>
  <si>
    <t>WESLEY LOPES</t>
  </si>
  <si>
    <t>FABIANO DAMASCENO</t>
  </si>
  <si>
    <t>REINALDO PIOTTO</t>
  </si>
  <si>
    <t>EMERSON NUNES</t>
  </si>
  <si>
    <t>MARCOS RAPHAEL</t>
  </si>
  <si>
    <t>PEDRO FILHO</t>
  </si>
  <si>
    <t>CRISTIANO FIQUES</t>
  </si>
  <si>
    <t>WILLIAN SRA</t>
  </si>
  <si>
    <t>JESSICA SA</t>
  </si>
  <si>
    <t>ADALTO SOS</t>
  </si>
  <si>
    <t>EDIMILSON STOS</t>
  </si>
  <si>
    <t>PAULO LIMA</t>
  </si>
  <si>
    <t>JOSE JUNIOR</t>
  </si>
  <si>
    <t>MATEUS GOMES</t>
  </si>
  <si>
    <t>MARCOS SALAU</t>
  </si>
  <si>
    <t>EZEQUIEL SLVA</t>
  </si>
  <si>
    <t>EVANDRO SCIO</t>
  </si>
  <si>
    <t>ROGERIO CORREA</t>
  </si>
  <si>
    <t>LUIS SILVA</t>
  </si>
  <si>
    <t>CLAUDINEI PASQUALINOTTO</t>
  </si>
  <si>
    <t>JOSE COLTRE</t>
  </si>
  <si>
    <t>JOSE PUERTA</t>
  </si>
  <si>
    <t>PAULO MARQUES</t>
  </si>
  <si>
    <t>VAGNER LUCIANO</t>
  </si>
  <si>
    <t>JOSE RODRIGUES</t>
  </si>
  <si>
    <t>EDMILSON SILVA</t>
  </si>
  <si>
    <t>LUIS AVELINO</t>
  </si>
  <si>
    <t>GABRIEL TAMBORIM</t>
  </si>
  <si>
    <t>CLAUDEMIR EIRAS</t>
  </si>
  <si>
    <t>LUCIO NUNES</t>
  </si>
  <si>
    <t>PAULO OLIVEIRA</t>
  </si>
  <si>
    <t>JOSE MONZANI</t>
  </si>
  <si>
    <t>RODRIGO SILVA</t>
  </si>
  <si>
    <t>AGUINALDO SCUSSEL</t>
  </si>
  <si>
    <t>ANTONIO BRITO</t>
  </si>
  <si>
    <t>AMARILDO FERRAZ</t>
  </si>
  <si>
    <t>CRISTIANO MOREIRA</t>
  </si>
  <si>
    <t>ROBERTO CAMILO</t>
  </si>
  <si>
    <t>WILLIAN S</t>
  </si>
  <si>
    <t>JONAS SILVA</t>
  </si>
  <si>
    <t>JEAN NUNES</t>
  </si>
  <si>
    <t>CRISTIANE ELIAS</t>
  </si>
  <si>
    <t>CLAUDEMIR RIBEIRO</t>
  </si>
  <si>
    <t>JOAO GIORGETTI</t>
  </si>
  <si>
    <t>FLAVIO RODRIGUES</t>
  </si>
  <si>
    <t>MARCOS FILHO</t>
  </si>
  <si>
    <t>OTAVIO SALVADOR</t>
  </si>
  <si>
    <t>MATTHEWS MEDEIROS</t>
  </si>
  <si>
    <t>CAMILA SANTOS</t>
  </si>
  <si>
    <t>BIANCA CANDIDO</t>
  </si>
  <si>
    <t>THIAGO SANCHES</t>
  </si>
  <si>
    <t>JOSE ROCHA</t>
  </si>
  <si>
    <t>LUIZ BISPO</t>
  </si>
  <si>
    <t>GUILHERME BARROS</t>
  </si>
  <si>
    <t>JULIANA BISPO</t>
  </si>
  <si>
    <t>ROGERIO SJO</t>
  </si>
  <si>
    <t>DEUSIVAN SOUSA</t>
  </si>
  <si>
    <t>EMERSON SILVA</t>
  </si>
  <si>
    <t>JOSE LAURINDO</t>
  </si>
  <si>
    <t>DIEGO SILVA</t>
  </si>
  <si>
    <t>DIEGO ASSIS</t>
  </si>
  <si>
    <t>CAIO JOSÉ RODRIGUES BARBOSA</t>
  </si>
  <si>
    <t>CAIO BARBOSA</t>
  </si>
  <si>
    <t>MIRIAM MAGALHÃES</t>
  </si>
  <si>
    <t>WILLIAN GUSTAVO DE MENDONÇA</t>
  </si>
  <si>
    <t>ELISÂNGELA FREIRE DINIZ ARRUDA</t>
  </si>
  <si>
    <t>ELISÂNGELA ARRUDA</t>
  </si>
  <si>
    <t>ALESSANDRA CARVALHO</t>
  </si>
  <si>
    <t>Afastada até 28/11/24</t>
  </si>
  <si>
    <t>Afastada até 02/01/25</t>
  </si>
  <si>
    <t>29/11 a 30/11 (2 dias)</t>
  </si>
  <si>
    <t>Colaborador</t>
  </si>
  <si>
    <t>Aguardando cirurgia</t>
  </si>
  <si>
    <t>ficou afastada uma semana de novembro; apoio na balança aguardando cirurgia previsão 16/12</t>
  </si>
  <si>
    <t>(30 dias)</t>
  </si>
  <si>
    <t>(0 dias)</t>
  </si>
  <si>
    <t>MATTHEWS</t>
  </si>
  <si>
    <t>BIANCA</t>
  </si>
  <si>
    <t>CAMILA</t>
  </si>
  <si>
    <t>THIAGO</t>
  </si>
  <si>
    <t>Supervisor</t>
  </si>
  <si>
    <t>Quebrou o braço, ficará afastado em Dezembro</t>
  </si>
  <si>
    <t>01/11 A 27/11 (26 dias)</t>
  </si>
  <si>
    <t>Mês</t>
  </si>
  <si>
    <t>Observação</t>
  </si>
  <si>
    <t>Período Trabalhado</t>
  </si>
  <si>
    <t>(23 dias)</t>
  </si>
  <si>
    <t>01/11 a 10/11  e  22/11 a 30/11 (19 dias)</t>
  </si>
  <si>
    <t>WELLYTON  SOUZA</t>
  </si>
  <si>
    <t>ADRIANO OLIVEIRA</t>
  </si>
  <si>
    <t>JANEIRO</t>
  </si>
  <si>
    <t>DIA</t>
  </si>
  <si>
    <t>Supervisão</t>
  </si>
  <si>
    <t>SEMANA</t>
  </si>
  <si>
    <t>SEG</t>
  </si>
  <si>
    <t>TER</t>
  </si>
  <si>
    <t>QUA</t>
  </si>
  <si>
    <t>QUI</t>
  </si>
  <si>
    <t>SEX</t>
  </si>
  <si>
    <t>SÁB</t>
  </si>
  <si>
    <t>DOM</t>
  </si>
  <si>
    <t>José Junior</t>
  </si>
  <si>
    <t>06:00 - 14:00</t>
  </si>
  <si>
    <t>Thiago</t>
  </si>
  <si>
    <t>14:00 - 22:00</t>
  </si>
  <si>
    <t>22:00 - 06:00</t>
  </si>
  <si>
    <t xml:space="preserve">Camila </t>
  </si>
  <si>
    <t>FOLGA</t>
  </si>
  <si>
    <t>Matthews</t>
  </si>
  <si>
    <t>FEVEREIRO</t>
  </si>
  <si>
    <t>MARÇO</t>
  </si>
  <si>
    <t>ABRIL</t>
  </si>
  <si>
    <t>MAIO</t>
  </si>
  <si>
    <t>JUNHO</t>
  </si>
  <si>
    <t>JULHO</t>
  </si>
  <si>
    <t>AGOSTO</t>
  </si>
  <si>
    <t>SAB</t>
  </si>
  <si>
    <t>SETEMBRO</t>
  </si>
  <si>
    <t>OUTUBRO</t>
  </si>
  <si>
    <t>NOVEMBRO</t>
  </si>
  <si>
    <t>DEZEMBRO</t>
  </si>
  <si>
    <t>WILLIAN MENDONCA</t>
  </si>
  <si>
    <t>GESTÃO</t>
  </si>
  <si>
    <t>A - Afastada</t>
  </si>
  <si>
    <t>THIAGO HENRIQUE MACEDO</t>
  </si>
  <si>
    <t>GILDA DOS SANTOS ALVES</t>
  </si>
  <si>
    <t>STATUS</t>
  </si>
  <si>
    <t>ATIVO</t>
  </si>
  <si>
    <t>LUIS</t>
  </si>
  <si>
    <t>FRANCISCO FERREIRA SOBRINHO</t>
  </si>
  <si>
    <t>Luiz</t>
  </si>
  <si>
    <t>JOSE GUILHERME PEREIRA BRAGA</t>
  </si>
  <si>
    <t>Supervisor de turno (FERISTA)</t>
  </si>
  <si>
    <t>RENATA CAPELLARI DO CARMO</t>
  </si>
  <si>
    <t>JENIFFER LANUCHE DE SOUZA RODRIGUES</t>
  </si>
  <si>
    <t>GRAZIELE DOS SANTOS</t>
  </si>
  <si>
    <t>Assistente de recebimento</t>
  </si>
  <si>
    <t>LUAN MATHEUS DE ABREU</t>
  </si>
  <si>
    <t xml:space="preserve">MIRIAM MAGALHÃES </t>
  </si>
  <si>
    <t xml:space="preserve">PÁTIO DE MADEIRAS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</si>
</sst>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* #,##0.00_-;\-&quot;R$&quot;* #,##0.00_-;_-&quot;R$&quot;* &quot;-&quot;??_-;_-@_-"/>
    <numFmt numFmtId="165" formatCode="[$-416]d\-mmm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sz val="8"/>
      <color rgb="FF000000"/>
      <name val="Arial"/>
      <family val="1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</cellStyleXfs>
  <cellXfs count="131">
    <xf numFmtId="0" fontId="0" fillId="0" borderId="0" xfId="0"/>
    <xf numFmtId="49" fontId="0" fillId="0" borderId="0" xfId="0" applyNumberFormat="1"/>
    <xf numFmtId="0" fontId="0" fillId="0" borderId="0" xfId="0" applyFill="1"/>
    <xf numFmtId="49" fontId="0" fillId="0" borderId="0" xfId="0" applyNumberForma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17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wrapText="1"/>
    </xf>
    <xf numFmtId="0" fontId="1" fillId="0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3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6" fillId="5" borderId="1" xfId="2" applyNumberFormat="1" applyFont="1" applyFill="1" applyBorder="1" applyAlignment="1">
      <alignment horizontal="center"/>
    </xf>
    <xf numFmtId="0" fontId="6" fillId="5" borderId="1" xfId="2" applyNumberFormat="1" applyFont="1" applyFill="1" applyBorder="1" applyAlignment="1">
      <alignment horizontal="left"/>
    </xf>
    <xf numFmtId="0" fontId="6" fillId="0" borderId="1" xfId="2" applyNumberFormat="1" applyFont="1" applyBorder="1" applyAlignment="1">
      <alignment horizontal="left"/>
    </xf>
    <xf numFmtId="0" fontId="7" fillId="5" borderId="1" xfId="2" applyNumberFormat="1" applyFont="1" applyFill="1" applyBorder="1" applyAlignment="1">
      <alignment horizontal="center"/>
    </xf>
    <xf numFmtId="0" fontId="8" fillId="0" borderId="1" xfId="1" applyNumberFormat="1" applyFont="1" applyBorder="1" applyAlignment="1">
      <alignment horizontal="right"/>
    </xf>
    <xf numFmtId="0" fontId="8" fillId="0" borderId="1" xfId="2" applyNumberFormat="1" applyFont="1" applyBorder="1" applyAlignment="1">
      <alignment horizontal="left"/>
    </xf>
    <xf numFmtId="0" fontId="8" fillId="0" borderId="1" xfId="2" applyNumberFormat="1" applyFont="1" applyBorder="1" applyAlignment="1">
      <alignment horizontal="center"/>
    </xf>
    <xf numFmtId="0" fontId="8" fillId="0" borderId="1" xfId="2" applyNumberFormat="1" applyFont="1" applyFill="1" applyBorder="1" applyAlignment="1">
      <alignment horizontal="left"/>
    </xf>
    <xf numFmtId="0" fontId="7" fillId="5" borderId="2" xfId="2" applyNumberFormat="1" applyFont="1" applyFill="1" applyBorder="1" applyAlignment="1">
      <alignment horizontal="center"/>
    </xf>
    <xf numFmtId="0" fontId="8" fillId="0" borderId="3" xfId="2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 applyFont="1" applyBorder="1"/>
    <xf numFmtId="0" fontId="0" fillId="0" borderId="4" xfId="0" applyBorder="1"/>
    <xf numFmtId="49" fontId="0" fillId="0" borderId="4" xfId="0" applyNumberFormat="1" applyFont="1" applyBorder="1"/>
    <xf numFmtId="49" fontId="0" fillId="6" borderId="4" xfId="0" applyNumberFormat="1" applyFont="1" applyFill="1" applyBorder="1"/>
    <xf numFmtId="0" fontId="0" fillId="0" borderId="0" xfId="0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7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14" fontId="0" fillId="4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0" xfId="0" applyAlignment="1"/>
    <xf numFmtId="0" fontId="0" fillId="0" borderId="5" xfId="0" applyBorder="1"/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17" fontId="0" fillId="0" borderId="5" xfId="0" applyNumberFormat="1" applyBorder="1" applyAlignment="1">
      <alignment horizontal="center"/>
    </xf>
    <xf numFmtId="0" fontId="9" fillId="0" borderId="0" xfId="3"/>
    <xf numFmtId="0" fontId="9" fillId="0" borderId="0" xfId="3" applyAlignment="1">
      <alignment horizontal="center"/>
    </xf>
    <xf numFmtId="0" fontId="9" fillId="0" borderId="7" xfId="3" applyBorder="1" applyAlignment="1">
      <alignment horizontal="center"/>
    </xf>
    <xf numFmtId="165" fontId="9" fillId="0" borderId="8" xfId="3" applyNumberFormat="1" applyFill="1" applyBorder="1" applyAlignment="1">
      <alignment horizontal="center"/>
    </xf>
    <xf numFmtId="0" fontId="9" fillId="0" borderId="13" xfId="3" applyBorder="1" applyAlignment="1">
      <alignment horizontal="center"/>
    </xf>
    <xf numFmtId="0" fontId="9" fillId="0" borderId="14" xfId="3" applyFill="1" applyBorder="1" applyAlignment="1">
      <alignment horizontal="center"/>
    </xf>
    <xf numFmtId="0" fontId="9" fillId="0" borderId="15" xfId="3" applyFill="1" applyBorder="1" applyAlignment="1">
      <alignment horizontal="center"/>
    </xf>
    <xf numFmtId="0" fontId="2" fillId="8" borderId="16" xfId="3" applyFont="1" applyFill="1" applyBorder="1" applyAlignment="1">
      <alignment horizontal="center"/>
    </xf>
    <xf numFmtId="0" fontId="9" fillId="0" borderId="19" xfId="3" applyBorder="1" applyAlignment="1">
      <alignment horizontal="center"/>
    </xf>
    <xf numFmtId="0" fontId="2" fillId="8" borderId="20" xfId="3" applyFont="1" applyFill="1" applyBorder="1" applyAlignment="1">
      <alignment horizontal="center"/>
    </xf>
    <xf numFmtId="0" fontId="2" fillId="8" borderId="21" xfId="3" applyFont="1" applyFill="1" applyBorder="1" applyAlignment="1">
      <alignment horizontal="center"/>
    </xf>
    <xf numFmtId="0" fontId="2" fillId="8" borderId="22" xfId="3" applyFont="1" applyFill="1" applyBorder="1" applyAlignment="1">
      <alignment horizontal="center"/>
    </xf>
    <xf numFmtId="0" fontId="9" fillId="0" borderId="22" xfId="3" applyBorder="1" applyAlignment="1">
      <alignment horizontal="center"/>
    </xf>
    <xf numFmtId="0" fontId="2" fillId="8" borderId="1" xfId="3" applyFont="1" applyFill="1" applyBorder="1" applyAlignment="1">
      <alignment horizontal="center"/>
    </xf>
    <xf numFmtId="0" fontId="2" fillId="8" borderId="25" xfId="3" applyFont="1" applyFill="1" applyBorder="1" applyAlignment="1">
      <alignment horizontal="center"/>
    </xf>
    <xf numFmtId="0" fontId="9" fillId="0" borderId="26" xfId="3" applyBorder="1" applyAlignment="1">
      <alignment horizontal="center"/>
    </xf>
    <xf numFmtId="0" fontId="2" fillId="8" borderId="27" xfId="3" applyFont="1" applyFill="1" applyBorder="1" applyAlignment="1">
      <alignment horizontal="center"/>
    </xf>
    <xf numFmtId="0" fontId="2" fillId="8" borderId="28" xfId="3" applyFont="1" applyFill="1" applyBorder="1" applyAlignment="1">
      <alignment horizontal="center"/>
    </xf>
    <xf numFmtId="0" fontId="9" fillId="0" borderId="16" xfId="3" applyBorder="1" applyAlignment="1">
      <alignment horizontal="center"/>
    </xf>
    <xf numFmtId="0" fontId="2" fillId="8" borderId="29" xfId="3" applyFont="1" applyFill="1" applyBorder="1" applyAlignment="1">
      <alignment horizontal="center"/>
    </xf>
    <xf numFmtId="0" fontId="2" fillId="8" borderId="30" xfId="3" applyFont="1" applyFill="1" applyBorder="1" applyAlignment="1">
      <alignment horizontal="center"/>
    </xf>
    <xf numFmtId="0" fontId="2" fillId="9" borderId="26" xfId="3" applyFont="1" applyFill="1" applyBorder="1" applyAlignment="1">
      <alignment horizontal="center"/>
    </xf>
    <xf numFmtId="0" fontId="9" fillId="0" borderId="34" xfId="3" applyBorder="1" applyAlignment="1">
      <alignment horizontal="center"/>
    </xf>
    <xf numFmtId="0" fontId="9" fillId="0" borderId="2" xfId="3" applyFill="1" applyBorder="1" applyAlignment="1">
      <alignment horizontal="center"/>
    </xf>
    <xf numFmtId="0" fontId="9" fillId="0" borderId="35" xfId="3" applyFill="1" applyBorder="1" applyAlignment="1">
      <alignment horizontal="center"/>
    </xf>
    <xf numFmtId="0" fontId="9" fillId="0" borderId="36" xfId="3" applyBorder="1" applyAlignment="1">
      <alignment horizontal="center"/>
    </xf>
    <xf numFmtId="0" fontId="9" fillId="0" borderId="37" xfId="3" applyBorder="1" applyAlignment="1">
      <alignment horizontal="center"/>
    </xf>
    <xf numFmtId="0" fontId="9" fillId="0" borderId="38" xfId="3" applyBorder="1" applyAlignment="1">
      <alignment horizontal="center"/>
    </xf>
    <xf numFmtId="0" fontId="9" fillId="0" borderId="39" xfId="3" applyBorder="1" applyAlignment="1">
      <alignment horizontal="center"/>
    </xf>
    <xf numFmtId="0" fontId="9" fillId="0" borderId="41" xfId="3" applyBorder="1" applyAlignment="1">
      <alignment horizontal="center"/>
    </xf>
    <xf numFmtId="0" fontId="2" fillId="8" borderId="42" xfId="3" applyFont="1" applyFill="1" applyBorder="1" applyAlignment="1">
      <alignment horizontal="center"/>
    </xf>
    <xf numFmtId="0" fontId="2" fillId="8" borderId="43" xfId="3" applyFont="1" applyFill="1" applyBorder="1" applyAlignment="1">
      <alignment horizontal="center"/>
    </xf>
    <xf numFmtId="0" fontId="2" fillId="8" borderId="45" xfId="3" applyFont="1" applyFill="1" applyBorder="1" applyAlignment="1">
      <alignment horizontal="center"/>
    </xf>
    <xf numFmtId="0" fontId="2" fillId="8" borderId="23" xfId="3" applyFont="1" applyFill="1" applyBorder="1" applyAlignment="1">
      <alignment horizontal="center"/>
    </xf>
    <xf numFmtId="0" fontId="2" fillId="8" borderId="31" xfId="3" applyFont="1" applyFill="1" applyBorder="1" applyAlignment="1">
      <alignment horizontal="center"/>
    </xf>
    <xf numFmtId="0" fontId="2" fillId="0" borderId="20" xfId="3" applyFont="1" applyFill="1" applyBorder="1" applyAlignment="1">
      <alignment horizontal="center"/>
    </xf>
    <xf numFmtId="0" fontId="2" fillId="0" borderId="21" xfId="3" applyFont="1" applyFill="1" applyBorder="1" applyAlignment="1">
      <alignment horizontal="center"/>
    </xf>
    <xf numFmtId="0" fontId="2" fillId="0" borderId="1" xfId="3" applyFont="1" applyFill="1" applyBorder="1" applyAlignment="1">
      <alignment horizontal="center"/>
    </xf>
    <xf numFmtId="0" fontId="2" fillId="0" borderId="25" xfId="3" applyFont="1" applyFill="1" applyBorder="1" applyAlignment="1">
      <alignment horizontal="center"/>
    </xf>
    <xf numFmtId="0" fontId="2" fillId="0" borderId="27" xfId="3" applyFont="1" applyFill="1" applyBorder="1" applyAlignment="1">
      <alignment horizontal="center"/>
    </xf>
    <xf numFmtId="0" fontId="2" fillId="0" borderId="28" xfId="3" applyFont="1" applyFill="1" applyBorder="1" applyAlignment="1">
      <alignment horizontal="center"/>
    </xf>
    <xf numFmtId="0" fontId="2" fillId="0" borderId="29" xfId="3" applyFont="1" applyFill="1" applyBorder="1" applyAlignment="1">
      <alignment horizontal="center"/>
    </xf>
    <xf numFmtId="0" fontId="2" fillId="0" borderId="30" xfId="3" applyFont="1" applyFill="1" applyBorder="1" applyAlignment="1">
      <alignment horizontal="center"/>
    </xf>
    <xf numFmtId="0" fontId="11" fillId="0" borderId="29" xfId="3" applyFont="1" applyFill="1" applyBorder="1" applyAlignment="1">
      <alignment horizontal="center"/>
    </xf>
    <xf numFmtId="0" fontId="2" fillId="8" borderId="2" xfId="3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 vertical="center"/>
    </xf>
    <xf numFmtId="14" fontId="0" fillId="3" borderId="0" xfId="0" applyNumberFormat="1" applyFill="1" applyAlignment="1">
      <alignment horizontal="center"/>
    </xf>
    <xf numFmtId="0" fontId="9" fillId="0" borderId="6" xfId="3" applyBorder="1" applyAlignment="1">
      <alignment horizontal="center" vertical="center" textRotation="255" wrapText="1"/>
    </xf>
    <xf numFmtId="0" fontId="9" fillId="0" borderId="12" xfId="3" applyBorder="1" applyAlignment="1">
      <alignment horizontal="center" vertical="center" textRotation="255" wrapText="1"/>
    </xf>
    <xf numFmtId="0" fontId="9" fillId="0" borderId="33" xfId="3" applyBorder="1" applyAlignment="1">
      <alignment horizontal="center" vertical="center" textRotation="255" wrapText="1"/>
    </xf>
    <xf numFmtId="0" fontId="9" fillId="0" borderId="6" xfId="3" applyBorder="1" applyAlignment="1">
      <alignment horizontal="center" vertical="center" textRotation="255"/>
    </xf>
    <xf numFmtId="0" fontId="9" fillId="0" borderId="12" xfId="3" applyBorder="1" applyAlignment="1">
      <alignment horizontal="center" vertical="center" textRotation="255"/>
    </xf>
    <xf numFmtId="0" fontId="9" fillId="0" borderId="33" xfId="3" applyBorder="1" applyAlignment="1">
      <alignment horizontal="center" vertical="center" textRotation="255"/>
    </xf>
    <xf numFmtId="0" fontId="10" fillId="0" borderId="9" xfId="3" applyFont="1" applyBorder="1" applyAlignment="1">
      <alignment horizontal="center"/>
    </xf>
    <xf numFmtId="0" fontId="10" fillId="0" borderId="10" xfId="3" applyFont="1" applyBorder="1" applyAlignment="1">
      <alignment horizontal="center"/>
    </xf>
    <xf numFmtId="0" fontId="10" fillId="0" borderId="11" xfId="3" applyFont="1" applyBorder="1" applyAlignment="1">
      <alignment horizontal="center"/>
    </xf>
    <xf numFmtId="0" fontId="9" fillId="0" borderId="17" xfId="3" applyBorder="1" applyAlignment="1">
      <alignment horizontal="center"/>
    </xf>
    <xf numFmtId="0" fontId="9" fillId="0" borderId="18" xfId="3" applyBorder="1" applyAlignment="1">
      <alignment horizontal="center"/>
    </xf>
    <xf numFmtId="0" fontId="9" fillId="0" borderId="23" xfId="3" applyBorder="1" applyAlignment="1">
      <alignment horizontal="center"/>
    </xf>
    <xf numFmtId="0" fontId="9" fillId="0" borderId="24" xfId="3" applyBorder="1" applyAlignment="1">
      <alignment horizontal="center"/>
    </xf>
    <xf numFmtId="0" fontId="9" fillId="0" borderId="31" xfId="3" applyBorder="1" applyAlignment="1">
      <alignment horizontal="center"/>
    </xf>
    <xf numFmtId="0" fontId="9" fillId="0" borderId="32" xfId="3" applyBorder="1" applyAlignment="1">
      <alignment horizontal="center"/>
    </xf>
    <xf numFmtId="0" fontId="9" fillId="0" borderId="40" xfId="3" applyBorder="1" applyAlignment="1">
      <alignment horizontal="center" vertical="center" textRotation="255" wrapText="1"/>
    </xf>
    <xf numFmtId="0" fontId="9" fillId="0" borderId="44" xfId="3" applyBorder="1" applyAlignment="1">
      <alignment horizontal="center" vertical="center" textRotation="255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 vertical="center" textRotation="90" wrapText="1"/>
    </xf>
  </cellXfs>
  <cellStyles count="4">
    <cellStyle name="Moeda" xfId="1" builtinId="4"/>
    <cellStyle name="Normal" xfId="0" builtinId="0"/>
    <cellStyle name="Normal 2" xfId="3" xr:uid="{9E8BF9B8-3261-4EB9-B729-BC8BFBB4315A}"/>
    <cellStyle name="Porcentagem" xfId="2" builtinId="5"/>
  </cellStyles>
  <dxfs count="99">
    <dxf>
      <font>
        <b/>
        <i val="0"/>
        <color auto="1"/>
      </font>
      <fill>
        <patternFill>
          <bgColor theme="3" tint="0.79998168889431442"/>
        </patternFill>
      </fill>
    </dxf>
    <dxf>
      <font>
        <b/>
        <i val="0"/>
        <color auto="1"/>
      </font>
      <fill>
        <patternFill>
          <bgColor theme="5" tint="0.59996337778862885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8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ont>
        <b/>
        <i val="0"/>
        <color auto="1"/>
      </font>
      <fill>
        <patternFill>
          <bgColor theme="5" tint="0.59996337778862885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8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ont>
        <b/>
        <i val="0"/>
        <color auto="1"/>
      </font>
      <fill>
        <patternFill>
          <bgColor theme="5" tint="0.59996337778862885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8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ont>
        <b/>
        <i val="0"/>
        <color auto="1"/>
      </font>
      <fill>
        <patternFill>
          <bgColor theme="5" tint="0.59996337778862885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8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ont>
        <b/>
        <i val="0"/>
        <color auto="1"/>
      </font>
      <fill>
        <patternFill>
          <bgColor theme="5" tint="0.59996337778862885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8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ont>
        <b/>
        <i val="0"/>
        <color auto="1"/>
      </font>
      <fill>
        <patternFill>
          <bgColor theme="5" tint="0.59996337778862885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8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ont>
        <b/>
        <i val="0"/>
        <color auto="1"/>
      </font>
      <fill>
        <patternFill>
          <bgColor theme="5" tint="0.59996337778862885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8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ont>
        <b/>
        <i val="0"/>
        <color auto="1"/>
      </font>
      <fill>
        <patternFill>
          <bgColor theme="5" tint="0.59996337778862885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8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ont>
        <b/>
        <i val="0"/>
        <color auto="1"/>
      </font>
      <fill>
        <patternFill>
          <bgColor theme="5" tint="0.59996337778862885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8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ont>
        <b/>
        <i val="0"/>
        <color auto="1"/>
      </font>
      <fill>
        <patternFill>
          <bgColor theme="5" tint="0.59996337778862885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8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ont>
        <b/>
        <i val="0"/>
        <color auto="1"/>
      </font>
      <fill>
        <patternFill>
          <bgColor theme="5" tint="0.59996337778862885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8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ont>
        <b/>
        <i val="0"/>
        <color auto="1"/>
      </font>
      <fill>
        <patternFill>
          <bgColor theme="5" tint="0.59996337778862885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8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auto="1"/>
      </font>
      <fill>
        <patternFill>
          <bgColor theme="3" tint="0.79998168889431442"/>
        </patternFill>
      </fill>
    </dxf>
    <dxf>
      <font>
        <b/>
        <i val="0"/>
        <color auto="1"/>
      </font>
      <fill>
        <patternFill>
          <bgColor theme="5" tint="0.59996337778862885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8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auto="1"/>
      </font>
      <fill>
        <patternFill>
          <bgColor theme="5" tint="0.59996337778862885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8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auto="1"/>
      </font>
      <fill>
        <patternFill>
          <bgColor theme="5" tint="0.59996337778862885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8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auto="1"/>
      </font>
      <fill>
        <patternFill>
          <bgColor theme="5" tint="0.59996337778862885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8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auto="1"/>
      </font>
      <fill>
        <patternFill>
          <bgColor theme="5" tint="0.59996337778862885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8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4472C4"/>
          <bgColor rgb="FF4472C4"/>
        </patternFill>
      </fill>
    </dxf>
    <dxf>
      <fill>
        <patternFill patternType="solid">
          <fgColor rgb="FFFFC000"/>
          <bgColor rgb="FFFFC0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9" formatCode="dd/mm/yyyy"/>
      <alignment horizontal="center" textRotation="0" wrapText="0" indent="0" justifyLastLine="0" shrinkToFit="0" readingOrder="0"/>
    </dxf>
    <dxf>
      <numFmt numFmtId="30" formatCode="@"/>
    </dxf>
    <dxf>
      <numFmt numFmtId="30" formatCode="@"/>
    </dxf>
    <dxf>
      <numFmt numFmtId="1" formatCode="0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358589</xdr:colOff>
      <xdr:row>67</xdr:row>
      <xdr:rowOff>0</xdr:rowOff>
    </xdr:from>
    <xdr:ext cx="184731" cy="2645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6141465-F9AD-4845-9F7D-00F7002B74F1}"/>
            </a:ext>
          </a:extLst>
        </xdr:cNvPr>
        <xdr:cNvSpPr txBox="1"/>
      </xdr:nvSpPr>
      <xdr:spPr>
        <a:xfrm>
          <a:off x="6349814" y="13192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0093AC-36E1-42F8-B3C8-46DC5A563912}" name="Tabela2" displayName="Tabela2" ref="A1:L191" totalsRowShown="0" headerRowDxfId="96">
  <autoFilter ref="A1:L191" xr:uid="{C36EB754-FAB5-46D1-88E1-ECE8A95A1C6D}">
    <filterColumn colId="9">
      <filters>
        <filter val="ATIVO"/>
      </filters>
    </filterColumn>
  </autoFilter>
  <tableColumns count="12">
    <tableColumn id="8" xr3:uid="{9026365C-1C4D-4A01-8043-59FC058EBA1D}" name="N" dataDxfId="95"/>
    <tableColumn id="1" xr3:uid="{38589BE0-498E-49CE-A43A-BA9E2DE0FD18}" name="MATRÍCULA" dataDxfId="94"/>
    <tableColumn id="2" xr3:uid="{AC8E2935-3A90-44A2-A195-90CCE35C237D}" name="NOME" dataDxfId="93"/>
    <tableColumn id="18" xr3:uid="{AE381BAD-2A36-4C5F-8FC8-BC532A0B9DEC}" name="NOME CREARE" dataDxfId="92"/>
    <tableColumn id="3" xr3:uid="{EF667648-422A-4A0B-888B-C3A3F754E84B}" name="DATA DE ADMISSÃO" dataDxfId="91"/>
    <tableColumn id="4" xr3:uid="{D794666F-F212-4E9A-AE76-8172196B1269}" name="FUNÇÃO" dataDxfId="90"/>
    <tableColumn id="5" xr3:uid="{311B6789-962E-403A-89CE-D050D4F01281}" name="TURNO" dataDxfId="89"/>
    <tableColumn id="6" xr3:uid="{0A41FFDF-2EA4-4586-A8EF-202E3E3F22FD}" name="GESTÃO"/>
    <tableColumn id="9" xr3:uid="{2C91CC6D-4549-49CE-AD3F-49C063344868}" name="TELEFONE"/>
    <tableColumn id="11" xr3:uid="{B98864C6-4EF0-497D-86E6-2790E7A9CD2D}" name="STATUS" dataDxfId="88"/>
    <tableColumn id="14" xr3:uid="{1833FF49-A4C6-4BDD-881E-B4AAE4224AAF}" name="NOVA ÁREA" dataDxfId="87"/>
    <tableColumn id="15" xr3:uid="{9D3F988C-F59A-47CA-BD35-EF6271AC1468}" name="DATA MOVIMENTAÇÃO" dataDxfId="8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91"/>
  <sheetViews>
    <sheetView tabSelected="1" topLeftCell="B1" zoomScale="70" zoomScaleNormal="70" workbookViewId="0">
      <selection activeCell="F33" sqref="F33"/>
    </sheetView>
  </sheetViews>
  <sheetFormatPr defaultRowHeight="15" x14ac:dyDescent="0.25"/>
  <cols>
    <col min="1" max="1" width="8.28515625" style="5" customWidth="1"/>
    <col min="2" max="2" width="16.140625" style="8" bestFit="1" customWidth="1"/>
    <col min="3" max="3" width="45.28515625" style="1" bestFit="1" customWidth="1"/>
    <col min="4" max="4" width="39.85546875" style="1" hidden="1" customWidth="1"/>
    <col min="5" max="5" width="23.5703125" style="9" customWidth="1"/>
    <col min="6" max="6" width="34.5703125" style="5" bestFit="1" customWidth="1"/>
    <col min="7" max="7" width="21.5703125" style="4" customWidth="1"/>
    <col min="8" max="8" width="43.140625" style="4" bestFit="1" customWidth="1"/>
    <col min="9" max="9" width="42.85546875" bestFit="1" customWidth="1"/>
    <col min="10" max="10" width="22.42578125" customWidth="1"/>
    <col min="11" max="11" width="22.42578125" style="5" bestFit="1" customWidth="1"/>
    <col min="12" max="12" width="21.42578125" style="5" bestFit="1" customWidth="1"/>
    <col min="13" max="13" width="22.140625" customWidth="1"/>
  </cols>
  <sheetData>
    <row r="1" spans="1:12" x14ac:dyDescent="0.25">
      <c r="A1" s="4" t="s">
        <v>174</v>
      </c>
      <c r="B1" s="10" t="s">
        <v>0</v>
      </c>
      <c r="C1" s="11" t="s">
        <v>1</v>
      </c>
      <c r="D1" s="11" t="s">
        <v>529</v>
      </c>
      <c r="E1" s="12" t="s">
        <v>160</v>
      </c>
      <c r="F1" s="4" t="s">
        <v>2</v>
      </c>
      <c r="G1" s="4" t="s">
        <v>255</v>
      </c>
      <c r="H1" s="4" t="s">
        <v>759</v>
      </c>
      <c r="I1" s="4" t="s">
        <v>176</v>
      </c>
      <c r="J1" s="4" t="s">
        <v>763</v>
      </c>
      <c r="K1" s="4" t="s">
        <v>248</v>
      </c>
      <c r="L1" s="4" t="s">
        <v>391</v>
      </c>
    </row>
    <row r="2" spans="1:12" x14ac:dyDescent="0.25">
      <c r="A2" s="5">
        <v>1</v>
      </c>
      <c r="B2" s="8">
        <v>37004438</v>
      </c>
      <c r="C2" s="3" t="s">
        <v>139</v>
      </c>
      <c r="D2" s="1" t="s">
        <v>725</v>
      </c>
      <c r="E2" s="9">
        <v>43892</v>
      </c>
      <c r="F2" s="5" t="s">
        <v>5</v>
      </c>
      <c r="G2" s="4" t="s">
        <v>6</v>
      </c>
      <c r="H2" t="s">
        <v>96</v>
      </c>
      <c r="I2" s="5" t="s">
        <v>242</v>
      </c>
      <c r="J2" s="5" t="s">
        <v>764</v>
      </c>
    </row>
    <row r="3" spans="1:12" hidden="1" x14ac:dyDescent="0.25">
      <c r="A3" s="5">
        <v>2</v>
      </c>
      <c r="B3" s="8">
        <v>37004410</v>
      </c>
      <c r="C3" s="3" t="s">
        <v>12</v>
      </c>
      <c r="D3" s="1" t="s">
        <v>584</v>
      </c>
      <c r="E3" s="9">
        <v>43878</v>
      </c>
      <c r="F3" s="5" t="s">
        <v>138</v>
      </c>
      <c r="G3" s="4" t="s">
        <v>6</v>
      </c>
      <c r="H3" t="s">
        <v>96</v>
      </c>
      <c r="J3" s="5" t="s">
        <v>247</v>
      </c>
      <c r="K3" s="5" t="s">
        <v>249</v>
      </c>
      <c r="L3" s="9">
        <v>45474</v>
      </c>
    </row>
    <row r="4" spans="1:12" x14ac:dyDescent="0.25">
      <c r="A4" s="5">
        <v>3</v>
      </c>
      <c r="B4" s="8">
        <v>37000103</v>
      </c>
      <c r="C4" s="3" t="s">
        <v>102</v>
      </c>
      <c r="D4" s="1" t="s">
        <v>656</v>
      </c>
      <c r="E4" s="9">
        <v>33987</v>
      </c>
      <c r="F4" s="5" t="s">
        <v>138</v>
      </c>
      <c r="G4" s="4" t="s">
        <v>6</v>
      </c>
      <c r="H4" t="s">
        <v>96</v>
      </c>
      <c r="I4" s="5"/>
      <c r="J4" s="5" t="s">
        <v>764</v>
      </c>
    </row>
    <row r="5" spans="1:12" x14ac:dyDescent="0.25">
      <c r="A5" s="5">
        <v>4</v>
      </c>
      <c r="B5" s="8">
        <v>37000212</v>
      </c>
      <c r="C5" s="3" t="s">
        <v>103</v>
      </c>
      <c r="D5" s="1" t="s">
        <v>657</v>
      </c>
      <c r="E5" s="9">
        <v>35300</v>
      </c>
      <c r="F5" s="5" t="s">
        <v>138</v>
      </c>
      <c r="G5" s="4" t="s">
        <v>6</v>
      </c>
      <c r="H5" t="s">
        <v>96</v>
      </c>
      <c r="I5" s="5"/>
      <c r="J5" s="5" t="s">
        <v>764</v>
      </c>
    </row>
    <row r="6" spans="1:12" x14ac:dyDescent="0.25">
      <c r="A6" s="5">
        <v>5</v>
      </c>
      <c r="B6" s="8">
        <v>37005825</v>
      </c>
      <c r="C6" s="3" t="s">
        <v>119</v>
      </c>
      <c r="D6" s="1" t="s">
        <v>658</v>
      </c>
      <c r="E6" s="9">
        <v>44354</v>
      </c>
      <c r="F6" s="5" t="s">
        <v>138</v>
      </c>
      <c r="G6" s="4" t="s">
        <v>6</v>
      </c>
      <c r="H6" t="s">
        <v>96</v>
      </c>
      <c r="I6" s="5"/>
      <c r="J6" s="5" t="s">
        <v>764</v>
      </c>
    </row>
    <row r="7" spans="1:12" x14ac:dyDescent="0.25">
      <c r="A7" s="5">
        <v>6</v>
      </c>
      <c r="B7" s="8">
        <v>37005812</v>
      </c>
      <c r="C7" s="3" t="s">
        <v>13</v>
      </c>
      <c r="D7" s="1" t="s">
        <v>659</v>
      </c>
      <c r="E7" s="9">
        <v>44354</v>
      </c>
      <c r="F7" s="5" t="s">
        <v>138</v>
      </c>
      <c r="G7" s="4" t="s">
        <v>6</v>
      </c>
      <c r="H7" t="s">
        <v>96</v>
      </c>
      <c r="I7" s="5"/>
      <c r="J7" s="5" t="s">
        <v>764</v>
      </c>
    </row>
    <row r="8" spans="1:12" hidden="1" x14ac:dyDescent="0.25">
      <c r="A8" s="5">
        <v>7</v>
      </c>
      <c r="B8" s="8">
        <v>37004371</v>
      </c>
      <c r="C8" s="3" t="s">
        <v>14</v>
      </c>
      <c r="D8" s="1" t="s">
        <v>588</v>
      </c>
      <c r="E8" s="9">
        <v>43878</v>
      </c>
      <c r="F8" s="5" t="s">
        <v>138</v>
      </c>
      <c r="G8" s="4" t="s">
        <v>6</v>
      </c>
      <c r="H8" t="s">
        <v>96</v>
      </c>
      <c r="J8" s="5" t="s">
        <v>247</v>
      </c>
      <c r="K8" s="5" t="s">
        <v>249</v>
      </c>
      <c r="L8" s="9">
        <v>45474</v>
      </c>
    </row>
    <row r="9" spans="1:12" hidden="1" x14ac:dyDescent="0.25">
      <c r="A9" s="5">
        <v>8</v>
      </c>
      <c r="B9" s="8">
        <v>37000616</v>
      </c>
      <c r="C9" s="3" t="s">
        <v>15</v>
      </c>
      <c r="D9" s="1" t="s">
        <v>589</v>
      </c>
      <c r="E9" s="9">
        <v>39489</v>
      </c>
      <c r="F9" s="5" t="s">
        <v>138</v>
      </c>
      <c r="G9" s="4" t="s">
        <v>6</v>
      </c>
      <c r="H9" t="s">
        <v>96</v>
      </c>
      <c r="I9" t="s">
        <v>227</v>
      </c>
      <c r="J9" s="5" t="s">
        <v>247</v>
      </c>
      <c r="K9" s="5" t="s">
        <v>249</v>
      </c>
      <c r="L9" s="9">
        <v>45474</v>
      </c>
    </row>
    <row r="10" spans="1:12" x14ac:dyDescent="0.25">
      <c r="A10" s="5">
        <v>9</v>
      </c>
      <c r="B10" s="8">
        <v>37001952</v>
      </c>
      <c r="C10" s="3" t="s">
        <v>7</v>
      </c>
      <c r="D10" s="1" t="s">
        <v>660</v>
      </c>
      <c r="E10" s="9">
        <v>42870</v>
      </c>
      <c r="F10" s="5" t="s">
        <v>138</v>
      </c>
      <c r="G10" s="4" t="s">
        <v>6</v>
      </c>
      <c r="H10" t="s">
        <v>96</v>
      </c>
      <c r="I10" s="5"/>
      <c r="J10" s="5" t="s">
        <v>764</v>
      </c>
    </row>
    <row r="11" spans="1:12" hidden="1" x14ac:dyDescent="0.25">
      <c r="A11" s="5">
        <v>10</v>
      </c>
      <c r="B11" s="8">
        <v>37000598</v>
      </c>
      <c r="C11" s="3" t="s">
        <v>104</v>
      </c>
      <c r="D11" s="1" t="s">
        <v>591</v>
      </c>
      <c r="E11" s="9">
        <v>39468</v>
      </c>
      <c r="F11" s="5" t="s">
        <v>138</v>
      </c>
      <c r="G11" s="4" t="s">
        <v>6</v>
      </c>
      <c r="H11" t="s">
        <v>96</v>
      </c>
      <c r="J11" s="5" t="s">
        <v>247</v>
      </c>
      <c r="K11" s="5" t="s">
        <v>249</v>
      </c>
      <c r="L11" s="9">
        <v>45474</v>
      </c>
    </row>
    <row r="12" spans="1:12" hidden="1" x14ac:dyDescent="0.25">
      <c r="A12" s="5">
        <v>11</v>
      </c>
      <c r="B12" s="8">
        <v>37004367</v>
      </c>
      <c r="C12" s="3" t="s">
        <v>111</v>
      </c>
      <c r="D12" s="1" t="s">
        <v>616</v>
      </c>
      <c r="E12" s="9">
        <v>43878</v>
      </c>
      <c r="F12" s="5" t="s">
        <v>138</v>
      </c>
      <c r="G12" s="4" t="s">
        <v>6</v>
      </c>
      <c r="H12" t="s">
        <v>96</v>
      </c>
      <c r="J12" s="5" t="s">
        <v>247</v>
      </c>
      <c r="K12" s="5" t="s">
        <v>249</v>
      </c>
      <c r="L12" s="9">
        <v>45474</v>
      </c>
    </row>
    <row r="13" spans="1:12" s="2" customFormat="1" x14ac:dyDescent="0.25">
      <c r="A13" s="6">
        <v>12</v>
      </c>
      <c r="B13" s="13">
        <v>37002939</v>
      </c>
      <c r="C13" s="3" t="s">
        <v>16</v>
      </c>
      <c r="D13" s="1" t="s">
        <v>16</v>
      </c>
      <c r="E13" s="14">
        <v>43507</v>
      </c>
      <c r="F13" s="6" t="s">
        <v>138</v>
      </c>
      <c r="G13" s="7" t="s">
        <v>94</v>
      </c>
      <c r="H13" s="2" t="s">
        <v>100</v>
      </c>
      <c r="I13" s="6" t="s">
        <v>232</v>
      </c>
      <c r="J13" s="5" t="s">
        <v>764</v>
      </c>
      <c r="K13" s="6"/>
      <c r="L13" s="6"/>
    </row>
    <row r="14" spans="1:12" x14ac:dyDescent="0.25">
      <c r="A14" s="5">
        <v>13</v>
      </c>
      <c r="B14" s="8">
        <v>37007011</v>
      </c>
      <c r="C14" s="3" t="s">
        <v>133</v>
      </c>
      <c r="D14" s="1" t="s">
        <v>661</v>
      </c>
      <c r="E14" s="9">
        <v>44578</v>
      </c>
      <c r="F14" s="5" t="s">
        <v>138</v>
      </c>
      <c r="G14" s="4" t="s">
        <v>6</v>
      </c>
      <c r="H14" t="s">
        <v>96</v>
      </c>
      <c r="I14" s="5" t="s">
        <v>241</v>
      </c>
      <c r="J14" s="5" t="s">
        <v>764</v>
      </c>
    </row>
    <row r="15" spans="1:12" x14ac:dyDescent="0.25">
      <c r="A15" s="5">
        <v>14</v>
      </c>
      <c r="B15" s="8">
        <v>37006344</v>
      </c>
      <c r="C15" s="3" t="s">
        <v>126</v>
      </c>
      <c r="D15" s="1" t="s">
        <v>662</v>
      </c>
      <c r="E15" s="9">
        <v>44447</v>
      </c>
      <c r="F15" s="5" t="s">
        <v>138</v>
      </c>
      <c r="G15" s="4" t="s">
        <v>6</v>
      </c>
      <c r="H15" t="s">
        <v>96</v>
      </c>
      <c r="I15" s="5" t="s">
        <v>220</v>
      </c>
      <c r="J15" s="5" t="s">
        <v>764</v>
      </c>
    </row>
    <row r="16" spans="1:12" x14ac:dyDescent="0.25">
      <c r="A16" s="5">
        <v>15</v>
      </c>
      <c r="B16" s="8">
        <v>37006940</v>
      </c>
      <c r="C16" s="3" t="s">
        <v>8</v>
      </c>
      <c r="D16" s="1" t="s">
        <v>697</v>
      </c>
      <c r="E16" s="9">
        <v>44552</v>
      </c>
      <c r="F16" s="5" t="s">
        <v>138</v>
      </c>
      <c r="G16" s="4" t="s">
        <v>6</v>
      </c>
      <c r="H16" t="s">
        <v>96</v>
      </c>
      <c r="I16" s="5"/>
      <c r="J16" s="5" t="s">
        <v>764</v>
      </c>
    </row>
    <row r="17" spans="1:12" hidden="1" x14ac:dyDescent="0.25">
      <c r="A17" s="5">
        <v>16</v>
      </c>
      <c r="B17" s="8">
        <v>37014740</v>
      </c>
      <c r="C17" s="3" t="s">
        <v>145</v>
      </c>
      <c r="D17" s="1" t="s">
        <v>595</v>
      </c>
      <c r="E17" s="9">
        <v>45202</v>
      </c>
      <c r="F17" s="5" t="s">
        <v>138</v>
      </c>
      <c r="G17" s="4" t="s">
        <v>6</v>
      </c>
      <c r="H17" t="s">
        <v>96</v>
      </c>
      <c r="J17" s="5" t="s">
        <v>247</v>
      </c>
      <c r="K17" s="5" t="s">
        <v>249</v>
      </c>
      <c r="L17" s="9">
        <v>45474</v>
      </c>
    </row>
    <row r="18" spans="1:12" x14ac:dyDescent="0.25">
      <c r="A18" s="5">
        <v>17</v>
      </c>
      <c r="B18" s="8">
        <v>37001849</v>
      </c>
      <c r="C18" s="3" t="s">
        <v>146</v>
      </c>
      <c r="D18" s="1" t="s">
        <v>695</v>
      </c>
      <c r="E18" s="9">
        <v>42751</v>
      </c>
      <c r="F18" s="5" t="s">
        <v>138</v>
      </c>
      <c r="G18" s="4" t="s">
        <v>6</v>
      </c>
      <c r="H18" t="s">
        <v>96</v>
      </c>
      <c r="I18" s="5" t="s">
        <v>228</v>
      </c>
      <c r="J18" s="5" t="s">
        <v>764</v>
      </c>
    </row>
    <row r="19" spans="1:12" hidden="1" x14ac:dyDescent="0.25">
      <c r="A19" s="5">
        <v>18</v>
      </c>
      <c r="B19" s="8">
        <v>37004365</v>
      </c>
      <c r="C19" s="1" t="s">
        <v>17</v>
      </c>
      <c r="D19" s="1" t="s">
        <v>597</v>
      </c>
      <c r="E19" s="9">
        <v>43878</v>
      </c>
      <c r="F19" s="5" t="s">
        <v>138</v>
      </c>
      <c r="G19" s="4" t="s">
        <v>91</v>
      </c>
      <c r="H19" s="50" t="s">
        <v>97</v>
      </c>
      <c r="J19" s="5" t="s">
        <v>247</v>
      </c>
      <c r="K19" s="5" t="s">
        <v>249</v>
      </c>
      <c r="L19" s="9">
        <v>45474</v>
      </c>
    </row>
    <row r="20" spans="1:12" x14ac:dyDescent="0.25">
      <c r="A20" s="5">
        <v>19</v>
      </c>
      <c r="B20" s="8">
        <v>37001565</v>
      </c>
      <c r="C20" s="1" t="s">
        <v>18</v>
      </c>
      <c r="D20" s="1" t="s">
        <v>673</v>
      </c>
      <c r="E20" s="9">
        <v>42255</v>
      </c>
      <c r="F20" s="5" t="s">
        <v>5</v>
      </c>
      <c r="G20" s="4" t="s">
        <v>91</v>
      </c>
      <c r="H20" t="s">
        <v>97</v>
      </c>
      <c r="I20" s="5"/>
      <c r="J20" s="5" t="s">
        <v>764</v>
      </c>
    </row>
    <row r="21" spans="1:12" x14ac:dyDescent="0.25">
      <c r="A21" s="5">
        <v>20</v>
      </c>
      <c r="B21" s="8">
        <v>37000130</v>
      </c>
      <c r="C21" s="1" t="s">
        <v>19</v>
      </c>
      <c r="D21" s="1" t="s">
        <v>674</v>
      </c>
      <c r="E21" s="9">
        <v>34723</v>
      </c>
      <c r="F21" s="5" t="s">
        <v>138</v>
      </c>
      <c r="G21" s="4" t="s">
        <v>91</v>
      </c>
      <c r="H21" t="s">
        <v>97</v>
      </c>
      <c r="I21" s="5"/>
      <c r="J21" s="5" t="s">
        <v>764</v>
      </c>
    </row>
    <row r="22" spans="1:12" hidden="1" x14ac:dyDescent="0.25">
      <c r="A22" s="5">
        <v>21</v>
      </c>
      <c r="B22" s="8">
        <v>37004398</v>
      </c>
      <c r="C22" s="1" t="s">
        <v>113</v>
      </c>
      <c r="D22" s="1" t="s">
        <v>599</v>
      </c>
      <c r="E22" s="9">
        <v>43878</v>
      </c>
      <c r="F22" s="5" t="s">
        <v>138</v>
      </c>
      <c r="G22" s="4" t="s">
        <v>91</v>
      </c>
      <c r="H22" t="s">
        <v>97</v>
      </c>
      <c r="J22" s="5" t="s">
        <v>247</v>
      </c>
      <c r="K22" s="5" t="s">
        <v>249</v>
      </c>
      <c r="L22" s="9">
        <v>45474</v>
      </c>
    </row>
    <row r="23" spans="1:12" hidden="1" x14ac:dyDescent="0.25">
      <c r="A23" s="5">
        <v>22</v>
      </c>
      <c r="B23" s="8">
        <v>37005807</v>
      </c>
      <c r="C23" s="1" t="s">
        <v>116</v>
      </c>
      <c r="D23" s="1" t="s">
        <v>600</v>
      </c>
      <c r="E23" s="9">
        <v>44354</v>
      </c>
      <c r="F23" s="5" t="s">
        <v>138</v>
      </c>
      <c r="G23" s="4" t="s">
        <v>91</v>
      </c>
      <c r="H23" t="s">
        <v>97</v>
      </c>
      <c r="I23" t="s">
        <v>237</v>
      </c>
      <c r="J23" s="5" t="s">
        <v>247</v>
      </c>
      <c r="K23" s="5" t="s">
        <v>249</v>
      </c>
      <c r="L23" s="9">
        <v>45474</v>
      </c>
    </row>
    <row r="24" spans="1:12" x14ac:dyDescent="0.25">
      <c r="A24" s="5">
        <v>23</v>
      </c>
      <c r="B24" s="8">
        <v>37004387</v>
      </c>
      <c r="C24" s="1" t="s">
        <v>20</v>
      </c>
      <c r="D24" s="1" t="s">
        <v>676</v>
      </c>
      <c r="E24" s="9">
        <v>43878</v>
      </c>
      <c r="F24" s="5" t="s">
        <v>138</v>
      </c>
      <c r="G24" s="4" t="s">
        <v>91</v>
      </c>
      <c r="H24" t="s">
        <v>97</v>
      </c>
      <c r="I24" s="5" t="s">
        <v>226</v>
      </c>
      <c r="J24" s="5" t="s">
        <v>764</v>
      </c>
    </row>
    <row r="25" spans="1:12" x14ac:dyDescent="0.25">
      <c r="A25" s="5">
        <v>24</v>
      </c>
      <c r="B25" s="8">
        <v>37005816</v>
      </c>
      <c r="C25" s="1" t="s">
        <v>117</v>
      </c>
      <c r="D25" s="1" t="s">
        <v>677</v>
      </c>
      <c r="E25" s="9">
        <v>44354</v>
      </c>
      <c r="F25" s="5" t="s">
        <v>138</v>
      </c>
      <c r="G25" s="4" t="s">
        <v>91</v>
      </c>
      <c r="H25" t="s">
        <v>97</v>
      </c>
      <c r="I25" s="5"/>
      <c r="J25" s="5" t="s">
        <v>764</v>
      </c>
    </row>
    <row r="26" spans="1:12" x14ac:dyDescent="0.25">
      <c r="A26" s="5">
        <v>25</v>
      </c>
      <c r="B26" s="8">
        <v>37007801</v>
      </c>
      <c r="C26" s="1" t="s">
        <v>21</v>
      </c>
      <c r="D26" s="1" t="s">
        <v>678</v>
      </c>
      <c r="E26" s="9">
        <v>44704</v>
      </c>
      <c r="F26" s="5" t="s">
        <v>138</v>
      </c>
      <c r="G26" s="4" t="s">
        <v>91</v>
      </c>
      <c r="H26" t="s">
        <v>97</v>
      </c>
      <c r="I26" s="5"/>
      <c r="J26" s="5" t="s">
        <v>764</v>
      </c>
    </row>
    <row r="27" spans="1:12" x14ac:dyDescent="0.25">
      <c r="A27" s="5">
        <v>26</v>
      </c>
      <c r="B27" s="8">
        <v>37005809</v>
      </c>
      <c r="C27" s="1" t="s">
        <v>22</v>
      </c>
      <c r="D27" s="1" t="s">
        <v>22</v>
      </c>
      <c r="E27" s="9">
        <v>44354</v>
      </c>
      <c r="F27" s="5" t="s">
        <v>138</v>
      </c>
      <c r="G27" s="4" t="s">
        <v>91</v>
      </c>
      <c r="H27" t="s">
        <v>97</v>
      </c>
      <c r="I27" s="5"/>
      <c r="J27" s="5" t="s">
        <v>764</v>
      </c>
    </row>
    <row r="28" spans="1:12" hidden="1" x14ac:dyDescent="0.25">
      <c r="A28" s="5">
        <v>27</v>
      </c>
      <c r="B28" s="8">
        <v>37003128</v>
      </c>
      <c r="C28" s="1" t="s">
        <v>105</v>
      </c>
      <c r="D28" s="1" t="s">
        <v>605</v>
      </c>
      <c r="E28" s="9">
        <v>43577</v>
      </c>
      <c r="F28" s="5" t="s">
        <v>138</v>
      </c>
      <c r="G28" s="4" t="s">
        <v>91</v>
      </c>
      <c r="H28" t="s">
        <v>97</v>
      </c>
      <c r="I28" t="s">
        <v>235</v>
      </c>
      <c r="J28" s="5" t="s">
        <v>247</v>
      </c>
      <c r="K28" s="5" t="s">
        <v>249</v>
      </c>
      <c r="L28" s="9">
        <v>45474</v>
      </c>
    </row>
    <row r="29" spans="1:12" x14ac:dyDescent="0.25">
      <c r="A29" s="5">
        <v>28</v>
      </c>
      <c r="B29" s="8">
        <v>37003179</v>
      </c>
      <c r="C29" s="1" t="s">
        <v>108</v>
      </c>
      <c r="D29" s="1" t="s">
        <v>679</v>
      </c>
      <c r="E29" s="9">
        <v>43598</v>
      </c>
      <c r="F29" s="5" t="s">
        <v>138</v>
      </c>
      <c r="G29" s="4" t="s">
        <v>91</v>
      </c>
      <c r="H29" t="s">
        <v>97</v>
      </c>
      <c r="I29" s="5"/>
      <c r="J29" s="5" t="s">
        <v>764</v>
      </c>
    </row>
    <row r="30" spans="1:12" hidden="1" x14ac:dyDescent="0.25">
      <c r="A30" s="5">
        <v>29</v>
      </c>
      <c r="B30" s="8">
        <v>37006330</v>
      </c>
      <c r="C30" s="1" t="s">
        <v>125</v>
      </c>
      <c r="D30" s="1" t="s">
        <v>606</v>
      </c>
      <c r="E30" s="9">
        <v>44447</v>
      </c>
      <c r="F30" s="5" t="s">
        <v>138</v>
      </c>
      <c r="G30" s="4" t="s">
        <v>91</v>
      </c>
      <c r="H30" t="s">
        <v>97</v>
      </c>
      <c r="I30" t="s">
        <v>231</v>
      </c>
      <c r="J30" s="5" t="s">
        <v>247</v>
      </c>
      <c r="K30" s="5" t="s">
        <v>249</v>
      </c>
      <c r="L30" s="9">
        <v>45474</v>
      </c>
    </row>
    <row r="31" spans="1:12" x14ac:dyDescent="0.25">
      <c r="A31" s="5">
        <v>30</v>
      </c>
      <c r="B31" s="8">
        <v>37009403</v>
      </c>
      <c r="C31" s="1" t="s">
        <v>137</v>
      </c>
      <c r="D31" s="1" t="s">
        <v>680</v>
      </c>
      <c r="E31" s="9">
        <v>44816</v>
      </c>
      <c r="F31" s="5" t="s">
        <v>138</v>
      </c>
      <c r="G31" s="4" t="s">
        <v>91</v>
      </c>
      <c r="H31" t="s">
        <v>97</v>
      </c>
      <c r="I31" s="5"/>
      <c r="J31" s="5" t="s">
        <v>764</v>
      </c>
    </row>
    <row r="32" spans="1:12" x14ac:dyDescent="0.25">
      <c r="A32" s="5">
        <v>31</v>
      </c>
      <c r="B32" s="8">
        <v>37010712</v>
      </c>
      <c r="C32" s="1" t="s">
        <v>23</v>
      </c>
      <c r="D32" s="1" t="s">
        <v>681</v>
      </c>
      <c r="E32" s="9">
        <v>44935</v>
      </c>
      <c r="F32" s="5" t="s">
        <v>138</v>
      </c>
      <c r="G32" s="4" t="s">
        <v>91</v>
      </c>
      <c r="H32" t="s">
        <v>97</v>
      </c>
      <c r="I32" s="5"/>
      <c r="J32" s="5" t="s">
        <v>764</v>
      </c>
    </row>
    <row r="33" spans="1:12" x14ac:dyDescent="0.25">
      <c r="A33" s="5">
        <v>32</v>
      </c>
      <c r="B33" s="8">
        <v>37007925</v>
      </c>
      <c r="C33" s="1" t="s">
        <v>24</v>
      </c>
      <c r="D33" s="1" t="s">
        <v>682</v>
      </c>
      <c r="E33" s="9">
        <v>44704</v>
      </c>
      <c r="F33" s="5" t="s">
        <v>138</v>
      </c>
      <c r="G33" s="4" t="s">
        <v>91</v>
      </c>
      <c r="H33" t="s">
        <v>97</v>
      </c>
      <c r="I33" s="5"/>
      <c r="J33" s="5" t="s">
        <v>764</v>
      </c>
    </row>
    <row r="34" spans="1:12" hidden="1" x14ac:dyDescent="0.25">
      <c r="A34" s="5">
        <v>33</v>
      </c>
      <c r="B34" s="8">
        <v>37014057</v>
      </c>
      <c r="C34" s="1" t="s">
        <v>147</v>
      </c>
      <c r="D34" s="1" t="s">
        <v>147</v>
      </c>
      <c r="E34" s="9">
        <v>45160</v>
      </c>
      <c r="F34" s="5" t="s">
        <v>138</v>
      </c>
      <c r="G34" s="4" t="s">
        <v>91</v>
      </c>
      <c r="H34" t="s">
        <v>97</v>
      </c>
      <c r="I34" t="s">
        <v>216</v>
      </c>
      <c r="J34" s="5" t="s">
        <v>247</v>
      </c>
      <c r="K34" s="5" t="s">
        <v>249</v>
      </c>
      <c r="L34" s="9">
        <v>45474</v>
      </c>
    </row>
    <row r="35" spans="1:12" x14ac:dyDescent="0.25">
      <c r="A35" s="5">
        <v>34</v>
      </c>
      <c r="B35" s="8">
        <v>37014595</v>
      </c>
      <c r="C35" s="1" t="s">
        <v>9</v>
      </c>
      <c r="D35" s="1" t="s">
        <v>683</v>
      </c>
      <c r="E35" s="9">
        <v>45188</v>
      </c>
      <c r="F35" s="5" t="s">
        <v>138</v>
      </c>
      <c r="G35" s="4" t="s">
        <v>91</v>
      </c>
      <c r="H35" t="s">
        <v>97</v>
      </c>
      <c r="I35" s="5"/>
      <c r="J35" s="5" t="s">
        <v>764</v>
      </c>
    </row>
    <row r="36" spans="1:12" hidden="1" x14ac:dyDescent="0.25">
      <c r="A36" s="5">
        <v>35</v>
      </c>
      <c r="B36" s="8">
        <v>37000183</v>
      </c>
      <c r="C36" s="1" t="s">
        <v>25</v>
      </c>
      <c r="D36" s="1" t="s">
        <v>611</v>
      </c>
      <c r="E36" s="9">
        <v>34950</v>
      </c>
      <c r="F36" s="5" t="s">
        <v>138</v>
      </c>
      <c r="G36" s="4" t="s">
        <v>92</v>
      </c>
      <c r="H36" t="s">
        <v>98</v>
      </c>
      <c r="I36" t="s">
        <v>224</v>
      </c>
      <c r="J36" s="5" t="s">
        <v>247</v>
      </c>
      <c r="K36" s="5" t="s">
        <v>249</v>
      </c>
      <c r="L36" s="9">
        <v>45474</v>
      </c>
    </row>
    <row r="37" spans="1:12" hidden="1" x14ac:dyDescent="0.25">
      <c r="A37" s="5">
        <v>36</v>
      </c>
      <c r="B37" s="8">
        <v>37004386</v>
      </c>
      <c r="C37" s="1" t="s">
        <v>26</v>
      </c>
      <c r="D37" s="1" t="s">
        <v>619</v>
      </c>
      <c r="E37" s="9">
        <v>43878</v>
      </c>
      <c r="F37" s="5" t="s">
        <v>138</v>
      </c>
      <c r="G37" s="4" t="s">
        <v>92</v>
      </c>
      <c r="H37" t="s">
        <v>98</v>
      </c>
      <c r="I37" t="s">
        <v>225</v>
      </c>
      <c r="J37" s="5" t="s">
        <v>247</v>
      </c>
      <c r="K37" s="5" t="s">
        <v>249</v>
      </c>
      <c r="L37" s="9">
        <v>45474</v>
      </c>
    </row>
    <row r="38" spans="1:12" x14ac:dyDescent="0.25">
      <c r="A38" s="5">
        <v>37</v>
      </c>
      <c r="B38" s="8">
        <v>37004394</v>
      </c>
      <c r="C38" s="1" t="s">
        <v>27</v>
      </c>
      <c r="D38" s="1" t="s">
        <v>635</v>
      </c>
      <c r="E38" s="9">
        <v>43878</v>
      </c>
      <c r="F38" s="5" t="s">
        <v>5</v>
      </c>
      <c r="G38" s="4" t="s">
        <v>92</v>
      </c>
      <c r="H38" t="s">
        <v>164</v>
      </c>
      <c r="I38" s="5"/>
      <c r="J38" s="5" t="s">
        <v>764</v>
      </c>
    </row>
    <row r="39" spans="1:12" hidden="1" x14ac:dyDescent="0.25">
      <c r="A39" s="5">
        <v>38</v>
      </c>
      <c r="B39" s="8">
        <v>37006321</v>
      </c>
      <c r="C39" s="1" t="s">
        <v>28</v>
      </c>
      <c r="D39" s="1" t="s">
        <v>613</v>
      </c>
      <c r="E39" s="9">
        <v>44447</v>
      </c>
      <c r="F39" s="5" t="s">
        <v>138</v>
      </c>
      <c r="G39" s="4" t="s">
        <v>92</v>
      </c>
      <c r="H39" t="s">
        <v>98</v>
      </c>
      <c r="I39" t="s">
        <v>223</v>
      </c>
      <c r="J39" s="5" t="s">
        <v>247</v>
      </c>
      <c r="K39" s="5" t="s">
        <v>249</v>
      </c>
      <c r="L39" s="9">
        <v>45474</v>
      </c>
    </row>
    <row r="40" spans="1:12" x14ac:dyDescent="0.25">
      <c r="A40" s="5">
        <v>39</v>
      </c>
      <c r="B40" s="8">
        <v>37005830</v>
      </c>
      <c r="C40" s="1" t="s">
        <v>120</v>
      </c>
      <c r="D40" s="1" t="s">
        <v>636</v>
      </c>
      <c r="E40" s="9">
        <v>44354</v>
      </c>
      <c r="F40" s="5" t="s">
        <v>5</v>
      </c>
      <c r="G40" s="4" t="s">
        <v>93</v>
      </c>
      <c r="H40" t="s">
        <v>99</v>
      </c>
      <c r="I40" s="5"/>
      <c r="J40" s="5" t="s">
        <v>764</v>
      </c>
    </row>
    <row r="41" spans="1:12" x14ac:dyDescent="0.25">
      <c r="A41" s="5">
        <v>40</v>
      </c>
      <c r="B41" s="8">
        <v>37004411</v>
      </c>
      <c r="C41" s="1" t="s">
        <v>29</v>
      </c>
      <c r="D41" s="1" t="s">
        <v>637</v>
      </c>
      <c r="E41" s="9">
        <v>43878</v>
      </c>
      <c r="F41" s="5" t="s">
        <v>138</v>
      </c>
      <c r="G41" s="4" t="s">
        <v>92</v>
      </c>
      <c r="H41" t="s">
        <v>164</v>
      </c>
      <c r="I41" s="5" t="s">
        <v>243</v>
      </c>
      <c r="J41" s="5" t="s">
        <v>764</v>
      </c>
    </row>
    <row r="42" spans="1:12" hidden="1" x14ac:dyDescent="0.25">
      <c r="A42" s="5">
        <v>41</v>
      </c>
      <c r="B42" s="8">
        <v>37004361</v>
      </c>
      <c r="C42" s="1" t="s">
        <v>110</v>
      </c>
      <c r="D42" s="1" t="s">
        <v>620</v>
      </c>
      <c r="E42" s="9">
        <v>43878</v>
      </c>
      <c r="F42" s="5" t="s">
        <v>138</v>
      </c>
      <c r="G42" s="4" t="s">
        <v>92</v>
      </c>
      <c r="H42" t="s">
        <v>98</v>
      </c>
      <c r="I42" t="s">
        <v>214</v>
      </c>
      <c r="J42" s="5" t="s">
        <v>247</v>
      </c>
      <c r="K42" s="5" t="s">
        <v>249</v>
      </c>
      <c r="L42" s="9">
        <v>45474</v>
      </c>
    </row>
    <row r="43" spans="1:12" x14ac:dyDescent="0.25">
      <c r="A43" s="5">
        <v>42</v>
      </c>
      <c r="B43" s="8">
        <v>37005983</v>
      </c>
      <c r="C43" s="1" t="s">
        <v>121</v>
      </c>
      <c r="D43" s="1" t="s">
        <v>638</v>
      </c>
      <c r="E43" s="9">
        <v>44382</v>
      </c>
      <c r="F43" s="5" t="s">
        <v>138</v>
      </c>
      <c r="G43" s="4" t="s">
        <v>92</v>
      </c>
      <c r="H43" t="s">
        <v>164</v>
      </c>
      <c r="I43" s="5"/>
      <c r="J43" s="5" t="s">
        <v>764</v>
      </c>
    </row>
    <row r="44" spans="1:12" x14ac:dyDescent="0.25">
      <c r="A44" s="5">
        <v>43</v>
      </c>
      <c r="B44" s="8">
        <v>37006598</v>
      </c>
      <c r="C44" s="1" t="s">
        <v>30</v>
      </c>
      <c r="D44" s="1" t="s">
        <v>696</v>
      </c>
      <c r="E44" s="9">
        <v>44482</v>
      </c>
      <c r="F44" s="5" t="s">
        <v>138</v>
      </c>
      <c r="G44" s="4" t="s">
        <v>92</v>
      </c>
      <c r="H44" t="s">
        <v>164</v>
      </c>
      <c r="I44" s="5"/>
      <c r="J44" s="5" t="s">
        <v>764</v>
      </c>
    </row>
    <row r="45" spans="1:12" x14ac:dyDescent="0.25">
      <c r="A45" s="5">
        <v>44</v>
      </c>
      <c r="B45" s="8">
        <v>37006972</v>
      </c>
      <c r="C45" s="1" t="s">
        <v>31</v>
      </c>
      <c r="D45" s="1" t="s">
        <v>726</v>
      </c>
      <c r="E45" s="9">
        <v>44571</v>
      </c>
      <c r="F45" s="5" t="s">
        <v>138</v>
      </c>
      <c r="G45" s="4" t="s">
        <v>92</v>
      </c>
      <c r="H45" t="s">
        <v>164</v>
      </c>
      <c r="I45" s="5"/>
      <c r="J45" s="5" t="s">
        <v>764</v>
      </c>
    </row>
    <row r="46" spans="1:12" x14ac:dyDescent="0.25">
      <c r="A46" s="5">
        <v>45</v>
      </c>
      <c r="B46" s="8">
        <v>37007831</v>
      </c>
      <c r="C46" s="1" t="s">
        <v>32</v>
      </c>
      <c r="D46" s="1" t="s">
        <v>639</v>
      </c>
      <c r="E46" s="9">
        <v>44704</v>
      </c>
      <c r="F46" s="5" t="s">
        <v>138</v>
      </c>
      <c r="G46" s="4" t="s">
        <v>92</v>
      </c>
      <c r="H46" t="s">
        <v>164</v>
      </c>
      <c r="I46" s="5" t="s">
        <v>238</v>
      </c>
      <c r="J46" s="5" t="s">
        <v>764</v>
      </c>
    </row>
    <row r="47" spans="1:12" hidden="1" x14ac:dyDescent="0.25">
      <c r="A47" s="5">
        <v>46</v>
      </c>
      <c r="B47" s="8">
        <v>37011307</v>
      </c>
      <c r="C47" s="1" t="s">
        <v>33</v>
      </c>
      <c r="D47" s="1" t="s">
        <v>621</v>
      </c>
      <c r="E47" s="9">
        <v>44970</v>
      </c>
      <c r="F47" s="5" t="s">
        <v>138</v>
      </c>
      <c r="G47" s="4" t="s">
        <v>92</v>
      </c>
      <c r="H47" t="s">
        <v>98</v>
      </c>
      <c r="J47" s="5" t="s">
        <v>247</v>
      </c>
      <c r="K47" s="5" t="s">
        <v>249</v>
      </c>
      <c r="L47" s="9">
        <v>45474</v>
      </c>
    </row>
    <row r="48" spans="1:12" x14ac:dyDescent="0.25">
      <c r="A48" s="5">
        <v>47</v>
      </c>
      <c r="B48" s="8">
        <v>37012158</v>
      </c>
      <c r="C48" s="1" t="s">
        <v>34</v>
      </c>
      <c r="D48" s="1" t="s">
        <v>640</v>
      </c>
      <c r="E48" s="9">
        <v>45034</v>
      </c>
      <c r="F48" s="5" t="s">
        <v>138</v>
      </c>
      <c r="G48" s="4" t="s">
        <v>92</v>
      </c>
      <c r="H48" t="s">
        <v>164</v>
      </c>
      <c r="I48" s="5"/>
      <c r="J48" s="5" t="s">
        <v>764</v>
      </c>
    </row>
    <row r="49" spans="1:12" hidden="1" x14ac:dyDescent="0.25">
      <c r="A49" s="5">
        <v>48</v>
      </c>
      <c r="B49" s="8">
        <v>37013436</v>
      </c>
      <c r="C49" s="1" t="s">
        <v>148</v>
      </c>
      <c r="D49" s="1" t="s">
        <v>622</v>
      </c>
      <c r="E49" s="9">
        <v>45118</v>
      </c>
      <c r="F49" s="5" t="s">
        <v>138</v>
      </c>
      <c r="G49" s="4" t="s">
        <v>92</v>
      </c>
      <c r="H49" t="s">
        <v>98</v>
      </c>
      <c r="J49" s="5" t="s">
        <v>247</v>
      </c>
      <c r="K49" s="5" t="s">
        <v>249</v>
      </c>
      <c r="L49" s="9">
        <v>45474</v>
      </c>
    </row>
    <row r="50" spans="1:12" x14ac:dyDescent="0.25">
      <c r="A50" s="5">
        <v>49</v>
      </c>
      <c r="B50" s="8">
        <v>37014096</v>
      </c>
      <c r="C50" s="1" t="s">
        <v>35</v>
      </c>
      <c r="D50" s="1" t="s">
        <v>641</v>
      </c>
      <c r="E50" s="9">
        <v>45160</v>
      </c>
      <c r="F50" s="5" t="s">
        <v>138</v>
      </c>
      <c r="G50" s="4" t="s">
        <v>92</v>
      </c>
      <c r="H50" t="s">
        <v>164</v>
      </c>
      <c r="I50" s="5" t="s">
        <v>234</v>
      </c>
      <c r="J50" s="5" t="s">
        <v>764</v>
      </c>
    </row>
    <row r="51" spans="1:12" hidden="1" x14ac:dyDescent="0.25">
      <c r="A51" s="5">
        <v>50</v>
      </c>
      <c r="B51" s="8">
        <v>37013989</v>
      </c>
      <c r="C51" s="1" t="s">
        <v>36</v>
      </c>
      <c r="D51" s="1" t="s">
        <v>623</v>
      </c>
      <c r="E51" s="9">
        <v>45160</v>
      </c>
      <c r="F51" s="5" t="s">
        <v>138</v>
      </c>
      <c r="G51" s="4" t="s">
        <v>92</v>
      </c>
      <c r="H51" t="s">
        <v>98</v>
      </c>
      <c r="J51" s="5" t="s">
        <v>247</v>
      </c>
      <c r="K51" s="5" t="s">
        <v>249</v>
      </c>
      <c r="L51" s="9">
        <v>45474</v>
      </c>
    </row>
    <row r="52" spans="1:12" x14ac:dyDescent="0.25">
      <c r="A52" s="5">
        <v>51</v>
      </c>
      <c r="B52" s="8">
        <v>37000624</v>
      </c>
      <c r="C52" s="1" t="s">
        <v>10</v>
      </c>
      <c r="D52" s="1" t="s">
        <v>642</v>
      </c>
      <c r="E52" s="9">
        <v>39489</v>
      </c>
      <c r="F52" s="5" t="s">
        <v>138</v>
      </c>
      <c r="G52" s="4" t="s">
        <v>92</v>
      </c>
      <c r="H52" t="s">
        <v>164</v>
      </c>
      <c r="I52" s="5"/>
      <c r="J52" s="5" t="s">
        <v>764</v>
      </c>
    </row>
    <row r="53" spans="1:12" x14ac:dyDescent="0.25">
      <c r="A53" s="5">
        <v>52</v>
      </c>
      <c r="B53" s="8">
        <v>37003141</v>
      </c>
      <c r="C53" s="1" t="s">
        <v>106</v>
      </c>
      <c r="D53" s="1" t="s">
        <v>643</v>
      </c>
      <c r="E53" s="9">
        <v>43588</v>
      </c>
      <c r="F53" s="5" t="s">
        <v>138</v>
      </c>
      <c r="G53" s="4" t="s">
        <v>93</v>
      </c>
      <c r="H53" t="s">
        <v>99</v>
      </c>
      <c r="I53" s="5" t="s">
        <v>218</v>
      </c>
      <c r="J53" s="5" t="s">
        <v>764</v>
      </c>
    </row>
    <row r="54" spans="1:12" x14ac:dyDescent="0.25">
      <c r="A54" s="5">
        <v>53</v>
      </c>
      <c r="B54" s="8">
        <v>37000099</v>
      </c>
      <c r="C54" s="1" t="s">
        <v>101</v>
      </c>
      <c r="D54" s="1" t="s">
        <v>646</v>
      </c>
      <c r="E54" s="9">
        <v>33924</v>
      </c>
      <c r="F54" s="5" t="s">
        <v>138</v>
      </c>
      <c r="G54" s="4" t="s">
        <v>93</v>
      </c>
      <c r="H54" t="s">
        <v>99</v>
      </c>
      <c r="I54" s="5"/>
      <c r="J54" s="5" t="s">
        <v>764</v>
      </c>
    </row>
    <row r="55" spans="1:12" x14ac:dyDescent="0.25">
      <c r="A55" s="5">
        <v>54</v>
      </c>
      <c r="B55" s="8">
        <v>37000129</v>
      </c>
      <c r="C55" s="1" t="s">
        <v>37</v>
      </c>
      <c r="D55" s="1" t="s">
        <v>647</v>
      </c>
      <c r="E55" s="9">
        <v>34722</v>
      </c>
      <c r="F55" s="5" t="s">
        <v>138</v>
      </c>
      <c r="G55" s="4" t="s">
        <v>93</v>
      </c>
      <c r="H55" t="s">
        <v>99</v>
      </c>
      <c r="I55" s="5" t="s">
        <v>219</v>
      </c>
      <c r="J55" s="5" t="s">
        <v>764</v>
      </c>
    </row>
    <row r="56" spans="1:12" hidden="1" x14ac:dyDescent="0.25">
      <c r="A56" s="5">
        <v>55</v>
      </c>
      <c r="B56" s="8">
        <v>37006971</v>
      </c>
      <c r="C56" s="1" t="s">
        <v>38</v>
      </c>
      <c r="D56" s="1" t="s">
        <v>38</v>
      </c>
      <c r="E56" s="9">
        <v>44571</v>
      </c>
      <c r="F56" s="5" t="s">
        <v>138</v>
      </c>
      <c r="G56" s="4" t="s">
        <v>93</v>
      </c>
      <c r="H56" t="s">
        <v>99</v>
      </c>
      <c r="I56" t="s">
        <v>213</v>
      </c>
      <c r="J56" s="5" t="s">
        <v>247</v>
      </c>
      <c r="K56" s="5" t="s">
        <v>249</v>
      </c>
      <c r="L56" s="9">
        <v>45474</v>
      </c>
    </row>
    <row r="57" spans="1:12" hidden="1" x14ac:dyDescent="0.25">
      <c r="A57" s="5">
        <v>56</v>
      </c>
      <c r="B57" s="8">
        <v>37000143</v>
      </c>
      <c r="C57" s="1" t="s">
        <v>39</v>
      </c>
      <c r="D57" s="1" t="s">
        <v>39</v>
      </c>
      <c r="E57" s="9">
        <v>34828</v>
      </c>
      <c r="F57" s="5" t="s">
        <v>138</v>
      </c>
      <c r="G57" s="4" t="s">
        <v>93</v>
      </c>
      <c r="H57" t="s">
        <v>99</v>
      </c>
      <c r="J57" s="5" t="s">
        <v>247</v>
      </c>
      <c r="K57" s="5" t="s">
        <v>249</v>
      </c>
      <c r="L57" s="9">
        <v>45474</v>
      </c>
    </row>
    <row r="58" spans="1:12" x14ac:dyDescent="0.25">
      <c r="A58" s="5">
        <v>57</v>
      </c>
      <c r="B58" s="8">
        <v>37005818</v>
      </c>
      <c r="C58" s="1" t="s">
        <v>118</v>
      </c>
      <c r="D58" s="1" t="s">
        <v>648</v>
      </c>
      <c r="E58" s="9">
        <v>44354</v>
      </c>
      <c r="F58" s="5" t="s">
        <v>138</v>
      </c>
      <c r="G58" s="4" t="s">
        <v>93</v>
      </c>
      <c r="H58" t="s">
        <v>99</v>
      </c>
      <c r="I58" s="5"/>
      <c r="J58" s="5" t="s">
        <v>764</v>
      </c>
    </row>
    <row r="59" spans="1:12" x14ac:dyDescent="0.25">
      <c r="A59" s="5">
        <v>58</v>
      </c>
      <c r="B59" s="8">
        <v>37012442</v>
      </c>
      <c r="C59" s="1" t="s">
        <v>149</v>
      </c>
      <c r="D59" s="1" t="s">
        <v>649</v>
      </c>
      <c r="E59" s="9">
        <v>45055</v>
      </c>
      <c r="F59" s="5" t="s">
        <v>138</v>
      </c>
      <c r="G59" s="4" t="s">
        <v>93</v>
      </c>
      <c r="H59" s="50" t="s">
        <v>99</v>
      </c>
      <c r="I59" s="5"/>
      <c r="J59" s="5" t="s">
        <v>764</v>
      </c>
    </row>
    <row r="60" spans="1:12" x14ac:dyDescent="0.25">
      <c r="A60" s="5">
        <v>59</v>
      </c>
      <c r="B60" s="8">
        <v>37004391</v>
      </c>
      <c r="C60" s="1" t="s">
        <v>40</v>
      </c>
      <c r="D60" s="1" t="s">
        <v>650</v>
      </c>
      <c r="E60" s="9">
        <v>43878</v>
      </c>
      <c r="F60" s="5" t="s">
        <v>138</v>
      </c>
      <c r="G60" s="4" t="s">
        <v>93</v>
      </c>
      <c r="H60" t="s">
        <v>99</v>
      </c>
      <c r="I60" s="5" t="s">
        <v>212</v>
      </c>
      <c r="J60" s="5" t="s">
        <v>764</v>
      </c>
    </row>
    <row r="61" spans="1:12" hidden="1" x14ac:dyDescent="0.25">
      <c r="A61" s="5">
        <v>60</v>
      </c>
      <c r="B61" s="8">
        <v>37001589</v>
      </c>
      <c r="C61" s="1" t="s">
        <v>41</v>
      </c>
      <c r="D61" s="1" t="s">
        <v>624</v>
      </c>
      <c r="E61" s="9">
        <v>42282</v>
      </c>
      <c r="F61" s="5" t="s">
        <v>138</v>
      </c>
      <c r="G61" s="4" t="s">
        <v>93</v>
      </c>
      <c r="H61" t="s">
        <v>99</v>
      </c>
      <c r="I61" t="s">
        <v>229</v>
      </c>
      <c r="J61" s="5" t="s">
        <v>247</v>
      </c>
      <c r="K61" s="5" t="s">
        <v>249</v>
      </c>
      <c r="L61" s="9">
        <v>45474</v>
      </c>
    </row>
    <row r="62" spans="1:12" hidden="1" x14ac:dyDescent="0.25">
      <c r="A62" s="5">
        <v>61</v>
      </c>
      <c r="B62" s="8">
        <v>37006365</v>
      </c>
      <c r="C62" s="1" t="s">
        <v>127</v>
      </c>
      <c r="D62" s="1" t="s">
        <v>625</v>
      </c>
      <c r="E62" s="9">
        <v>44447</v>
      </c>
      <c r="F62" s="5" t="s">
        <v>138</v>
      </c>
      <c r="G62" s="4" t="s">
        <v>93</v>
      </c>
      <c r="H62" t="s">
        <v>99</v>
      </c>
      <c r="I62" t="s">
        <v>217</v>
      </c>
      <c r="J62" s="5" t="s">
        <v>247</v>
      </c>
      <c r="K62" s="5" t="s">
        <v>249</v>
      </c>
      <c r="L62" s="9">
        <v>45474</v>
      </c>
    </row>
    <row r="63" spans="1:12" hidden="1" x14ac:dyDescent="0.25">
      <c r="A63" s="5">
        <v>62</v>
      </c>
      <c r="B63" s="8">
        <v>37006600</v>
      </c>
      <c r="C63" s="1" t="s">
        <v>42</v>
      </c>
      <c r="D63" s="1" t="s">
        <v>651</v>
      </c>
      <c r="E63" s="9">
        <v>44482</v>
      </c>
      <c r="F63" s="5" t="s">
        <v>138</v>
      </c>
      <c r="G63" s="4" t="s">
        <v>93</v>
      </c>
      <c r="H63" t="s">
        <v>99</v>
      </c>
      <c r="I63" s="5" t="s">
        <v>233</v>
      </c>
      <c r="J63" s="5" t="s">
        <v>390</v>
      </c>
      <c r="L63" s="14">
        <v>45779</v>
      </c>
    </row>
    <row r="64" spans="1:12" x14ac:dyDescent="0.25">
      <c r="A64" s="5">
        <v>63</v>
      </c>
      <c r="B64" s="8">
        <v>37007016</v>
      </c>
      <c r="C64" s="1" t="s">
        <v>134</v>
      </c>
      <c r="D64" s="1" t="s">
        <v>652</v>
      </c>
      <c r="E64" s="9">
        <v>44578</v>
      </c>
      <c r="F64" s="5" t="s">
        <v>138</v>
      </c>
      <c r="G64" s="4" t="s">
        <v>93</v>
      </c>
      <c r="H64" t="s">
        <v>99</v>
      </c>
      <c r="I64" s="5"/>
      <c r="J64" s="5" t="s">
        <v>764</v>
      </c>
    </row>
    <row r="65" spans="1:12" hidden="1" x14ac:dyDescent="0.25">
      <c r="A65" s="5">
        <v>64</v>
      </c>
      <c r="B65" s="8">
        <v>37006969</v>
      </c>
      <c r="C65" s="1" t="s">
        <v>132</v>
      </c>
      <c r="D65" s="1" t="s">
        <v>626</v>
      </c>
      <c r="E65" s="9">
        <v>44571</v>
      </c>
      <c r="F65" s="5" t="s">
        <v>138</v>
      </c>
      <c r="G65" s="4" t="s">
        <v>93</v>
      </c>
      <c r="H65" t="s">
        <v>99</v>
      </c>
      <c r="J65" s="5" t="s">
        <v>247</v>
      </c>
      <c r="K65" s="5" t="s">
        <v>249</v>
      </c>
      <c r="L65" s="9">
        <v>45474</v>
      </c>
    </row>
    <row r="66" spans="1:12" hidden="1" x14ac:dyDescent="0.25">
      <c r="A66" s="5">
        <v>65</v>
      </c>
      <c r="B66" s="8">
        <v>37006303</v>
      </c>
      <c r="C66" s="1" t="s">
        <v>43</v>
      </c>
      <c r="D66" s="1" t="s">
        <v>627</v>
      </c>
      <c r="E66" s="9">
        <v>44440</v>
      </c>
      <c r="F66" s="5" t="s">
        <v>138</v>
      </c>
      <c r="G66" s="4" t="s">
        <v>93</v>
      </c>
      <c r="H66" t="s">
        <v>99</v>
      </c>
      <c r="J66" s="5" t="s">
        <v>247</v>
      </c>
      <c r="K66" s="5" t="s">
        <v>249</v>
      </c>
      <c r="L66" s="9">
        <v>45474</v>
      </c>
    </row>
    <row r="67" spans="1:12" hidden="1" x14ac:dyDescent="0.25">
      <c r="A67" s="5">
        <v>66</v>
      </c>
      <c r="B67" s="8">
        <v>37011398</v>
      </c>
      <c r="C67" s="1" t="s">
        <v>140</v>
      </c>
      <c r="D67" s="1" t="s">
        <v>628</v>
      </c>
      <c r="E67" s="9">
        <v>44986</v>
      </c>
      <c r="F67" s="5" t="s">
        <v>138</v>
      </c>
      <c r="G67" s="4" t="s">
        <v>93</v>
      </c>
      <c r="H67" t="s">
        <v>99</v>
      </c>
      <c r="J67" s="5" t="s">
        <v>247</v>
      </c>
      <c r="K67" s="5" t="s">
        <v>249</v>
      </c>
      <c r="L67" s="9">
        <v>45474</v>
      </c>
    </row>
    <row r="68" spans="1:12" x14ac:dyDescent="0.25">
      <c r="A68" s="5">
        <v>67</v>
      </c>
      <c r="B68" s="8">
        <v>37013980</v>
      </c>
      <c r="C68" s="1" t="s">
        <v>44</v>
      </c>
      <c r="D68" s="1" t="s">
        <v>653</v>
      </c>
      <c r="E68" s="9">
        <v>45160</v>
      </c>
      <c r="F68" s="5" t="s">
        <v>138</v>
      </c>
      <c r="G68" s="4" t="s">
        <v>93</v>
      </c>
      <c r="H68" t="s">
        <v>99</v>
      </c>
      <c r="I68" s="5" t="s">
        <v>221</v>
      </c>
      <c r="J68" s="5" t="s">
        <v>764</v>
      </c>
    </row>
    <row r="69" spans="1:12" x14ac:dyDescent="0.25">
      <c r="A69" s="5">
        <v>68</v>
      </c>
      <c r="B69" s="8">
        <v>37001006</v>
      </c>
      <c r="C69" s="1" t="s">
        <v>150</v>
      </c>
      <c r="D69" s="1" t="s">
        <v>654</v>
      </c>
      <c r="E69" s="9">
        <v>41071</v>
      </c>
      <c r="F69" s="5" t="s">
        <v>138</v>
      </c>
      <c r="G69" s="4" t="s">
        <v>93</v>
      </c>
      <c r="H69" t="s">
        <v>99</v>
      </c>
      <c r="I69" s="5"/>
      <c r="J69" s="5" t="s">
        <v>764</v>
      </c>
    </row>
    <row r="70" spans="1:12" x14ac:dyDescent="0.25">
      <c r="A70" s="5">
        <v>69</v>
      </c>
      <c r="B70" s="8">
        <v>37000093</v>
      </c>
      <c r="C70" s="1" t="s">
        <v>141</v>
      </c>
      <c r="D70" s="1" t="s">
        <v>663</v>
      </c>
      <c r="E70" s="9">
        <v>33819</v>
      </c>
      <c r="F70" s="5" t="s">
        <v>138</v>
      </c>
      <c r="G70" s="4" t="s">
        <v>94</v>
      </c>
      <c r="H70" t="s">
        <v>100</v>
      </c>
      <c r="I70" s="5" t="s">
        <v>230</v>
      </c>
      <c r="J70" s="5" t="s">
        <v>764</v>
      </c>
    </row>
    <row r="71" spans="1:12" hidden="1" x14ac:dyDescent="0.25">
      <c r="A71" s="5">
        <v>70</v>
      </c>
      <c r="B71" s="8">
        <v>37004359</v>
      </c>
      <c r="C71" s="1" t="s">
        <v>45</v>
      </c>
      <c r="D71" s="1" t="s">
        <v>629</v>
      </c>
      <c r="E71" s="9">
        <v>43878</v>
      </c>
      <c r="F71" s="5" t="s">
        <v>138</v>
      </c>
      <c r="G71" s="4" t="s">
        <v>94</v>
      </c>
      <c r="H71" t="s">
        <v>100</v>
      </c>
      <c r="J71" s="5" t="s">
        <v>247</v>
      </c>
      <c r="K71" s="5" t="s">
        <v>249</v>
      </c>
      <c r="L71" s="9">
        <v>45474</v>
      </c>
    </row>
    <row r="72" spans="1:12" x14ac:dyDescent="0.25">
      <c r="A72" s="5">
        <v>71</v>
      </c>
      <c r="B72" s="8">
        <v>37003146</v>
      </c>
      <c r="C72" s="1" t="s">
        <v>107</v>
      </c>
      <c r="D72" s="1" t="s">
        <v>664</v>
      </c>
      <c r="E72" s="9">
        <v>43588</v>
      </c>
      <c r="F72" s="5" t="s">
        <v>5</v>
      </c>
      <c r="G72" s="4" t="s">
        <v>94</v>
      </c>
      <c r="H72" t="s">
        <v>100</v>
      </c>
      <c r="I72" s="5" t="s">
        <v>222</v>
      </c>
      <c r="J72" s="5" t="s">
        <v>764</v>
      </c>
    </row>
    <row r="73" spans="1:12" x14ac:dyDescent="0.25">
      <c r="A73" s="5">
        <v>72</v>
      </c>
      <c r="B73" s="8">
        <v>37003139</v>
      </c>
      <c r="C73" s="1" t="s">
        <v>46</v>
      </c>
      <c r="D73" s="1" t="s">
        <v>665</v>
      </c>
      <c r="E73" s="9">
        <v>43588</v>
      </c>
      <c r="F73" s="5" t="s">
        <v>138</v>
      </c>
      <c r="G73" s="4" t="s">
        <v>94</v>
      </c>
      <c r="H73" t="s">
        <v>100</v>
      </c>
      <c r="I73" s="5"/>
      <c r="J73" s="5" t="s">
        <v>764</v>
      </c>
    </row>
    <row r="74" spans="1:12" hidden="1" x14ac:dyDescent="0.25">
      <c r="A74" s="5">
        <v>73</v>
      </c>
      <c r="B74" s="8">
        <v>37002863</v>
      </c>
      <c r="C74" s="1" t="s">
        <v>47</v>
      </c>
      <c r="D74" s="1" t="s">
        <v>630</v>
      </c>
      <c r="E74" s="9">
        <v>43486</v>
      </c>
      <c r="F74" s="5" t="s">
        <v>138</v>
      </c>
      <c r="G74" s="4" t="s">
        <v>94</v>
      </c>
      <c r="H74" t="s">
        <v>100</v>
      </c>
      <c r="J74" s="5" t="s">
        <v>247</v>
      </c>
      <c r="K74" s="5" t="s">
        <v>249</v>
      </c>
      <c r="L74" s="9">
        <v>45474</v>
      </c>
    </row>
    <row r="75" spans="1:12" x14ac:dyDescent="0.25">
      <c r="A75" s="5">
        <v>74</v>
      </c>
      <c r="B75" s="8">
        <v>37006322</v>
      </c>
      <c r="C75" s="1" t="s">
        <v>123</v>
      </c>
      <c r="D75" s="1" t="s">
        <v>666</v>
      </c>
      <c r="E75" s="9">
        <v>44447</v>
      </c>
      <c r="F75" s="5" t="s">
        <v>138</v>
      </c>
      <c r="G75" s="4" t="s">
        <v>94</v>
      </c>
      <c r="H75" t="s">
        <v>100</v>
      </c>
      <c r="I75" s="5"/>
      <c r="J75" s="5" t="s">
        <v>764</v>
      </c>
    </row>
    <row r="76" spans="1:12" hidden="1" x14ac:dyDescent="0.25">
      <c r="A76" s="5">
        <v>75</v>
      </c>
      <c r="B76" s="8">
        <v>37005989</v>
      </c>
      <c r="C76" s="1" t="s">
        <v>48</v>
      </c>
      <c r="D76" s="1" t="s">
        <v>48</v>
      </c>
      <c r="E76" s="9">
        <v>44382</v>
      </c>
      <c r="F76" s="5" t="s">
        <v>138</v>
      </c>
      <c r="G76" s="4" t="s">
        <v>94</v>
      </c>
      <c r="H76" t="s">
        <v>100</v>
      </c>
      <c r="I76" t="s">
        <v>240</v>
      </c>
      <c r="J76" s="5" t="s">
        <v>247</v>
      </c>
      <c r="K76" s="5" t="s">
        <v>249</v>
      </c>
      <c r="L76" s="9">
        <v>45474</v>
      </c>
    </row>
    <row r="77" spans="1:12" hidden="1" x14ac:dyDescent="0.25">
      <c r="A77" s="5">
        <v>111</v>
      </c>
      <c r="B77" s="8">
        <v>37007056</v>
      </c>
      <c r="C77" s="1" t="s">
        <v>68</v>
      </c>
      <c r="D77" s="1" t="s">
        <v>549</v>
      </c>
      <c r="E77" s="9">
        <v>44593</v>
      </c>
      <c r="F77" s="5" t="s">
        <v>4</v>
      </c>
      <c r="G77" s="4" t="s">
        <v>6</v>
      </c>
      <c r="H77" t="s">
        <v>96</v>
      </c>
      <c r="I77" s="5"/>
      <c r="J77" s="5" t="s">
        <v>390</v>
      </c>
      <c r="L77" s="55">
        <v>45757</v>
      </c>
    </row>
    <row r="78" spans="1:12" x14ac:dyDescent="0.25">
      <c r="A78" s="5">
        <v>77</v>
      </c>
      <c r="B78" s="8">
        <v>37006338</v>
      </c>
      <c r="C78" s="1" t="s">
        <v>50</v>
      </c>
      <c r="D78" s="1" t="s">
        <v>668</v>
      </c>
      <c r="E78" s="9">
        <v>44447</v>
      </c>
      <c r="F78" s="5" t="s">
        <v>138</v>
      </c>
      <c r="G78" s="4" t="s">
        <v>94</v>
      </c>
      <c r="H78" t="s">
        <v>100</v>
      </c>
      <c r="I78" s="5"/>
      <c r="J78" s="5" t="s">
        <v>764</v>
      </c>
    </row>
    <row r="79" spans="1:12" hidden="1" x14ac:dyDescent="0.25">
      <c r="A79" s="5">
        <v>78</v>
      </c>
      <c r="B79" s="8">
        <v>37006323</v>
      </c>
      <c r="C79" s="1" t="s">
        <v>124</v>
      </c>
      <c r="D79" s="1" t="s">
        <v>631</v>
      </c>
      <c r="E79" s="9">
        <v>44447</v>
      </c>
      <c r="F79" s="5" t="s">
        <v>138</v>
      </c>
      <c r="G79" s="4" t="s">
        <v>94</v>
      </c>
      <c r="H79" t="s">
        <v>100</v>
      </c>
      <c r="J79" s="5" t="s">
        <v>247</v>
      </c>
      <c r="K79" s="5" t="s">
        <v>249</v>
      </c>
      <c r="L79" s="9">
        <v>45474</v>
      </c>
    </row>
    <row r="80" spans="1:12" x14ac:dyDescent="0.25">
      <c r="A80" s="5">
        <v>79</v>
      </c>
      <c r="B80" s="8">
        <v>37006973</v>
      </c>
      <c r="C80" s="1" t="s">
        <v>51</v>
      </c>
      <c r="D80" s="1" t="s">
        <v>669</v>
      </c>
      <c r="E80" s="9">
        <v>44571</v>
      </c>
      <c r="F80" s="5" t="s">
        <v>138</v>
      </c>
      <c r="G80" s="4" t="s">
        <v>94</v>
      </c>
      <c r="H80" t="s">
        <v>100</v>
      </c>
      <c r="I80" s="5"/>
      <c r="J80" s="5" t="s">
        <v>764</v>
      </c>
    </row>
    <row r="81" spans="1:12" x14ac:dyDescent="0.25">
      <c r="A81" s="5">
        <v>80</v>
      </c>
      <c r="B81" s="8">
        <v>37006270</v>
      </c>
      <c r="C81" s="1" t="s">
        <v>52</v>
      </c>
      <c r="D81" s="1" t="s">
        <v>670</v>
      </c>
      <c r="E81" s="9">
        <v>44431</v>
      </c>
      <c r="F81" s="5" t="s">
        <v>138</v>
      </c>
      <c r="G81" s="4" t="s">
        <v>94</v>
      </c>
      <c r="H81" t="s">
        <v>100</v>
      </c>
      <c r="I81" s="5"/>
      <c r="J81" s="5" t="s">
        <v>764</v>
      </c>
    </row>
    <row r="82" spans="1:12" x14ac:dyDescent="0.25">
      <c r="A82" s="5">
        <v>81</v>
      </c>
      <c r="B82" s="8">
        <v>37007964</v>
      </c>
      <c r="C82" s="1" t="s">
        <v>53</v>
      </c>
      <c r="D82" s="1" t="s">
        <v>671</v>
      </c>
      <c r="E82" s="9">
        <v>44713</v>
      </c>
      <c r="F82" s="5" t="s">
        <v>138</v>
      </c>
      <c r="G82" s="4" t="s">
        <v>94</v>
      </c>
      <c r="H82" t="s">
        <v>100</v>
      </c>
      <c r="I82" s="5"/>
      <c r="J82" s="5" t="s">
        <v>764</v>
      </c>
    </row>
    <row r="83" spans="1:12" hidden="1" x14ac:dyDescent="0.25">
      <c r="A83" s="5">
        <v>82</v>
      </c>
      <c r="B83" s="8">
        <v>37006730</v>
      </c>
      <c r="C83" s="1" t="s">
        <v>128</v>
      </c>
      <c r="D83" s="1" t="s">
        <v>632</v>
      </c>
      <c r="E83" s="9">
        <v>44516</v>
      </c>
      <c r="F83" s="5" t="s">
        <v>138</v>
      </c>
      <c r="G83" s="4" t="s">
        <v>94</v>
      </c>
      <c r="H83" t="s">
        <v>100</v>
      </c>
      <c r="J83" s="5" t="s">
        <v>247</v>
      </c>
      <c r="K83" s="5" t="s">
        <v>249</v>
      </c>
      <c r="L83" s="9">
        <v>45474</v>
      </c>
    </row>
    <row r="84" spans="1:12" hidden="1" x14ac:dyDescent="0.25">
      <c r="A84" s="5">
        <v>83</v>
      </c>
      <c r="B84" s="8">
        <v>37012181</v>
      </c>
      <c r="C84" s="1" t="s">
        <v>151</v>
      </c>
      <c r="D84" s="1" t="s">
        <v>633</v>
      </c>
      <c r="E84" s="9">
        <v>45034</v>
      </c>
      <c r="F84" s="5" t="s">
        <v>138</v>
      </c>
      <c r="G84" s="4" t="s">
        <v>94</v>
      </c>
      <c r="H84" t="s">
        <v>100</v>
      </c>
      <c r="J84" s="5" t="s">
        <v>247</v>
      </c>
      <c r="K84" s="5" t="s">
        <v>249</v>
      </c>
      <c r="L84" s="9">
        <v>45474</v>
      </c>
    </row>
    <row r="85" spans="1:12" x14ac:dyDescent="0.25">
      <c r="A85" s="5">
        <v>84</v>
      </c>
      <c r="B85" s="8">
        <v>37014058</v>
      </c>
      <c r="C85" s="1" t="s">
        <v>54</v>
      </c>
      <c r="D85" s="1" t="s">
        <v>672</v>
      </c>
      <c r="E85" s="9">
        <v>45160</v>
      </c>
      <c r="F85" s="5" t="s">
        <v>138</v>
      </c>
      <c r="G85" s="4" t="s">
        <v>94</v>
      </c>
      <c r="H85" t="s">
        <v>100</v>
      </c>
      <c r="I85" s="5" t="s">
        <v>215</v>
      </c>
      <c r="J85" s="5" t="s">
        <v>764</v>
      </c>
    </row>
    <row r="86" spans="1:12" hidden="1" x14ac:dyDescent="0.25">
      <c r="A86" s="5">
        <v>85</v>
      </c>
      <c r="B86" s="8">
        <v>37014016</v>
      </c>
      <c r="C86" s="1" t="s">
        <v>152</v>
      </c>
      <c r="D86" s="1" t="s">
        <v>634</v>
      </c>
      <c r="E86" s="9">
        <v>45160</v>
      </c>
      <c r="F86" s="5" t="s">
        <v>138</v>
      </c>
      <c r="G86" s="4" t="s">
        <v>94</v>
      </c>
      <c r="H86" t="s">
        <v>100</v>
      </c>
      <c r="I86" t="s">
        <v>239</v>
      </c>
      <c r="J86" s="5" t="s">
        <v>247</v>
      </c>
      <c r="K86" s="5" t="s">
        <v>249</v>
      </c>
      <c r="L86" s="9">
        <v>45474</v>
      </c>
    </row>
    <row r="87" spans="1:12" x14ac:dyDescent="0.25">
      <c r="A87" s="5">
        <v>86</v>
      </c>
      <c r="B87" s="8">
        <v>37005688</v>
      </c>
      <c r="C87" s="1" t="s">
        <v>115</v>
      </c>
      <c r="D87" s="1" t="s">
        <v>594</v>
      </c>
      <c r="E87" s="9">
        <v>44333</v>
      </c>
      <c r="F87" s="5" t="s">
        <v>3</v>
      </c>
      <c r="G87" s="4" t="s">
        <v>6</v>
      </c>
      <c r="H87" t="s">
        <v>96</v>
      </c>
      <c r="I87" s="5" t="s">
        <v>194</v>
      </c>
      <c r="J87" s="5" t="s">
        <v>764</v>
      </c>
    </row>
    <row r="88" spans="1:12" x14ac:dyDescent="0.25">
      <c r="A88" s="5">
        <v>87</v>
      </c>
      <c r="B88" s="8">
        <v>37005232</v>
      </c>
      <c r="C88" s="1" t="s">
        <v>55</v>
      </c>
      <c r="D88" s="1" t="s">
        <v>55</v>
      </c>
      <c r="E88" s="9">
        <v>44123</v>
      </c>
      <c r="F88" s="5" t="s">
        <v>3</v>
      </c>
      <c r="G88" s="4" t="s">
        <v>91</v>
      </c>
      <c r="H88" t="s">
        <v>97</v>
      </c>
      <c r="I88" s="5" t="s">
        <v>199</v>
      </c>
      <c r="J88" s="5" t="s">
        <v>764</v>
      </c>
    </row>
    <row r="89" spans="1:12" x14ac:dyDescent="0.25">
      <c r="A89" s="5">
        <v>88</v>
      </c>
      <c r="B89" s="8">
        <v>37001613</v>
      </c>
      <c r="C89" s="1" t="s">
        <v>56</v>
      </c>
      <c r="D89" s="1" t="s">
        <v>596</v>
      </c>
      <c r="E89" s="9">
        <v>42373</v>
      </c>
      <c r="F89" s="5" t="s">
        <v>3</v>
      </c>
      <c r="G89" s="4" t="s">
        <v>6</v>
      </c>
      <c r="H89" t="s">
        <v>96</v>
      </c>
      <c r="I89" s="5" t="s">
        <v>202</v>
      </c>
      <c r="J89" s="5" t="s">
        <v>764</v>
      </c>
    </row>
    <row r="90" spans="1:12" x14ac:dyDescent="0.25">
      <c r="A90" s="5">
        <v>89</v>
      </c>
      <c r="B90" s="8">
        <v>37011013</v>
      </c>
      <c r="C90" s="1" t="s">
        <v>153</v>
      </c>
      <c r="D90" s="1" t="s">
        <v>598</v>
      </c>
      <c r="E90" s="9">
        <v>44958</v>
      </c>
      <c r="F90" s="5" t="s">
        <v>3</v>
      </c>
      <c r="G90" s="4" t="s">
        <v>6</v>
      </c>
      <c r="H90" t="s">
        <v>96</v>
      </c>
      <c r="I90" s="5" t="s">
        <v>204</v>
      </c>
      <c r="J90" s="5" t="s">
        <v>764</v>
      </c>
    </row>
    <row r="91" spans="1:12" x14ac:dyDescent="0.25">
      <c r="A91" s="5">
        <v>90</v>
      </c>
      <c r="B91" s="8">
        <v>37004376</v>
      </c>
      <c r="C91" s="1" t="s">
        <v>112</v>
      </c>
      <c r="D91" s="1" t="s">
        <v>607</v>
      </c>
      <c r="E91" s="9">
        <v>43878</v>
      </c>
      <c r="F91" s="5" t="s">
        <v>3</v>
      </c>
      <c r="G91" s="4" t="s">
        <v>91</v>
      </c>
      <c r="H91" t="s">
        <v>97</v>
      </c>
      <c r="I91" s="5" t="s">
        <v>191</v>
      </c>
      <c r="J91" s="5" t="s">
        <v>764</v>
      </c>
    </row>
    <row r="92" spans="1:12" hidden="1" x14ac:dyDescent="0.25">
      <c r="A92" s="5">
        <v>91</v>
      </c>
      <c r="B92" s="8">
        <v>37005686</v>
      </c>
      <c r="C92" s="1" t="s">
        <v>57</v>
      </c>
      <c r="D92" s="1" t="s">
        <v>618</v>
      </c>
      <c r="E92" s="9">
        <v>44333</v>
      </c>
      <c r="F92" s="5" t="s">
        <v>3</v>
      </c>
      <c r="G92" s="4" t="s">
        <v>6</v>
      </c>
      <c r="H92" t="s">
        <v>96</v>
      </c>
      <c r="I92" s="5" t="s">
        <v>190</v>
      </c>
      <c r="J92" s="5" t="s">
        <v>390</v>
      </c>
      <c r="L92" s="9">
        <v>45789</v>
      </c>
    </row>
    <row r="93" spans="1:12" x14ac:dyDescent="0.25">
      <c r="A93" s="5">
        <v>92</v>
      </c>
      <c r="B93" s="8">
        <v>37006113</v>
      </c>
      <c r="C93" s="1" t="s">
        <v>58</v>
      </c>
      <c r="D93" s="1" t="s">
        <v>608</v>
      </c>
      <c r="E93" s="9">
        <v>44417</v>
      </c>
      <c r="F93" s="5" t="s">
        <v>3</v>
      </c>
      <c r="G93" s="4" t="s">
        <v>91</v>
      </c>
      <c r="H93" t="s">
        <v>97</v>
      </c>
      <c r="I93" s="5" t="s">
        <v>205</v>
      </c>
      <c r="J93" s="5" t="s">
        <v>764</v>
      </c>
    </row>
    <row r="94" spans="1:12" x14ac:dyDescent="0.25">
      <c r="A94" s="5">
        <v>93</v>
      </c>
      <c r="B94" s="8">
        <v>37006289</v>
      </c>
      <c r="C94" s="1" t="s">
        <v>59</v>
      </c>
      <c r="D94" s="1" t="s">
        <v>609</v>
      </c>
      <c r="E94" s="9">
        <v>44440</v>
      </c>
      <c r="F94" s="5" t="s">
        <v>3</v>
      </c>
      <c r="G94" s="4" t="s">
        <v>91</v>
      </c>
      <c r="H94" t="s">
        <v>97</v>
      </c>
      <c r="I94" s="5" t="s">
        <v>185</v>
      </c>
      <c r="J94" s="5" t="s">
        <v>764</v>
      </c>
    </row>
    <row r="95" spans="1:12" x14ac:dyDescent="0.25">
      <c r="A95" s="5">
        <v>95</v>
      </c>
      <c r="B95" s="8">
        <v>37003287</v>
      </c>
      <c r="C95" s="1" t="s">
        <v>60</v>
      </c>
      <c r="D95" s="1" t="s">
        <v>585</v>
      </c>
      <c r="E95" s="9">
        <v>43633</v>
      </c>
      <c r="F95" s="5" t="s">
        <v>3</v>
      </c>
      <c r="G95" s="4" t="s">
        <v>92</v>
      </c>
      <c r="H95" t="s">
        <v>164</v>
      </c>
      <c r="I95" s="5" t="s">
        <v>200</v>
      </c>
      <c r="J95" s="5" t="s">
        <v>764</v>
      </c>
    </row>
    <row r="96" spans="1:12" x14ac:dyDescent="0.25">
      <c r="A96" s="5">
        <v>96</v>
      </c>
      <c r="B96" s="8">
        <v>37009345</v>
      </c>
      <c r="C96" s="1" t="s">
        <v>136</v>
      </c>
      <c r="D96" s="1" t="s">
        <v>586</v>
      </c>
      <c r="E96" s="9">
        <v>44809</v>
      </c>
      <c r="F96" s="5" t="s">
        <v>3</v>
      </c>
      <c r="G96" s="4" t="s">
        <v>92</v>
      </c>
      <c r="H96" t="s">
        <v>164</v>
      </c>
      <c r="I96" s="5" t="s">
        <v>183</v>
      </c>
      <c r="J96" s="5" t="s">
        <v>764</v>
      </c>
    </row>
    <row r="97" spans="1:12" x14ac:dyDescent="0.25">
      <c r="A97" s="5">
        <v>97</v>
      </c>
      <c r="B97" s="8">
        <v>37006067</v>
      </c>
      <c r="C97" s="1" t="s">
        <v>61</v>
      </c>
      <c r="D97" s="1" t="s">
        <v>587</v>
      </c>
      <c r="E97" s="9">
        <v>44410</v>
      </c>
      <c r="F97" s="5" t="s">
        <v>3</v>
      </c>
      <c r="G97" s="4" t="s">
        <v>92</v>
      </c>
      <c r="H97" t="s">
        <v>164</v>
      </c>
      <c r="I97" s="5" t="s">
        <v>188</v>
      </c>
      <c r="J97" s="5" t="s">
        <v>764</v>
      </c>
    </row>
    <row r="98" spans="1:12" x14ac:dyDescent="0.25">
      <c r="A98" s="5">
        <v>98</v>
      </c>
      <c r="B98" s="8">
        <v>37015931</v>
      </c>
      <c r="C98" s="1" t="s">
        <v>142</v>
      </c>
      <c r="D98" s="1" t="s">
        <v>704</v>
      </c>
      <c r="E98" s="9">
        <v>45300</v>
      </c>
      <c r="F98" s="5" t="s">
        <v>3</v>
      </c>
      <c r="G98" s="4" t="s">
        <v>92</v>
      </c>
      <c r="H98" t="s">
        <v>164</v>
      </c>
      <c r="I98" s="5" t="s">
        <v>184</v>
      </c>
      <c r="J98" s="5" t="s">
        <v>764</v>
      </c>
    </row>
    <row r="99" spans="1:12" x14ac:dyDescent="0.25">
      <c r="A99" s="5">
        <v>99</v>
      </c>
      <c r="B99" s="8">
        <v>37008795</v>
      </c>
      <c r="C99" s="1" t="s">
        <v>62</v>
      </c>
      <c r="D99" s="1" t="s">
        <v>590</v>
      </c>
      <c r="E99" s="9">
        <v>44774</v>
      </c>
      <c r="F99" s="5" t="s">
        <v>3</v>
      </c>
      <c r="G99" s="4" t="s">
        <v>93</v>
      </c>
      <c r="H99" t="s">
        <v>99</v>
      </c>
      <c r="I99" s="5" t="s">
        <v>207</v>
      </c>
      <c r="J99" s="5" t="s">
        <v>764</v>
      </c>
    </row>
    <row r="100" spans="1:12" x14ac:dyDescent="0.25">
      <c r="A100" s="5">
        <v>100</v>
      </c>
      <c r="B100" s="8">
        <v>37006068</v>
      </c>
      <c r="C100" s="1" t="s">
        <v>63</v>
      </c>
      <c r="D100" s="1" t="s">
        <v>617</v>
      </c>
      <c r="E100" s="9">
        <v>44410</v>
      </c>
      <c r="F100" s="5" t="s">
        <v>3</v>
      </c>
      <c r="G100" s="4" t="s">
        <v>93</v>
      </c>
      <c r="H100" t="s">
        <v>99</v>
      </c>
      <c r="I100" s="5" t="s">
        <v>196</v>
      </c>
      <c r="J100" s="5" t="s">
        <v>764</v>
      </c>
    </row>
    <row r="101" spans="1:12" x14ac:dyDescent="0.25">
      <c r="A101" s="5">
        <v>101</v>
      </c>
      <c r="B101" s="8">
        <v>37006069</v>
      </c>
      <c r="C101" s="1" t="s">
        <v>122</v>
      </c>
      <c r="D101" s="1" t="s">
        <v>592</v>
      </c>
      <c r="E101" s="9">
        <v>44410</v>
      </c>
      <c r="F101" s="5" t="s">
        <v>3</v>
      </c>
      <c r="G101" s="4" t="s">
        <v>93</v>
      </c>
      <c r="H101" t="s">
        <v>99</v>
      </c>
      <c r="I101" s="5" t="s">
        <v>201</v>
      </c>
      <c r="J101" s="5" t="s">
        <v>764</v>
      </c>
    </row>
    <row r="102" spans="1:12" x14ac:dyDescent="0.25">
      <c r="A102" s="5">
        <v>103</v>
      </c>
      <c r="B102" s="8">
        <v>37011000</v>
      </c>
      <c r="C102" s="1" t="s">
        <v>244</v>
      </c>
      <c r="D102" s="1" t="s">
        <v>601</v>
      </c>
      <c r="E102" s="9">
        <v>44958</v>
      </c>
      <c r="F102" s="5" t="s">
        <v>3</v>
      </c>
      <c r="G102" s="4" t="s">
        <v>94</v>
      </c>
      <c r="H102" t="s">
        <v>100</v>
      </c>
      <c r="I102" s="5" t="s">
        <v>206</v>
      </c>
      <c r="J102" s="5" t="s">
        <v>764</v>
      </c>
    </row>
    <row r="103" spans="1:12" x14ac:dyDescent="0.25">
      <c r="A103" s="5">
        <v>104</v>
      </c>
      <c r="B103" s="8">
        <v>37004382</v>
      </c>
      <c r="C103" s="1" t="s">
        <v>64</v>
      </c>
      <c r="D103" s="1" t="s">
        <v>593</v>
      </c>
      <c r="E103" s="9">
        <v>43878</v>
      </c>
      <c r="F103" s="5" t="s">
        <v>3</v>
      </c>
      <c r="G103" s="4" t="s">
        <v>93</v>
      </c>
      <c r="H103" s="50" t="s">
        <v>99</v>
      </c>
      <c r="I103" s="5" t="s">
        <v>193</v>
      </c>
      <c r="J103" s="5" t="s">
        <v>764</v>
      </c>
    </row>
    <row r="104" spans="1:12" x14ac:dyDescent="0.25">
      <c r="A104" s="5">
        <v>105</v>
      </c>
      <c r="B104" s="8">
        <v>37006071</v>
      </c>
      <c r="C104" s="1" t="s">
        <v>154</v>
      </c>
      <c r="D104" s="1" t="s">
        <v>602</v>
      </c>
      <c r="E104" s="9">
        <v>44410</v>
      </c>
      <c r="F104" s="5" t="s">
        <v>3</v>
      </c>
      <c r="G104" s="4" t="s">
        <v>94</v>
      </c>
      <c r="H104" s="47" t="s">
        <v>100</v>
      </c>
      <c r="I104" s="5" t="s">
        <v>192</v>
      </c>
      <c r="J104" s="5" t="s">
        <v>764</v>
      </c>
    </row>
    <row r="105" spans="1:12" x14ac:dyDescent="0.25">
      <c r="A105" s="5">
        <v>106</v>
      </c>
      <c r="B105" s="8">
        <v>37001564</v>
      </c>
      <c r="C105" s="1" t="s">
        <v>65</v>
      </c>
      <c r="D105" s="1" t="s">
        <v>603</v>
      </c>
      <c r="E105" s="9">
        <v>42255</v>
      </c>
      <c r="F105" s="5" t="s">
        <v>3</v>
      </c>
      <c r="G105" s="4" t="s">
        <v>94</v>
      </c>
      <c r="H105" t="s">
        <v>100</v>
      </c>
      <c r="I105" s="5" t="s">
        <v>186</v>
      </c>
      <c r="J105" s="5" t="s">
        <v>764</v>
      </c>
    </row>
    <row r="106" spans="1:12" x14ac:dyDescent="0.25">
      <c r="A106" s="5">
        <v>107</v>
      </c>
      <c r="B106" s="8">
        <v>37011014</v>
      </c>
      <c r="C106" s="1" t="s">
        <v>155</v>
      </c>
      <c r="D106" s="1" t="s">
        <v>604</v>
      </c>
      <c r="E106" s="9">
        <v>44958</v>
      </c>
      <c r="F106" s="5" t="s">
        <v>3</v>
      </c>
      <c r="G106" s="4" t="s">
        <v>94</v>
      </c>
      <c r="H106" t="s">
        <v>100</v>
      </c>
      <c r="I106" s="5" t="s">
        <v>198</v>
      </c>
      <c r="J106" s="5" t="s">
        <v>764</v>
      </c>
    </row>
    <row r="107" spans="1:12" x14ac:dyDescent="0.25">
      <c r="A107" s="5">
        <v>108</v>
      </c>
      <c r="B107" s="8">
        <v>37010556</v>
      </c>
      <c r="C107" s="1" t="s">
        <v>156</v>
      </c>
      <c r="D107" s="1" t="s">
        <v>548</v>
      </c>
      <c r="E107" s="9">
        <v>44914</v>
      </c>
      <c r="F107" s="5" t="s">
        <v>4</v>
      </c>
      <c r="G107" s="4" t="s">
        <v>760</v>
      </c>
      <c r="H107" t="s">
        <v>96</v>
      </c>
      <c r="I107" s="5"/>
      <c r="J107" s="5" t="s">
        <v>764</v>
      </c>
    </row>
    <row r="108" spans="1:12" x14ac:dyDescent="0.25">
      <c r="A108" s="5">
        <v>109</v>
      </c>
      <c r="B108" s="8">
        <v>37008879</v>
      </c>
      <c r="C108" s="1" t="s">
        <v>66</v>
      </c>
      <c r="D108" s="1" t="s">
        <v>66</v>
      </c>
      <c r="E108" s="9">
        <v>44777</v>
      </c>
      <c r="F108" s="5" t="s">
        <v>4</v>
      </c>
      <c r="G108" s="4" t="s">
        <v>6</v>
      </c>
      <c r="H108" t="s">
        <v>96</v>
      </c>
      <c r="I108" s="5"/>
      <c r="J108" s="5" t="s">
        <v>764</v>
      </c>
    </row>
    <row r="109" spans="1:12" hidden="1" x14ac:dyDescent="0.25">
      <c r="A109" s="5">
        <v>119</v>
      </c>
      <c r="B109" s="8">
        <v>37006680</v>
      </c>
      <c r="C109" s="1" t="s">
        <v>73</v>
      </c>
      <c r="D109" s="1" t="s">
        <v>572</v>
      </c>
      <c r="E109" s="9">
        <v>44503</v>
      </c>
      <c r="F109" s="5" t="s">
        <v>4</v>
      </c>
      <c r="G109" s="4" t="s">
        <v>91</v>
      </c>
      <c r="H109" t="s">
        <v>97</v>
      </c>
      <c r="I109" s="5"/>
      <c r="J109" s="5" t="s">
        <v>390</v>
      </c>
      <c r="L109" s="14">
        <v>45756</v>
      </c>
    </row>
    <row r="110" spans="1:12" x14ac:dyDescent="0.25">
      <c r="A110" s="5">
        <v>112</v>
      </c>
      <c r="B110" s="8">
        <v>37012243</v>
      </c>
      <c r="C110" s="1" t="s">
        <v>69</v>
      </c>
      <c r="D110" s="1" t="s">
        <v>550</v>
      </c>
      <c r="E110" s="9">
        <v>45048</v>
      </c>
      <c r="F110" s="5" t="s">
        <v>4</v>
      </c>
      <c r="G110" s="4" t="s">
        <v>6</v>
      </c>
      <c r="H110" t="s">
        <v>96</v>
      </c>
      <c r="I110" s="5"/>
      <c r="J110" s="5" t="s">
        <v>764</v>
      </c>
    </row>
    <row r="111" spans="1:12" x14ac:dyDescent="0.25">
      <c r="A111" s="5">
        <v>114</v>
      </c>
      <c r="B111" s="8">
        <v>37011165</v>
      </c>
      <c r="C111" s="1" t="s">
        <v>157</v>
      </c>
      <c r="D111" s="1" t="s">
        <v>531</v>
      </c>
      <c r="E111" s="9">
        <v>44970</v>
      </c>
      <c r="F111" s="5" t="s">
        <v>4</v>
      </c>
      <c r="G111" s="4" t="s">
        <v>92</v>
      </c>
      <c r="H111" t="s">
        <v>164</v>
      </c>
      <c r="I111" s="5"/>
      <c r="J111" s="5" t="s">
        <v>764</v>
      </c>
    </row>
    <row r="112" spans="1:12" x14ac:dyDescent="0.25">
      <c r="A112" s="5">
        <v>115</v>
      </c>
      <c r="B112" s="8">
        <v>37016663</v>
      </c>
      <c r="C112" s="1" t="s">
        <v>158</v>
      </c>
      <c r="D112" s="1" t="s">
        <v>569</v>
      </c>
      <c r="E112" s="9">
        <v>45342</v>
      </c>
      <c r="F112" s="5" t="s">
        <v>4</v>
      </c>
      <c r="G112" s="4" t="s">
        <v>91</v>
      </c>
      <c r="H112" t="s">
        <v>97</v>
      </c>
      <c r="I112" s="5"/>
      <c r="J112" s="5" t="s">
        <v>764</v>
      </c>
    </row>
    <row r="113" spans="1:12" x14ac:dyDescent="0.25">
      <c r="A113" s="5">
        <v>116</v>
      </c>
      <c r="B113" s="8">
        <v>37006901</v>
      </c>
      <c r="C113" s="1" t="s">
        <v>71</v>
      </c>
      <c r="D113" s="1" t="s">
        <v>71</v>
      </c>
      <c r="E113" s="9">
        <v>44550</v>
      </c>
      <c r="F113" s="5" t="s">
        <v>4</v>
      </c>
      <c r="G113" s="4" t="s">
        <v>91</v>
      </c>
      <c r="H113" t="s">
        <v>97</v>
      </c>
      <c r="I113" s="5"/>
      <c r="J113" s="5" t="s">
        <v>764</v>
      </c>
    </row>
    <row r="114" spans="1:12" x14ac:dyDescent="0.25">
      <c r="A114" s="5">
        <v>117</v>
      </c>
      <c r="B114" s="8">
        <v>37016639</v>
      </c>
      <c r="C114" s="1" t="s">
        <v>159</v>
      </c>
      <c r="D114" s="1" t="s">
        <v>570</v>
      </c>
      <c r="E114" s="9">
        <v>45342</v>
      </c>
      <c r="F114" s="5" t="s">
        <v>4</v>
      </c>
      <c r="G114" s="4" t="s">
        <v>91</v>
      </c>
      <c r="H114" t="s">
        <v>97</v>
      </c>
      <c r="I114" s="5"/>
      <c r="J114" s="5" t="s">
        <v>764</v>
      </c>
    </row>
    <row r="115" spans="1:12" x14ac:dyDescent="0.25">
      <c r="A115" s="5">
        <v>118</v>
      </c>
      <c r="B115" s="8">
        <v>37006883</v>
      </c>
      <c r="C115" s="1" t="s">
        <v>72</v>
      </c>
      <c r="D115" s="1" t="s">
        <v>571</v>
      </c>
      <c r="E115" s="9">
        <v>44539</v>
      </c>
      <c r="F115" s="5" t="s">
        <v>4</v>
      </c>
      <c r="G115" s="4" t="s">
        <v>91</v>
      </c>
      <c r="H115" t="s">
        <v>97</v>
      </c>
      <c r="I115" s="5"/>
      <c r="J115" s="5" t="s">
        <v>764</v>
      </c>
    </row>
    <row r="116" spans="1:12" hidden="1" x14ac:dyDescent="0.25">
      <c r="A116" s="5">
        <v>76</v>
      </c>
      <c r="B116" s="8">
        <v>37001213</v>
      </c>
      <c r="C116" s="1" t="s">
        <v>49</v>
      </c>
      <c r="D116" s="1" t="s">
        <v>667</v>
      </c>
      <c r="E116" s="9">
        <v>41477</v>
      </c>
      <c r="F116" s="5" t="s">
        <v>138</v>
      </c>
      <c r="G116" s="4" t="s">
        <v>94</v>
      </c>
      <c r="H116" t="s">
        <v>100</v>
      </c>
      <c r="I116" s="5"/>
      <c r="J116" s="5" t="s">
        <v>390</v>
      </c>
      <c r="K116" s="5" t="s">
        <v>173</v>
      </c>
      <c r="L116" s="9">
        <v>45638</v>
      </c>
    </row>
    <row r="117" spans="1:12" x14ac:dyDescent="0.25">
      <c r="A117" s="5">
        <v>120</v>
      </c>
      <c r="B117" s="8">
        <v>37006877</v>
      </c>
      <c r="C117" s="1" t="s">
        <v>131</v>
      </c>
      <c r="D117" s="1" t="s">
        <v>131</v>
      </c>
      <c r="E117" s="9">
        <v>44539</v>
      </c>
      <c r="F117" s="5" t="s">
        <v>4</v>
      </c>
      <c r="G117" s="4" t="s">
        <v>91</v>
      </c>
      <c r="H117" t="s">
        <v>97</v>
      </c>
      <c r="I117" s="5"/>
      <c r="J117" s="5" t="s">
        <v>764</v>
      </c>
    </row>
    <row r="118" spans="1:12" x14ac:dyDescent="0.25">
      <c r="A118" s="5">
        <v>121</v>
      </c>
      <c r="B118" s="8">
        <v>37006902</v>
      </c>
      <c r="C118" s="1" t="s">
        <v>74</v>
      </c>
      <c r="D118" s="1" t="s">
        <v>74</v>
      </c>
      <c r="E118" s="9">
        <v>44550</v>
      </c>
      <c r="F118" s="5" t="s">
        <v>4</v>
      </c>
      <c r="G118" s="4" t="s">
        <v>91</v>
      </c>
      <c r="H118" t="s">
        <v>97</v>
      </c>
      <c r="I118" s="5"/>
      <c r="J118" s="5" t="s">
        <v>764</v>
      </c>
    </row>
    <row r="119" spans="1:12" x14ac:dyDescent="0.25">
      <c r="A119" s="5">
        <v>122</v>
      </c>
      <c r="B119" s="8">
        <v>37017342</v>
      </c>
      <c r="C119" s="1" t="s">
        <v>75</v>
      </c>
      <c r="D119" s="1" t="s">
        <v>75</v>
      </c>
      <c r="E119" s="9">
        <v>45389</v>
      </c>
      <c r="F119" s="5" t="s">
        <v>4</v>
      </c>
      <c r="G119" s="4" t="s">
        <v>93</v>
      </c>
      <c r="H119" t="s">
        <v>99</v>
      </c>
      <c r="I119" s="5"/>
      <c r="J119" s="5" t="s">
        <v>764</v>
      </c>
    </row>
    <row r="120" spans="1:12" x14ac:dyDescent="0.25">
      <c r="A120" s="5">
        <v>123</v>
      </c>
      <c r="B120" s="8">
        <v>37011077</v>
      </c>
      <c r="C120" s="1" t="s">
        <v>143</v>
      </c>
      <c r="D120" s="1" t="s">
        <v>532</v>
      </c>
      <c r="E120" s="9">
        <v>44963</v>
      </c>
      <c r="F120" s="5" t="s">
        <v>4</v>
      </c>
      <c r="G120" s="4" t="s">
        <v>92</v>
      </c>
      <c r="H120" t="s">
        <v>164</v>
      </c>
      <c r="I120" s="5"/>
      <c r="J120" s="5" t="s">
        <v>764</v>
      </c>
    </row>
    <row r="121" spans="1:12" x14ac:dyDescent="0.25">
      <c r="A121" s="5">
        <v>124</v>
      </c>
      <c r="B121" s="8">
        <v>37006861</v>
      </c>
      <c r="C121" s="1" t="s">
        <v>130</v>
      </c>
      <c r="D121" s="1" t="s">
        <v>533</v>
      </c>
      <c r="E121" s="9">
        <v>44536</v>
      </c>
      <c r="F121" s="5" t="s">
        <v>4</v>
      </c>
      <c r="G121" s="4" t="s">
        <v>92</v>
      </c>
      <c r="H121" t="s">
        <v>164</v>
      </c>
      <c r="I121" s="5"/>
      <c r="J121" s="5" t="s">
        <v>764</v>
      </c>
    </row>
    <row r="122" spans="1:12" x14ac:dyDescent="0.25">
      <c r="A122" s="5">
        <v>125</v>
      </c>
      <c r="B122" s="8">
        <v>37013349</v>
      </c>
      <c r="C122" s="1" t="s">
        <v>144</v>
      </c>
      <c r="D122" s="1" t="s">
        <v>534</v>
      </c>
      <c r="E122" s="9">
        <v>45118</v>
      </c>
      <c r="F122" s="5" t="s">
        <v>4</v>
      </c>
      <c r="G122" s="4" t="s">
        <v>92</v>
      </c>
      <c r="H122" t="s">
        <v>164</v>
      </c>
      <c r="I122" s="5"/>
      <c r="J122" s="5" t="s">
        <v>764</v>
      </c>
    </row>
    <row r="123" spans="1:12" x14ac:dyDescent="0.25">
      <c r="A123" s="5">
        <v>126</v>
      </c>
      <c r="B123" s="8">
        <v>37011088</v>
      </c>
      <c r="C123" s="1" t="s">
        <v>76</v>
      </c>
      <c r="D123" s="1" t="s">
        <v>535</v>
      </c>
      <c r="E123" s="9">
        <v>44963</v>
      </c>
      <c r="F123" s="5" t="s">
        <v>4</v>
      </c>
      <c r="G123" s="4" t="s">
        <v>92</v>
      </c>
      <c r="H123" t="s">
        <v>164</v>
      </c>
      <c r="I123" s="5"/>
      <c r="J123" s="5" t="s">
        <v>764</v>
      </c>
    </row>
    <row r="124" spans="1:12" x14ac:dyDescent="0.25">
      <c r="A124" s="5">
        <v>127</v>
      </c>
      <c r="B124" s="8">
        <v>37006696</v>
      </c>
      <c r="C124" s="1" t="s">
        <v>77</v>
      </c>
      <c r="D124" s="1" t="s">
        <v>536</v>
      </c>
      <c r="E124" s="9">
        <v>44503</v>
      </c>
      <c r="F124" s="5" t="s">
        <v>4</v>
      </c>
      <c r="G124" s="4" t="s">
        <v>92</v>
      </c>
      <c r="H124" t="s">
        <v>164</v>
      </c>
      <c r="I124" s="5" t="s">
        <v>236</v>
      </c>
      <c r="J124" s="5" t="s">
        <v>764</v>
      </c>
    </row>
    <row r="125" spans="1:12" hidden="1" x14ac:dyDescent="0.25">
      <c r="A125" s="6">
        <v>128</v>
      </c>
      <c r="B125" s="13">
        <v>37012262</v>
      </c>
      <c r="C125" s="3" t="s">
        <v>78</v>
      </c>
      <c r="D125" s="1" t="s">
        <v>644</v>
      </c>
      <c r="E125" s="14">
        <v>45048</v>
      </c>
      <c r="F125" s="6" t="s">
        <v>4</v>
      </c>
      <c r="G125" s="7" t="s">
        <v>92</v>
      </c>
      <c r="H125" s="2" t="s">
        <v>98</v>
      </c>
      <c r="I125" s="2"/>
      <c r="J125" s="5" t="s">
        <v>247</v>
      </c>
      <c r="K125" s="5" t="s">
        <v>251</v>
      </c>
      <c r="L125" s="9">
        <v>45536</v>
      </c>
    </row>
    <row r="126" spans="1:12" s="2" customFormat="1" hidden="1" x14ac:dyDescent="0.25">
      <c r="A126" s="6">
        <v>129</v>
      </c>
      <c r="B126" s="13">
        <v>37006691</v>
      </c>
      <c r="C126" s="3" t="s">
        <v>11</v>
      </c>
      <c r="D126" s="1" t="s">
        <v>645</v>
      </c>
      <c r="E126" s="14">
        <v>44503</v>
      </c>
      <c r="F126" s="6" t="s">
        <v>4</v>
      </c>
      <c r="G126" s="7" t="s">
        <v>92</v>
      </c>
      <c r="H126" s="2" t="s">
        <v>98</v>
      </c>
      <c r="J126" s="5" t="s">
        <v>247</v>
      </c>
      <c r="K126" s="6" t="s">
        <v>252</v>
      </c>
      <c r="L126" s="14">
        <v>45566</v>
      </c>
    </row>
    <row r="127" spans="1:12" s="2" customFormat="1" x14ac:dyDescent="0.25">
      <c r="A127" s="5">
        <v>130</v>
      </c>
      <c r="B127" s="8">
        <v>37006849</v>
      </c>
      <c r="C127" s="1" t="s">
        <v>129</v>
      </c>
      <c r="D127" s="1" t="s">
        <v>573</v>
      </c>
      <c r="E127" s="9">
        <v>44536</v>
      </c>
      <c r="F127" s="5" t="s">
        <v>4</v>
      </c>
      <c r="G127" s="4" t="s">
        <v>91</v>
      </c>
      <c r="H127" t="s">
        <v>97</v>
      </c>
      <c r="I127" s="5"/>
      <c r="J127" s="5" t="s">
        <v>764</v>
      </c>
      <c r="K127" s="5"/>
      <c r="L127" s="5"/>
    </row>
    <row r="128" spans="1:12" x14ac:dyDescent="0.25">
      <c r="A128" s="5">
        <v>131</v>
      </c>
      <c r="B128" s="8">
        <v>37007655</v>
      </c>
      <c r="C128" s="1" t="s">
        <v>79</v>
      </c>
      <c r="D128" s="1" t="s">
        <v>540</v>
      </c>
      <c r="E128" s="9">
        <v>44683</v>
      </c>
      <c r="F128" s="5" t="s">
        <v>4</v>
      </c>
      <c r="G128" s="4" t="s">
        <v>93</v>
      </c>
      <c r="H128" t="s">
        <v>99</v>
      </c>
      <c r="I128" s="5"/>
      <c r="J128" s="5" t="s">
        <v>764</v>
      </c>
    </row>
    <row r="129" spans="1:12" x14ac:dyDescent="0.25">
      <c r="A129" s="5">
        <v>132</v>
      </c>
      <c r="B129" s="8">
        <v>37007493</v>
      </c>
      <c r="C129" s="1" t="s">
        <v>80</v>
      </c>
      <c r="D129" s="1" t="s">
        <v>541</v>
      </c>
      <c r="E129" s="9">
        <v>44669</v>
      </c>
      <c r="F129" s="5" t="s">
        <v>4</v>
      </c>
      <c r="G129" s="4" t="s">
        <v>93</v>
      </c>
      <c r="H129" t="s">
        <v>99</v>
      </c>
      <c r="I129" s="5"/>
      <c r="J129" s="5" t="s">
        <v>764</v>
      </c>
    </row>
    <row r="130" spans="1:12" x14ac:dyDescent="0.25">
      <c r="A130" s="5">
        <v>133</v>
      </c>
      <c r="B130" s="8">
        <v>37013718</v>
      </c>
      <c r="C130" s="1" t="s">
        <v>81</v>
      </c>
      <c r="D130" s="1" t="s">
        <v>542</v>
      </c>
      <c r="E130" s="9">
        <v>45139</v>
      </c>
      <c r="F130" s="5" t="s">
        <v>4</v>
      </c>
      <c r="G130" s="4" t="s">
        <v>93</v>
      </c>
      <c r="H130" t="s">
        <v>99</v>
      </c>
      <c r="I130" s="5"/>
      <c r="J130" s="5" t="s">
        <v>764</v>
      </c>
    </row>
    <row r="131" spans="1:12" x14ac:dyDescent="0.25">
      <c r="A131" s="5">
        <v>134</v>
      </c>
      <c r="B131" s="8">
        <v>37006922</v>
      </c>
      <c r="C131" s="1" t="s">
        <v>82</v>
      </c>
      <c r="D131" s="1" t="s">
        <v>543</v>
      </c>
      <c r="E131" s="9">
        <v>44550</v>
      </c>
      <c r="F131" s="5" t="s">
        <v>4</v>
      </c>
      <c r="G131" s="4" t="s">
        <v>93</v>
      </c>
      <c r="H131" t="s">
        <v>99</v>
      </c>
      <c r="I131" s="5"/>
      <c r="J131" s="5" t="s">
        <v>764</v>
      </c>
    </row>
    <row r="132" spans="1:12" x14ac:dyDescent="0.25">
      <c r="A132" s="5">
        <v>135</v>
      </c>
      <c r="B132" s="8">
        <v>37015292</v>
      </c>
      <c r="C132" s="1" t="s">
        <v>83</v>
      </c>
      <c r="D132" s="1" t="s">
        <v>544</v>
      </c>
      <c r="E132" s="9">
        <v>45243</v>
      </c>
      <c r="F132" s="5" t="s">
        <v>4</v>
      </c>
      <c r="G132" s="4" t="s">
        <v>91</v>
      </c>
      <c r="H132" t="s">
        <v>97</v>
      </c>
      <c r="I132" s="5"/>
      <c r="J132" s="5" t="s">
        <v>764</v>
      </c>
    </row>
    <row r="133" spans="1:12" x14ac:dyDescent="0.25">
      <c r="A133" s="5">
        <v>136</v>
      </c>
      <c r="B133" s="8">
        <v>37015278</v>
      </c>
      <c r="C133" s="1" t="s">
        <v>84</v>
      </c>
      <c r="D133" s="1" t="s">
        <v>545</v>
      </c>
      <c r="E133" s="9">
        <v>45243</v>
      </c>
      <c r="F133" s="5" t="s">
        <v>4</v>
      </c>
      <c r="G133" s="4" t="s">
        <v>93</v>
      </c>
      <c r="H133" t="s">
        <v>99</v>
      </c>
      <c r="I133" s="5"/>
      <c r="J133" s="5" t="s">
        <v>764</v>
      </c>
    </row>
    <row r="134" spans="1:12" x14ac:dyDescent="0.25">
      <c r="A134" s="5">
        <v>137</v>
      </c>
      <c r="B134" s="8">
        <v>37010202</v>
      </c>
      <c r="C134" s="1" t="s">
        <v>486</v>
      </c>
      <c r="D134" s="1" t="s">
        <v>559</v>
      </c>
      <c r="E134" s="9">
        <v>44886</v>
      </c>
      <c r="F134" s="5" t="s">
        <v>4</v>
      </c>
      <c r="G134" s="4" t="s">
        <v>94</v>
      </c>
      <c r="H134" t="s">
        <v>100</v>
      </c>
      <c r="I134" s="5"/>
      <c r="J134" s="5" t="s">
        <v>764</v>
      </c>
    </row>
    <row r="135" spans="1:12" x14ac:dyDescent="0.25">
      <c r="A135" s="5">
        <v>138</v>
      </c>
      <c r="B135" s="8">
        <v>37009290</v>
      </c>
      <c r="C135" s="1" t="s">
        <v>135</v>
      </c>
      <c r="D135" s="1" t="s">
        <v>560</v>
      </c>
      <c r="E135" s="9">
        <v>44809</v>
      </c>
      <c r="F135" s="5" t="s">
        <v>4</v>
      </c>
      <c r="G135" s="56" t="s">
        <v>94</v>
      </c>
      <c r="H135" t="s">
        <v>100</v>
      </c>
      <c r="I135" s="5"/>
      <c r="J135" s="5" t="s">
        <v>764</v>
      </c>
    </row>
    <row r="136" spans="1:12" x14ac:dyDescent="0.25">
      <c r="A136" s="5">
        <v>139</v>
      </c>
      <c r="B136" s="8">
        <v>37010214</v>
      </c>
      <c r="C136" s="1" t="s">
        <v>85</v>
      </c>
      <c r="D136" s="1" t="s">
        <v>561</v>
      </c>
      <c r="E136" s="9">
        <v>44886</v>
      </c>
      <c r="F136" s="5" t="s">
        <v>4</v>
      </c>
      <c r="G136" s="4" t="s">
        <v>94</v>
      </c>
      <c r="H136" t="s">
        <v>100</v>
      </c>
      <c r="I136" s="5"/>
      <c r="J136" s="5" t="s">
        <v>764</v>
      </c>
    </row>
    <row r="137" spans="1:12" hidden="1" x14ac:dyDescent="0.25">
      <c r="A137" s="5">
        <v>140</v>
      </c>
      <c r="B137" s="8">
        <v>37006718</v>
      </c>
      <c r="C137" s="1" t="s">
        <v>86</v>
      </c>
      <c r="D137" s="1" t="s">
        <v>655</v>
      </c>
      <c r="E137" s="9">
        <v>44516</v>
      </c>
      <c r="F137" s="5" t="s">
        <v>4</v>
      </c>
      <c r="G137" s="4" t="s">
        <v>94</v>
      </c>
      <c r="H137" t="s">
        <v>100</v>
      </c>
      <c r="I137" s="5"/>
      <c r="J137" s="5" t="s">
        <v>390</v>
      </c>
      <c r="L137" s="108"/>
    </row>
    <row r="138" spans="1:12" x14ac:dyDescent="0.25">
      <c r="A138" s="5">
        <v>141</v>
      </c>
      <c r="B138" s="8">
        <v>37007023</v>
      </c>
      <c r="C138" s="1" t="s">
        <v>87</v>
      </c>
      <c r="D138" s="1" t="s">
        <v>562</v>
      </c>
      <c r="E138" s="9">
        <v>44578</v>
      </c>
      <c r="F138" s="5" t="s">
        <v>4</v>
      </c>
      <c r="G138" s="4" t="s">
        <v>94</v>
      </c>
      <c r="H138" t="s">
        <v>100</v>
      </c>
      <c r="I138" s="5"/>
      <c r="J138" s="5" t="s">
        <v>764</v>
      </c>
    </row>
    <row r="139" spans="1:12" x14ac:dyDescent="0.25">
      <c r="A139" s="5">
        <v>144</v>
      </c>
      <c r="B139" s="8">
        <v>37016453</v>
      </c>
      <c r="C139" s="1" t="s">
        <v>701</v>
      </c>
      <c r="D139" s="1" t="s">
        <v>758</v>
      </c>
      <c r="E139" s="9">
        <v>45328</v>
      </c>
      <c r="F139" s="5" t="s">
        <v>4</v>
      </c>
      <c r="G139" s="4" t="s">
        <v>94</v>
      </c>
      <c r="H139" t="s">
        <v>100</v>
      </c>
      <c r="I139" s="5"/>
      <c r="J139" s="5" t="s">
        <v>764</v>
      </c>
    </row>
    <row r="140" spans="1:12" x14ac:dyDescent="0.25">
      <c r="A140" s="5">
        <v>145</v>
      </c>
      <c r="B140" s="8">
        <v>37004375</v>
      </c>
      <c r="C140" s="1" t="s">
        <v>88</v>
      </c>
      <c r="D140" s="1" t="s">
        <v>88</v>
      </c>
      <c r="E140" s="9">
        <v>43878</v>
      </c>
      <c r="F140" s="5" t="s">
        <v>5</v>
      </c>
      <c r="G140" s="4" t="s">
        <v>6</v>
      </c>
      <c r="H140" t="s">
        <v>96</v>
      </c>
      <c r="I140" s="5"/>
      <c r="J140" s="5" t="s">
        <v>764</v>
      </c>
    </row>
    <row r="141" spans="1:12" x14ac:dyDescent="0.25">
      <c r="A141" s="5">
        <v>146</v>
      </c>
      <c r="B141" s="8">
        <v>37018284</v>
      </c>
      <c r="C141" s="1" t="s">
        <v>177</v>
      </c>
      <c r="D141" s="1" t="s">
        <v>612</v>
      </c>
      <c r="E141" s="9">
        <v>45475</v>
      </c>
      <c r="F141" s="5" t="s">
        <v>773</v>
      </c>
      <c r="G141" s="4" t="s">
        <v>6</v>
      </c>
      <c r="H141" s="50" t="s">
        <v>96</v>
      </c>
      <c r="I141" s="5" t="s">
        <v>197</v>
      </c>
      <c r="J141" s="5" t="s">
        <v>764</v>
      </c>
    </row>
    <row r="142" spans="1:12" x14ac:dyDescent="0.25">
      <c r="A142" s="5">
        <v>147</v>
      </c>
      <c r="B142" s="8">
        <v>37003195</v>
      </c>
      <c r="C142" s="1" t="s">
        <v>109</v>
      </c>
      <c r="D142" s="1" t="s">
        <v>694</v>
      </c>
      <c r="E142" s="9">
        <v>43605</v>
      </c>
      <c r="F142" s="5" t="s">
        <v>5</v>
      </c>
      <c r="G142" s="4" t="s">
        <v>91</v>
      </c>
      <c r="H142" t="s">
        <v>97</v>
      </c>
      <c r="I142" s="5" t="s">
        <v>189</v>
      </c>
      <c r="J142" s="5" t="s">
        <v>764</v>
      </c>
    </row>
    <row r="143" spans="1:12" x14ac:dyDescent="0.25">
      <c r="A143" s="5">
        <v>148</v>
      </c>
      <c r="B143" s="8">
        <v>37006079</v>
      </c>
      <c r="C143" s="1" t="s">
        <v>89</v>
      </c>
      <c r="D143" s="1" t="s">
        <v>691</v>
      </c>
      <c r="E143" s="9">
        <v>44410</v>
      </c>
      <c r="F143" s="5" t="s">
        <v>5</v>
      </c>
      <c r="G143" s="4" t="s">
        <v>92</v>
      </c>
      <c r="H143" t="s">
        <v>164</v>
      </c>
      <c r="I143" s="5" t="s">
        <v>195</v>
      </c>
      <c r="J143" s="5" t="s">
        <v>764</v>
      </c>
    </row>
    <row r="144" spans="1:12" x14ac:dyDescent="0.25">
      <c r="A144" s="5">
        <v>149</v>
      </c>
      <c r="B144" s="8">
        <v>37005681</v>
      </c>
      <c r="C144" s="1" t="s">
        <v>90</v>
      </c>
      <c r="D144" s="1" t="s">
        <v>692</v>
      </c>
      <c r="E144" s="9">
        <v>44333</v>
      </c>
      <c r="F144" s="5" t="s">
        <v>5</v>
      </c>
      <c r="G144" s="4" t="s">
        <v>93</v>
      </c>
      <c r="H144" t="s">
        <v>99</v>
      </c>
      <c r="I144" s="5"/>
      <c r="J144" s="5" t="s">
        <v>764</v>
      </c>
    </row>
    <row r="145" spans="1:12" x14ac:dyDescent="0.25">
      <c r="A145" s="5">
        <v>150</v>
      </c>
      <c r="B145" s="8">
        <v>37005687</v>
      </c>
      <c r="C145" s="1" t="s">
        <v>114</v>
      </c>
      <c r="D145" s="1" t="s">
        <v>693</v>
      </c>
      <c r="E145" s="9">
        <v>44333</v>
      </c>
      <c r="F145" s="5" t="s">
        <v>5</v>
      </c>
      <c r="G145" s="4" t="s">
        <v>94</v>
      </c>
      <c r="H145" t="s">
        <v>100</v>
      </c>
      <c r="I145" s="5" t="s">
        <v>187</v>
      </c>
      <c r="J145" s="5" t="s">
        <v>764</v>
      </c>
    </row>
    <row r="146" spans="1:12" x14ac:dyDescent="0.25">
      <c r="A146" s="5">
        <v>151</v>
      </c>
      <c r="B146" s="8">
        <v>37005777</v>
      </c>
      <c r="C146" s="1" t="s">
        <v>161</v>
      </c>
      <c r="D146" s="1" t="s">
        <v>690</v>
      </c>
      <c r="E146" s="9">
        <v>44348</v>
      </c>
      <c r="F146" s="5" t="s">
        <v>162</v>
      </c>
      <c r="G146" s="4" t="s">
        <v>168</v>
      </c>
      <c r="H146" s="1" t="s">
        <v>170</v>
      </c>
      <c r="I146" s="5" t="s">
        <v>180</v>
      </c>
      <c r="J146" s="5" t="s">
        <v>764</v>
      </c>
    </row>
    <row r="147" spans="1:12" x14ac:dyDescent="0.25">
      <c r="A147" s="5">
        <v>152</v>
      </c>
      <c r="B147" s="8">
        <v>37009751</v>
      </c>
      <c r="C147" s="1" t="s">
        <v>163</v>
      </c>
      <c r="D147" s="1" t="s">
        <v>583</v>
      </c>
      <c r="E147" s="9">
        <v>44851</v>
      </c>
      <c r="F147" s="5" t="s">
        <v>165</v>
      </c>
      <c r="G147" s="4" t="s">
        <v>168</v>
      </c>
      <c r="H147" s="1" t="s">
        <v>170</v>
      </c>
      <c r="I147" s="5" t="s">
        <v>179</v>
      </c>
      <c r="J147" s="5" t="s">
        <v>764</v>
      </c>
    </row>
    <row r="148" spans="1:12" x14ac:dyDescent="0.25">
      <c r="A148" s="5">
        <v>153</v>
      </c>
      <c r="B148" s="8">
        <v>37014815</v>
      </c>
      <c r="C148" s="1" t="s">
        <v>164</v>
      </c>
      <c r="D148" s="1" t="s">
        <v>689</v>
      </c>
      <c r="E148" s="9">
        <v>45202</v>
      </c>
      <c r="F148" s="5" t="s">
        <v>172</v>
      </c>
      <c r="G148" s="56" t="s">
        <v>92</v>
      </c>
      <c r="H148" s="1" t="s">
        <v>170</v>
      </c>
      <c r="I148" s="5" t="s">
        <v>181</v>
      </c>
      <c r="J148" s="5" t="s">
        <v>764</v>
      </c>
    </row>
    <row r="149" spans="1:12" x14ac:dyDescent="0.25">
      <c r="A149" s="5">
        <v>154</v>
      </c>
      <c r="B149" s="8">
        <v>37900842</v>
      </c>
      <c r="C149" s="1" t="s">
        <v>166</v>
      </c>
      <c r="D149" s="1" t="s">
        <v>615</v>
      </c>
      <c r="E149" s="9">
        <v>45433</v>
      </c>
      <c r="F149" s="5" t="s">
        <v>167</v>
      </c>
      <c r="G149" s="4" t="s">
        <v>169</v>
      </c>
      <c r="H149" s="1" t="s">
        <v>170</v>
      </c>
      <c r="I149" s="5" t="s">
        <v>178</v>
      </c>
      <c r="J149" s="5" t="s">
        <v>764</v>
      </c>
    </row>
    <row r="150" spans="1:12" x14ac:dyDescent="0.25">
      <c r="A150" s="5">
        <v>155</v>
      </c>
      <c r="B150" s="8">
        <v>37005338</v>
      </c>
      <c r="C150" s="1" t="s">
        <v>170</v>
      </c>
      <c r="D150" s="1" t="s">
        <v>614</v>
      </c>
      <c r="E150" s="9">
        <v>44228</v>
      </c>
      <c r="F150" s="5" t="s">
        <v>171</v>
      </c>
      <c r="G150" s="4" t="s">
        <v>168</v>
      </c>
      <c r="H150" s="1" t="s">
        <v>173</v>
      </c>
      <c r="I150" s="5" t="s">
        <v>182</v>
      </c>
      <c r="J150" s="5" t="s">
        <v>764</v>
      </c>
    </row>
    <row r="151" spans="1:12" x14ac:dyDescent="0.25">
      <c r="A151" s="5">
        <v>156</v>
      </c>
      <c r="B151" s="8">
        <v>37014126</v>
      </c>
      <c r="C151" s="1" t="s">
        <v>100</v>
      </c>
      <c r="D151" s="1" t="s">
        <v>684</v>
      </c>
      <c r="E151" s="9">
        <v>45160</v>
      </c>
      <c r="F151" s="5" t="s">
        <v>172</v>
      </c>
      <c r="G151" s="56" t="s">
        <v>94</v>
      </c>
      <c r="H151" s="1" t="s">
        <v>170</v>
      </c>
      <c r="I151" s="5" t="s">
        <v>203</v>
      </c>
      <c r="J151" s="5" t="s">
        <v>764</v>
      </c>
    </row>
    <row r="152" spans="1:12" x14ac:dyDescent="0.25">
      <c r="A152" s="5">
        <v>157</v>
      </c>
      <c r="B152" s="8">
        <v>37009590</v>
      </c>
      <c r="C152" s="1" t="s">
        <v>99</v>
      </c>
      <c r="D152" s="1" t="s">
        <v>685</v>
      </c>
      <c r="E152" s="9">
        <v>44837</v>
      </c>
      <c r="F152" s="5" t="s">
        <v>172</v>
      </c>
      <c r="G152" s="56" t="s">
        <v>93</v>
      </c>
      <c r="H152" s="1" t="s">
        <v>170</v>
      </c>
      <c r="I152" s="5" t="s">
        <v>208</v>
      </c>
      <c r="J152" s="5" t="s">
        <v>764</v>
      </c>
    </row>
    <row r="153" spans="1:12" hidden="1" x14ac:dyDescent="0.25">
      <c r="A153" s="5">
        <v>158</v>
      </c>
      <c r="B153" s="8">
        <v>37009457</v>
      </c>
      <c r="C153" s="1" t="s">
        <v>98</v>
      </c>
      <c r="D153" s="1" t="s">
        <v>686</v>
      </c>
      <c r="E153" s="9">
        <v>44823</v>
      </c>
      <c r="F153" s="5" t="s">
        <v>172</v>
      </c>
      <c r="H153" s="1" t="s">
        <v>170</v>
      </c>
      <c r="I153" s="5" t="s">
        <v>211</v>
      </c>
      <c r="J153" s="5" t="s">
        <v>390</v>
      </c>
      <c r="L153" s="9">
        <v>45733</v>
      </c>
    </row>
    <row r="154" spans="1:12" x14ac:dyDescent="0.25">
      <c r="A154" s="5">
        <v>159</v>
      </c>
      <c r="B154" s="8">
        <v>37000359</v>
      </c>
      <c r="C154" s="1" t="s">
        <v>97</v>
      </c>
      <c r="D154" s="1" t="s">
        <v>687</v>
      </c>
      <c r="E154" s="9">
        <v>37592</v>
      </c>
      <c r="F154" s="5" t="s">
        <v>172</v>
      </c>
      <c r="G154" s="56" t="s">
        <v>91</v>
      </c>
      <c r="H154" s="1" t="s">
        <v>170</v>
      </c>
      <c r="I154" s="5" t="s">
        <v>210</v>
      </c>
      <c r="J154" s="5" t="s">
        <v>764</v>
      </c>
    </row>
    <row r="155" spans="1:12" x14ac:dyDescent="0.25">
      <c r="A155" s="5">
        <v>160</v>
      </c>
      <c r="B155" s="8">
        <v>37005794</v>
      </c>
      <c r="C155" s="1" t="s">
        <v>96</v>
      </c>
      <c r="D155" s="1" t="s">
        <v>688</v>
      </c>
      <c r="E155" s="9">
        <v>44348</v>
      </c>
      <c r="F155" s="5" t="s">
        <v>172</v>
      </c>
      <c r="G155" s="56" t="s">
        <v>6</v>
      </c>
      <c r="H155" s="1" t="s">
        <v>170</v>
      </c>
      <c r="I155" s="5" t="s">
        <v>209</v>
      </c>
      <c r="J155" s="5" t="s">
        <v>764</v>
      </c>
    </row>
    <row r="156" spans="1:12" x14ac:dyDescent="0.25">
      <c r="A156" s="5">
        <v>161</v>
      </c>
      <c r="B156" s="8">
        <v>37018415</v>
      </c>
      <c r="C156" s="1" t="s">
        <v>175</v>
      </c>
      <c r="D156" s="1" t="s">
        <v>551</v>
      </c>
      <c r="E156" s="55"/>
      <c r="F156" s="5" t="s">
        <v>4</v>
      </c>
      <c r="G156" s="4" t="s">
        <v>6</v>
      </c>
      <c r="H156" t="s">
        <v>96</v>
      </c>
      <c r="I156" s="5"/>
      <c r="J156" s="5" t="s">
        <v>764</v>
      </c>
    </row>
    <row r="157" spans="1:12" hidden="1" x14ac:dyDescent="0.25">
      <c r="A157" s="5">
        <v>162</v>
      </c>
      <c r="B157" s="8">
        <v>37018897</v>
      </c>
      <c r="C157" s="1" t="s">
        <v>245</v>
      </c>
      <c r="D157" s="1" t="s">
        <v>563</v>
      </c>
      <c r="E157" s="9">
        <v>45524</v>
      </c>
      <c r="F157" s="5" t="s">
        <v>4</v>
      </c>
      <c r="G157" s="4" t="s">
        <v>94</v>
      </c>
      <c r="H157" t="s">
        <v>100</v>
      </c>
      <c r="I157" s="5"/>
      <c r="J157" s="6" t="s">
        <v>390</v>
      </c>
      <c r="L157" s="108"/>
    </row>
    <row r="158" spans="1:12" x14ac:dyDescent="0.25">
      <c r="A158" s="5">
        <v>163</v>
      </c>
      <c r="B158" s="8">
        <v>37018896</v>
      </c>
      <c r="C158" s="1" t="s">
        <v>246</v>
      </c>
      <c r="D158" s="1" t="s">
        <v>564</v>
      </c>
      <c r="E158" s="9">
        <v>45524</v>
      </c>
      <c r="F158" s="5" t="s">
        <v>4</v>
      </c>
      <c r="G158" s="4" t="s">
        <v>94</v>
      </c>
      <c r="H158" t="s">
        <v>100</v>
      </c>
      <c r="I158" s="5"/>
      <c r="J158" s="5" t="s">
        <v>764</v>
      </c>
    </row>
    <row r="159" spans="1:12" x14ac:dyDescent="0.25">
      <c r="A159" s="5">
        <v>164</v>
      </c>
      <c r="B159" s="8">
        <v>37019156</v>
      </c>
      <c r="C159" s="1" t="s">
        <v>389</v>
      </c>
      <c r="D159" s="1" t="s">
        <v>610</v>
      </c>
      <c r="E159" s="9">
        <v>45545</v>
      </c>
      <c r="F159" s="5" t="s">
        <v>95</v>
      </c>
      <c r="G159" s="4" t="s">
        <v>173</v>
      </c>
      <c r="H159" t="s">
        <v>100</v>
      </c>
      <c r="I159" s="5"/>
      <c r="J159" s="5" t="s">
        <v>764</v>
      </c>
    </row>
    <row r="160" spans="1:12" hidden="1" x14ac:dyDescent="0.25">
      <c r="A160" s="5">
        <v>165</v>
      </c>
      <c r="B160" s="8">
        <v>37011015</v>
      </c>
      <c r="C160" s="1" t="s">
        <v>253</v>
      </c>
      <c r="D160" s="1" t="s">
        <v>675</v>
      </c>
      <c r="E160" s="9">
        <v>45589</v>
      </c>
      <c r="F160" s="5" t="s">
        <v>3</v>
      </c>
      <c r="G160" s="4" t="s">
        <v>93</v>
      </c>
      <c r="H160" t="s">
        <v>99</v>
      </c>
      <c r="I160" s="5"/>
      <c r="J160" s="5" t="s">
        <v>247</v>
      </c>
      <c r="K160" s="5" t="s">
        <v>254</v>
      </c>
      <c r="L160" s="9">
        <v>45536</v>
      </c>
    </row>
    <row r="161" spans="1:12" x14ac:dyDescent="0.25">
      <c r="A161" s="5">
        <v>166</v>
      </c>
      <c r="B161" s="8">
        <v>37019739</v>
      </c>
      <c r="C161" s="1" t="s">
        <v>487</v>
      </c>
      <c r="D161" s="1" t="s">
        <v>555</v>
      </c>
      <c r="E161" s="9">
        <v>45589</v>
      </c>
      <c r="F161" s="5" t="s">
        <v>4</v>
      </c>
      <c r="G161" s="4" t="s">
        <v>6</v>
      </c>
      <c r="H161" t="s">
        <v>96</v>
      </c>
      <c r="I161" s="5" t="s">
        <v>506</v>
      </c>
      <c r="J161" s="5" t="s">
        <v>764</v>
      </c>
    </row>
    <row r="162" spans="1:12" x14ac:dyDescent="0.25">
      <c r="A162" s="5">
        <v>167</v>
      </c>
      <c r="B162" s="8">
        <v>37019683</v>
      </c>
      <c r="C162" s="1" t="s">
        <v>488</v>
      </c>
      <c r="D162" s="1" t="s">
        <v>568</v>
      </c>
      <c r="E162" s="9">
        <v>45589</v>
      </c>
      <c r="F162" s="5" t="s">
        <v>4</v>
      </c>
      <c r="G162" s="4" t="s">
        <v>91</v>
      </c>
      <c r="H162" s="50" t="s">
        <v>97</v>
      </c>
      <c r="I162" s="5" t="s">
        <v>507</v>
      </c>
      <c r="J162" s="5" t="s">
        <v>764</v>
      </c>
    </row>
    <row r="163" spans="1:12" hidden="1" x14ac:dyDescent="0.25">
      <c r="A163" s="5">
        <v>168</v>
      </c>
      <c r="B163" s="8">
        <v>37019695</v>
      </c>
      <c r="C163" s="1" t="s">
        <v>489</v>
      </c>
      <c r="D163" s="1" t="s">
        <v>557</v>
      </c>
      <c r="E163" s="9">
        <v>45589</v>
      </c>
      <c r="F163" s="5" t="s">
        <v>4</v>
      </c>
      <c r="G163" s="4" t="s">
        <v>6</v>
      </c>
      <c r="H163" s="46" t="s">
        <v>96</v>
      </c>
      <c r="I163" s="5" t="s">
        <v>508</v>
      </c>
      <c r="J163" s="5" t="s">
        <v>390</v>
      </c>
      <c r="K163" s="5" t="s">
        <v>173</v>
      </c>
      <c r="L163" s="9">
        <v>45703</v>
      </c>
    </row>
    <row r="164" spans="1:12" x14ac:dyDescent="0.25">
      <c r="A164" s="5">
        <v>169</v>
      </c>
      <c r="B164" s="8">
        <v>37019741</v>
      </c>
      <c r="C164" s="1" t="s">
        <v>490</v>
      </c>
      <c r="D164" s="1" t="s">
        <v>539</v>
      </c>
      <c r="E164" s="9">
        <v>45589</v>
      </c>
      <c r="F164" s="5" t="s">
        <v>4</v>
      </c>
      <c r="G164" s="4" t="s">
        <v>93</v>
      </c>
      <c r="H164" t="s">
        <v>99</v>
      </c>
      <c r="I164" s="5" t="s">
        <v>509</v>
      </c>
      <c r="J164" s="5" t="s">
        <v>764</v>
      </c>
    </row>
    <row r="165" spans="1:12" x14ac:dyDescent="0.25">
      <c r="A165" s="5">
        <v>170</v>
      </c>
      <c r="B165" s="8">
        <v>37019697</v>
      </c>
      <c r="C165" s="1" t="s">
        <v>491</v>
      </c>
      <c r="D165" s="1" t="s">
        <v>558</v>
      </c>
      <c r="E165" s="9">
        <v>45589</v>
      </c>
      <c r="F165" s="5" t="s">
        <v>4</v>
      </c>
      <c r="G165" s="4" t="s">
        <v>94</v>
      </c>
      <c r="H165" t="s">
        <v>100</v>
      </c>
      <c r="I165" s="5" t="s">
        <v>510</v>
      </c>
      <c r="J165" s="5" t="s">
        <v>764</v>
      </c>
    </row>
    <row r="166" spans="1:12" x14ac:dyDescent="0.25">
      <c r="A166" s="5">
        <v>171</v>
      </c>
      <c r="B166" s="8">
        <v>37019680</v>
      </c>
      <c r="C166" s="1" t="s">
        <v>702</v>
      </c>
      <c r="D166" s="1" t="s">
        <v>703</v>
      </c>
      <c r="E166" s="9">
        <v>45589</v>
      </c>
      <c r="F166" s="5" t="s">
        <v>4</v>
      </c>
      <c r="G166" s="4" t="s">
        <v>6</v>
      </c>
      <c r="H166" t="s">
        <v>96</v>
      </c>
      <c r="I166" s="5" t="s">
        <v>511</v>
      </c>
      <c r="J166" s="5" t="s">
        <v>764</v>
      </c>
    </row>
    <row r="167" spans="1:12" x14ac:dyDescent="0.25">
      <c r="A167" s="5">
        <v>172</v>
      </c>
      <c r="B167" s="8">
        <v>37019681</v>
      </c>
      <c r="C167" s="1" t="s">
        <v>492</v>
      </c>
      <c r="D167" s="1" t="s">
        <v>565</v>
      </c>
      <c r="E167" s="9">
        <v>45589</v>
      </c>
      <c r="F167" s="5" t="s">
        <v>4</v>
      </c>
      <c r="G167" s="4" t="s">
        <v>94</v>
      </c>
      <c r="H167" t="s">
        <v>100</v>
      </c>
      <c r="I167" s="5" t="s">
        <v>512</v>
      </c>
      <c r="J167" s="5" t="s">
        <v>764</v>
      </c>
    </row>
    <row r="168" spans="1:12" hidden="1" x14ac:dyDescent="0.25">
      <c r="A168" s="5">
        <v>173</v>
      </c>
      <c r="B168" s="8">
        <v>37019682</v>
      </c>
      <c r="C168" s="1" t="s">
        <v>493</v>
      </c>
      <c r="D168" s="1" t="s">
        <v>574</v>
      </c>
      <c r="E168" s="9">
        <v>45589</v>
      </c>
      <c r="F168" s="5" t="s">
        <v>4</v>
      </c>
      <c r="G168" s="4" t="s">
        <v>527</v>
      </c>
      <c r="H168" t="s">
        <v>97</v>
      </c>
      <c r="I168" s="5" t="s">
        <v>513</v>
      </c>
      <c r="J168" s="5" t="s">
        <v>390</v>
      </c>
      <c r="K168" s="5" t="s">
        <v>173</v>
      </c>
      <c r="L168" s="9">
        <v>45656</v>
      </c>
    </row>
    <row r="169" spans="1:12" x14ac:dyDescent="0.25">
      <c r="A169" s="5">
        <v>174</v>
      </c>
      <c r="B169" s="13">
        <v>37019684</v>
      </c>
      <c r="C169" s="1" t="s">
        <v>494</v>
      </c>
      <c r="D169" s="1" t="s">
        <v>552</v>
      </c>
      <c r="E169" s="9">
        <v>45589</v>
      </c>
      <c r="F169" s="5" t="s">
        <v>4</v>
      </c>
      <c r="G169" s="4" t="s">
        <v>6</v>
      </c>
      <c r="H169" t="s">
        <v>96</v>
      </c>
      <c r="I169" s="5" t="s">
        <v>514</v>
      </c>
      <c r="J169" s="5" t="s">
        <v>764</v>
      </c>
    </row>
    <row r="170" spans="1:12" x14ac:dyDescent="0.25">
      <c r="A170" s="5">
        <v>175</v>
      </c>
      <c r="B170" s="13">
        <v>37019689</v>
      </c>
      <c r="C170" s="1" t="s">
        <v>495</v>
      </c>
      <c r="D170" s="1" t="s">
        <v>530</v>
      </c>
      <c r="E170" s="9">
        <v>45589</v>
      </c>
      <c r="F170" s="5" t="s">
        <v>4</v>
      </c>
      <c r="G170" s="4" t="s">
        <v>92</v>
      </c>
      <c r="H170" t="s">
        <v>164</v>
      </c>
      <c r="I170" s="5" t="s">
        <v>515</v>
      </c>
      <c r="J170" s="5" t="s">
        <v>764</v>
      </c>
    </row>
    <row r="171" spans="1:12" x14ac:dyDescent="0.25">
      <c r="A171" s="5">
        <v>176</v>
      </c>
      <c r="B171" s="8">
        <v>37019657</v>
      </c>
      <c r="C171" s="1" t="s">
        <v>496</v>
      </c>
      <c r="D171" s="1" t="s">
        <v>538</v>
      </c>
      <c r="E171" s="9">
        <v>45589</v>
      </c>
      <c r="F171" s="5" t="s">
        <v>4</v>
      </c>
      <c r="G171" s="4" t="s">
        <v>92</v>
      </c>
      <c r="H171" t="s">
        <v>164</v>
      </c>
      <c r="I171" s="5" t="s">
        <v>516</v>
      </c>
      <c r="J171" s="5" t="s">
        <v>764</v>
      </c>
    </row>
    <row r="172" spans="1:12" x14ac:dyDescent="0.25">
      <c r="A172" s="5">
        <v>177</v>
      </c>
      <c r="B172" s="13">
        <v>37019694</v>
      </c>
      <c r="C172" s="1" t="s">
        <v>497</v>
      </c>
      <c r="D172" s="1" t="s">
        <v>575</v>
      </c>
      <c r="E172" s="9">
        <v>45589</v>
      </c>
      <c r="F172" s="5" t="s">
        <v>4</v>
      </c>
      <c r="G172" s="4" t="s">
        <v>91</v>
      </c>
      <c r="H172" t="s">
        <v>97</v>
      </c>
      <c r="I172" s="5" t="s">
        <v>517</v>
      </c>
      <c r="J172" s="5" t="s">
        <v>764</v>
      </c>
    </row>
    <row r="173" spans="1:12" x14ac:dyDescent="0.25">
      <c r="A173" s="5">
        <v>178</v>
      </c>
      <c r="B173" s="8">
        <v>37019693</v>
      </c>
      <c r="C173" s="1" t="s">
        <v>528</v>
      </c>
      <c r="D173" s="1" t="s">
        <v>553</v>
      </c>
      <c r="E173" s="9">
        <v>45589</v>
      </c>
      <c r="F173" s="5" t="s">
        <v>4</v>
      </c>
      <c r="G173" s="4" t="s">
        <v>6</v>
      </c>
      <c r="H173" t="s">
        <v>96</v>
      </c>
      <c r="I173" s="5" t="s">
        <v>518</v>
      </c>
      <c r="J173" s="5" t="s">
        <v>764</v>
      </c>
    </row>
    <row r="174" spans="1:12" x14ac:dyDescent="0.25">
      <c r="A174" s="5">
        <v>179</v>
      </c>
      <c r="B174" s="8">
        <v>37019691</v>
      </c>
      <c r="C174" s="1" t="s">
        <v>498</v>
      </c>
      <c r="D174" s="1" t="s">
        <v>556</v>
      </c>
      <c r="E174" s="9">
        <v>45589</v>
      </c>
      <c r="F174" s="5" t="s">
        <v>4</v>
      </c>
      <c r="G174" s="4" t="s">
        <v>6</v>
      </c>
      <c r="H174" t="s">
        <v>96</v>
      </c>
      <c r="I174" s="5" t="s">
        <v>519</v>
      </c>
      <c r="J174" s="5" t="s">
        <v>764</v>
      </c>
    </row>
    <row r="175" spans="1:12" x14ac:dyDescent="0.25">
      <c r="A175" s="5">
        <v>180</v>
      </c>
      <c r="B175" s="8">
        <v>37019685</v>
      </c>
      <c r="C175" s="1" t="s">
        <v>499</v>
      </c>
      <c r="D175" s="1" t="s">
        <v>547</v>
      </c>
      <c r="E175" s="9">
        <v>45589</v>
      </c>
      <c r="F175" s="5" t="s">
        <v>4</v>
      </c>
      <c r="G175" s="4" t="s">
        <v>93</v>
      </c>
      <c r="H175" t="s">
        <v>99</v>
      </c>
      <c r="I175" s="5" t="s">
        <v>520</v>
      </c>
      <c r="J175" s="5" t="s">
        <v>764</v>
      </c>
    </row>
    <row r="176" spans="1:12" x14ac:dyDescent="0.25">
      <c r="A176" s="5">
        <v>181</v>
      </c>
      <c r="B176" s="8">
        <v>37019656</v>
      </c>
      <c r="C176" s="1" t="s">
        <v>500</v>
      </c>
      <c r="D176" s="1" t="s">
        <v>567</v>
      </c>
      <c r="E176" s="9">
        <v>45589</v>
      </c>
      <c r="F176" s="5" t="s">
        <v>4</v>
      </c>
      <c r="G176" s="4" t="s">
        <v>94</v>
      </c>
      <c r="H176" t="s">
        <v>100</v>
      </c>
      <c r="I176" s="5" t="s">
        <v>521</v>
      </c>
      <c r="J176" s="5" t="s">
        <v>764</v>
      </c>
    </row>
    <row r="177" spans="1:12" x14ac:dyDescent="0.25">
      <c r="A177" s="5">
        <v>182</v>
      </c>
      <c r="B177" s="8">
        <v>37019679</v>
      </c>
      <c r="C177" s="1" t="s">
        <v>501</v>
      </c>
      <c r="D177" s="1" t="s">
        <v>566</v>
      </c>
      <c r="E177" s="9">
        <v>45589</v>
      </c>
      <c r="F177" s="5" t="s">
        <v>4</v>
      </c>
      <c r="G177" s="4" t="s">
        <v>94</v>
      </c>
      <c r="H177" t="s">
        <v>100</v>
      </c>
      <c r="I177" s="5" t="s">
        <v>522</v>
      </c>
      <c r="J177" s="5" t="s">
        <v>764</v>
      </c>
    </row>
    <row r="178" spans="1:12" x14ac:dyDescent="0.25">
      <c r="A178" s="5">
        <v>183</v>
      </c>
      <c r="B178" s="8">
        <v>37019719</v>
      </c>
      <c r="C178" s="1" t="s">
        <v>502</v>
      </c>
      <c r="D178" s="1" t="s">
        <v>537</v>
      </c>
      <c r="E178" s="9">
        <v>45589</v>
      </c>
      <c r="F178" s="5" t="s">
        <v>4</v>
      </c>
      <c r="G178" s="4" t="s">
        <v>92</v>
      </c>
      <c r="H178" t="s">
        <v>164</v>
      </c>
      <c r="I178" s="5" t="s">
        <v>523</v>
      </c>
      <c r="J178" s="5" t="s">
        <v>764</v>
      </c>
    </row>
    <row r="179" spans="1:12" x14ac:dyDescent="0.25">
      <c r="A179" s="5">
        <v>184</v>
      </c>
      <c r="B179" s="8">
        <v>37019665</v>
      </c>
      <c r="C179" s="1" t="s">
        <v>503</v>
      </c>
      <c r="D179" s="1" t="s">
        <v>503</v>
      </c>
      <c r="E179" s="9">
        <v>45589</v>
      </c>
      <c r="F179" s="5" t="s">
        <v>4</v>
      </c>
      <c r="G179" s="4" t="s">
        <v>93</v>
      </c>
      <c r="H179" s="50" t="s">
        <v>99</v>
      </c>
      <c r="I179" s="5" t="s">
        <v>524</v>
      </c>
      <c r="J179" s="5" t="s">
        <v>764</v>
      </c>
    </row>
    <row r="180" spans="1:12" x14ac:dyDescent="0.25">
      <c r="A180" s="5">
        <v>185</v>
      </c>
      <c r="B180" s="8">
        <v>37019646</v>
      </c>
      <c r="C180" s="1" t="s">
        <v>504</v>
      </c>
      <c r="D180" s="1" t="s">
        <v>554</v>
      </c>
      <c r="E180" s="9">
        <v>45589</v>
      </c>
      <c r="F180" s="5" t="s">
        <v>4</v>
      </c>
      <c r="G180" s="4" t="s">
        <v>6</v>
      </c>
      <c r="H180" t="s">
        <v>96</v>
      </c>
      <c r="I180" s="5" t="s">
        <v>525</v>
      </c>
      <c r="J180" s="5" t="s">
        <v>764</v>
      </c>
    </row>
    <row r="181" spans="1:12" x14ac:dyDescent="0.25">
      <c r="A181" s="5">
        <v>186</v>
      </c>
      <c r="B181" s="8">
        <v>37019686</v>
      </c>
      <c r="C181" s="1" t="s">
        <v>505</v>
      </c>
      <c r="D181" s="1" t="s">
        <v>546</v>
      </c>
      <c r="E181" s="9">
        <v>45589</v>
      </c>
      <c r="F181" s="5" t="s">
        <v>4</v>
      </c>
      <c r="G181" s="4" t="s">
        <v>93</v>
      </c>
      <c r="H181" t="s">
        <v>99</v>
      </c>
      <c r="I181" s="5" t="s">
        <v>526</v>
      </c>
      <c r="J181" s="5" t="s">
        <v>764</v>
      </c>
    </row>
    <row r="182" spans="1:12" x14ac:dyDescent="0.25">
      <c r="A182" s="5">
        <v>187</v>
      </c>
      <c r="B182" s="56">
        <v>37019894</v>
      </c>
      <c r="C182" s="1" t="s">
        <v>775</v>
      </c>
      <c r="D182" s="1" t="s">
        <v>700</v>
      </c>
      <c r="E182" s="110">
        <v>45601</v>
      </c>
      <c r="F182" s="5" t="s">
        <v>4</v>
      </c>
      <c r="G182" s="4" t="s">
        <v>92</v>
      </c>
      <c r="H182" t="s">
        <v>164</v>
      </c>
      <c r="I182" s="5"/>
      <c r="J182" s="5" t="s">
        <v>764</v>
      </c>
    </row>
    <row r="183" spans="1:12" x14ac:dyDescent="0.25">
      <c r="A183" s="5">
        <v>188</v>
      </c>
      <c r="B183" s="8">
        <v>37010463</v>
      </c>
      <c r="C183" s="1" t="s">
        <v>698</v>
      </c>
      <c r="D183" s="1" t="s">
        <v>699</v>
      </c>
      <c r="E183" s="14">
        <v>44907</v>
      </c>
      <c r="F183" s="5" t="s">
        <v>4</v>
      </c>
      <c r="G183" s="4" t="s">
        <v>93</v>
      </c>
      <c r="H183" t="s">
        <v>99</v>
      </c>
      <c r="I183" s="5"/>
      <c r="J183" s="5" t="s">
        <v>764</v>
      </c>
      <c r="K183" s="5" t="s">
        <v>776</v>
      </c>
      <c r="L183" s="9">
        <v>45597</v>
      </c>
    </row>
    <row r="184" spans="1:12" x14ac:dyDescent="0.25">
      <c r="A184" s="5">
        <v>189</v>
      </c>
      <c r="B184" s="8">
        <v>37017524</v>
      </c>
      <c r="C184" s="1" t="s">
        <v>762</v>
      </c>
      <c r="E184" s="9">
        <v>45678</v>
      </c>
      <c r="F184" s="5" t="s">
        <v>4</v>
      </c>
      <c r="G184" s="56" t="s">
        <v>91</v>
      </c>
      <c r="H184" t="s">
        <v>97</v>
      </c>
      <c r="J184" s="5" t="s">
        <v>764</v>
      </c>
    </row>
    <row r="185" spans="1:12" x14ac:dyDescent="0.25">
      <c r="A185" s="5">
        <v>190</v>
      </c>
      <c r="B185" s="8">
        <v>37003069</v>
      </c>
      <c r="C185" s="1" t="s">
        <v>761</v>
      </c>
      <c r="E185" s="9">
        <v>45702</v>
      </c>
      <c r="F185" s="5" t="s">
        <v>138</v>
      </c>
      <c r="G185" s="56" t="s">
        <v>91</v>
      </c>
      <c r="H185" s="50" t="s">
        <v>97</v>
      </c>
      <c r="J185" s="5" t="s">
        <v>764</v>
      </c>
    </row>
    <row r="186" spans="1:12" x14ac:dyDescent="0.25">
      <c r="A186" s="5">
        <v>191</v>
      </c>
      <c r="B186" s="8">
        <v>37021578</v>
      </c>
      <c r="C186" s="1" t="s">
        <v>766</v>
      </c>
      <c r="E186" s="9">
        <v>45755</v>
      </c>
      <c r="F186" s="5" t="s">
        <v>4</v>
      </c>
      <c r="G186" s="56" t="s">
        <v>6</v>
      </c>
      <c r="H186" t="s">
        <v>96</v>
      </c>
      <c r="J186" s="5" t="s">
        <v>764</v>
      </c>
      <c r="L186" s="9">
        <v>45755</v>
      </c>
    </row>
    <row r="187" spans="1:12" x14ac:dyDescent="0.25">
      <c r="A187" s="5">
        <v>192</v>
      </c>
      <c r="B187" s="8">
        <v>37006202</v>
      </c>
      <c r="C187" s="1" t="s">
        <v>768</v>
      </c>
      <c r="E187" s="55"/>
      <c r="F187" s="5" t="s">
        <v>769</v>
      </c>
      <c r="G187" s="56" t="s">
        <v>173</v>
      </c>
      <c r="H187" s="1" t="s">
        <v>170</v>
      </c>
      <c r="J187" s="5" t="s">
        <v>764</v>
      </c>
    </row>
    <row r="188" spans="1:12" x14ac:dyDescent="0.25">
      <c r="A188" s="5">
        <v>193</v>
      </c>
      <c r="B188" s="8">
        <v>37022037</v>
      </c>
      <c r="C188" s="1" t="s">
        <v>770</v>
      </c>
      <c r="E188" s="9">
        <v>45790</v>
      </c>
      <c r="F188" s="5" t="s">
        <v>4</v>
      </c>
      <c r="G188" s="56" t="s">
        <v>6</v>
      </c>
      <c r="H188" s="109" t="s">
        <v>100</v>
      </c>
      <c r="J188" s="5" t="s">
        <v>764</v>
      </c>
    </row>
    <row r="189" spans="1:12" x14ac:dyDescent="0.25">
      <c r="A189" s="5">
        <v>194</v>
      </c>
      <c r="B189" s="8">
        <v>37022039</v>
      </c>
      <c r="C189" s="1" t="s">
        <v>771</v>
      </c>
      <c r="E189" s="9">
        <v>45790</v>
      </c>
      <c r="F189" s="5" t="s">
        <v>4</v>
      </c>
      <c r="G189" s="56" t="s">
        <v>94</v>
      </c>
      <c r="H189" s="109" t="s">
        <v>96</v>
      </c>
      <c r="J189" s="5" t="s">
        <v>764</v>
      </c>
    </row>
    <row r="190" spans="1:12" x14ac:dyDescent="0.25">
      <c r="A190" s="5">
        <v>195</v>
      </c>
      <c r="B190" s="8">
        <v>37022060</v>
      </c>
      <c r="C190" s="1" t="s">
        <v>772</v>
      </c>
      <c r="E190" s="9">
        <v>45790</v>
      </c>
      <c r="F190" s="5" t="s">
        <v>95</v>
      </c>
      <c r="G190" s="56" t="s">
        <v>173</v>
      </c>
      <c r="J190" s="5" t="s">
        <v>764</v>
      </c>
    </row>
    <row r="191" spans="1:12" x14ac:dyDescent="0.25">
      <c r="A191" s="5">
        <v>196</v>
      </c>
      <c r="B191" s="56">
        <v>37022018</v>
      </c>
      <c r="C191" s="1" t="s">
        <v>774</v>
      </c>
      <c r="E191" s="9">
        <v>45790</v>
      </c>
      <c r="F191" s="5" t="s">
        <v>4</v>
      </c>
      <c r="G191" s="7" t="s">
        <v>92</v>
      </c>
      <c r="H191" s="109" t="s">
        <v>164</v>
      </c>
      <c r="J191" s="5" t="s">
        <v>764</v>
      </c>
    </row>
  </sheetData>
  <conditionalFormatting sqref="D186">
    <cfRule type="duplicateValues" dxfId="98" priority="1"/>
  </conditionalFormatting>
  <conditionalFormatting sqref="D2:D185">
    <cfRule type="duplicateValues" dxfId="97" priority="89"/>
  </conditionalFormatting>
  <pageMargins left="0.7" right="0.7" top="0.75" bottom="0.75" header="0.3" footer="0.3"/>
  <pageSetup paperSize="9" scale="39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E2621-0A78-4642-8247-ACFD4F77A14D}">
  <sheetPr>
    <pageSetUpPr autoPageBreaks="0" fitToPage="1"/>
  </sheetPr>
  <dimension ref="A1:AK96"/>
  <sheetViews>
    <sheetView showGridLines="0" topLeftCell="A55" zoomScale="85" zoomScaleNormal="85" workbookViewId="0">
      <selection activeCell="AK9" sqref="AK9"/>
    </sheetView>
  </sheetViews>
  <sheetFormatPr defaultColWidth="9.140625" defaultRowHeight="15" x14ac:dyDescent="0.25"/>
  <cols>
    <col min="1" max="1" width="5.28515625" style="63" customWidth="1"/>
    <col min="2" max="2" width="11.85546875" style="64" bestFit="1" customWidth="1"/>
    <col min="3" max="10" width="6.42578125" style="63" bestFit="1" customWidth="1"/>
    <col min="11" max="11" width="7.140625" style="63" customWidth="1"/>
    <col min="12" max="33" width="7.42578125" style="63" bestFit="1" customWidth="1"/>
    <col min="34" max="34" width="4.140625" style="63" customWidth="1"/>
    <col min="35" max="35" width="6.28515625" style="63" customWidth="1"/>
    <col min="36" max="16384" width="9.140625" style="63"/>
  </cols>
  <sheetData>
    <row r="1" spans="1:37" ht="15.75" thickBot="1" x14ac:dyDescent="0.3"/>
    <row r="2" spans="1:37" ht="16.5" thickBot="1" x14ac:dyDescent="0.3">
      <c r="A2" s="114" t="s">
        <v>727</v>
      </c>
      <c r="B2" s="65" t="s">
        <v>728</v>
      </c>
      <c r="C2" s="66">
        <v>45658</v>
      </c>
      <c r="D2" s="66">
        <v>45659</v>
      </c>
      <c r="E2" s="66">
        <v>45660</v>
      </c>
      <c r="F2" s="66">
        <v>45661</v>
      </c>
      <c r="G2" s="66">
        <v>45662</v>
      </c>
      <c r="H2" s="66">
        <v>45663</v>
      </c>
      <c r="I2" s="66">
        <v>45664</v>
      </c>
      <c r="J2" s="66">
        <v>45665</v>
      </c>
      <c r="K2" s="66">
        <v>45666</v>
      </c>
      <c r="L2" s="66">
        <v>45667</v>
      </c>
      <c r="M2" s="66">
        <v>45668</v>
      </c>
      <c r="N2" s="66">
        <v>45669</v>
      </c>
      <c r="O2" s="66">
        <v>45670</v>
      </c>
      <c r="P2" s="66">
        <v>45671</v>
      </c>
      <c r="Q2" s="66">
        <v>45672</v>
      </c>
      <c r="R2" s="66">
        <v>45673</v>
      </c>
      <c r="S2" s="66">
        <v>45674</v>
      </c>
      <c r="T2" s="66">
        <v>45675</v>
      </c>
      <c r="U2" s="66">
        <v>45676</v>
      </c>
      <c r="V2" s="66">
        <v>45677</v>
      </c>
      <c r="W2" s="66">
        <v>45678</v>
      </c>
      <c r="X2" s="66">
        <v>45679</v>
      </c>
      <c r="Y2" s="66">
        <v>45680</v>
      </c>
      <c r="Z2" s="66">
        <v>45681</v>
      </c>
      <c r="AA2" s="66">
        <v>45682</v>
      </c>
      <c r="AB2" s="66">
        <v>45683</v>
      </c>
      <c r="AC2" s="66">
        <v>45684</v>
      </c>
      <c r="AD2" s="66">
        <v>45685</v>
      </c>
      <c r="AE2" s="66">
        <v>45686</v>
      </c>
      <c r="AF2" s="66">
        <v>45687</v>
      </c>
      <c r="AG2" s="66">
        <v>45688</v>
      </c>
      <c r="AI2" s="117" t="s">
        <v>729</v>
      </c>
      <c r="AJ2" s="118"/>
      <c r="AK2" s="119"/>
    </row>
    <row r="3" spans="1:37" ht="15.75" thickBot="1" x14ac:dyDescent="0.3">
      <c r="A3" s="115"/>
      <c r="B3" s="67" t="s">
        <v>730</v>
      </c>
      <c r="C3" s="68" t="s">
        <v>733</v>
      </c>
      <c r="D3" s="68" t="s">
        <v>734</v>
      </c>
      <c r="E3" s="68" t="s">
        <v>735</v>
      </c>
      <c r="F3" s="68" t="s">
        <v>736</v>
      </c>
      <c r="G3" s="68" t="s">
        <v>737</v>
      </c>
      <c r="H3" s="68" t="s">
        <v>731</v>
      </c>
      <c r="I3" s="68" t="s">
        <v>732</v>
      </c>
      <c r="J3" s="68" t="s">
        <v>733</v>
      </c>
      <c r="K3" s="68" t="s">
        <v>734</v>
      </c>
      <c r="L3" s="68" t="s">
        <v>735</v>
      </c>
      <c r="M3" s="68" t="s">
        <v>736</v>
      </c>
      <c r="N3" s="68" t="s">
        <v>737</v>
      </c>
      <c r="O3" s="68" t="s">
        <v>731</v>
      </c>
      <c r="P3" s="68" t="s">
        <v>732</v>
      </c>
      <c r="Q3" s="68" t="s">
        <v>733</v>
      </c>
      <c r="R3" s="68" t="s">
        <v>734</v>
      </c>
      <c r="S3" s="68" t="s">
        <v>735</v>
      </c>
      <c r="T3" s="68" t="s">
        <v>736</v>
      </c>
      <c r="U3" s="68" t="s">
        <v>737</v>
      </c>
      <c r="V3" s="68" t="s">
        <v>731</v>
      </c>
      <c r="W3" s="68" t="s">
        <v>732</v>
      </c>
      <c r="X3" s="68" t="s">
        <v>733</v>
      </c>
      <c r="Y3" s="68" t="s">
        <v>734</v>
      </c>
      <c r="Z3" s="68" t="s">
        <v>735</v>
      </c>
      <c r="AA3" s="68" t="s">
        <v>736</v>
      </c>
      <c r="AB3" s="68" t="s">
        <v>737</v>
      </c>
      <c r="AC3" s="68" t="s">
        <v>731</v>
      </c>
      <c r="AD3" s="68" t="s">
        <v>732</v>
      </c>
      <c r="AE3" s="68" t="s">
        <v>733</v>
      </c>
      <c r="AF3" s="68" t="s">
        <v>734</v>
      </c>
      <c r="AG3" s="69" t="s">
        <v>735</v>
      </c>
      <c r="AI3" s="70" t="s">
        <v>6</v>
      </c>
      <c r="AJ3" s="120" t="s">
        <v>738</v>
      </c>
      <c r="AK3" s="121"/>
    </row>
    <row r="4" spans="1:37" x14ac:dyDescent="0.25">
      <c r="A4" s="115"/>
      <c r="B4" s="71" t="s">
        <v>739</v>
      </c>
      <c r="C4" s="98" t="s">
        <v>6</v>
      </c>
      <c r="D4" s="98" t="s">
        <v>93</v>
      </c>
      <c r="E4" s="98" t="s">
        <v>93</v>
      </c>
      <c r="F4" s="98" t="s">
        <v>92</v>
      </c>
      <c r="G4" s="98" t="s">
        <v>92</v>
      </c>
      <c r="H4" s="98" t="s">
        <v>91</v>
      </c>
      <c r="I4" s="98" t="s">
        <v>91</v>
      </c>
      <c r="J4" s="98" t="s">
        <v>94</v>
      </c>
      <c r="K4" s="98" t="s">
        <v>94</v>
      </c>
      <c r="L4" s="98" t="s">
        <v>6</v>
      </c>
      <c r="M4" s="98" t="s">
        <v>6</v>
      </c>
      <c r="N4" s="98" t="s">
        <v>93</v>
      </c>
      <c r="O4" s="98" t="s">
        <v>93</v>
      </c>
      <c r="P4" s="98" t="s">
        <v>92</v>
      </c>
      <c r="Q4" s="98" t="s">
        <v>92</v>
      </c>
      <c r="R4" s="98" t="s">
        <v>91</v>
      </c>
      <c r="S4" s="98" t="s">
        <v>91</v>
      </c>
      <c r="T4" s="98" t="s">
        <v>94</v>
      </c>
      <c r="U4" s="98" t="s">
        <v>94</v>
      </c>
      <c r="V4" s="98" t="s">
        <v>6</v>
      </c>
      <c r="W4" s="98" t="s">
        <v>6</v>
      </c>
      <c r="X4" s="98" t="s">
        <v>93</v>
      </c>
      <c r="Y4" s="98" t="s">
        <v>93</v>
      </c>
      <c r="Z4" s="98" t="s">
        <v>92</v>
      </c>
      <c r="AA4" s="98" t="s">
        <v>92</v>
      </c>
      <c r="AB4" s="98" t="s">
        <v>91</v>
      </c>
      <c r="AC4" s="98" t="s">
        <v>91</v>
      </c>
      <c r="AD4" s="98" t="s">
        <v>94</v>
      </c>
      <c r="AE4" s="98" t="s">
        <v>94</v>
      </c>
      <c r="AF4" s="98" t="s">
        <v>6</v>
      </c>
      <c r="AG4" s="99" t="s">
        <v>6</v>
      </c>
      <c r="AI4" s="74" t="s">
        <v>91</v>
      </c>
      <c r="AJ4" s="122" t="s">
        <v>740</v>
      </c>
      <c r="AK4" s="123"/>
    </row>
    <row r="5" spans="1:37" x14ac:dyDescent="0.25">
      <c r="A5" s="115"/>
      <c r="B5" s="75" t="s">
        <v>741</v>
      </c>
      <c r="C5" s="100" t="s">
        <v>94</v>
      </c>
      <c r="D5" s="100" t="s">
        <v>6</v>
      </c>
      <c r="E5" s="100" t="s">
        <v>6</v>
      </c>
      <c r="F5" s="100" t="s">
        <v>93</v>
      </c>
      <c r="G5" s="100" t="s">
        <v>93</v>
      </c>
      <c r="H5" s="100" t="s">
        <v>92</v>
      </c>
      <c r="I5" s="100" t="s">
        <v>92</v>
      </c>
      <c r="J5" s="100" t="s">
        <v>91</v>
      </c>
      <c r="K5" s="100" t="s">
        <v>91</v>
      </c>
      <c r="L5" s="100" t="s">
        <v>94</v>
      </c>
      <c r="M5" s="100" t="s">
        <v>94</v>
      </c>
      <c r="N5" s="100" t="s">
        <v>6</v>
      </c>
      <c r="O5" s="100" t="s">
        <v>6</v>
      </c>
      <c r="P5" s="100" t="s">
        <v>93</v>
      </c>
      <c r="Q5" s="100" t="s">
        <v>93</v>
      </c>
      <c r="R5" s="100" t="s">
        <v>92</v>
      </c>
      <c r="S5" s="100" t="s">
        <v>92</v>
      </c>
      <c r="T5" s="100" t="s">
        <v>91</v>
      </c>
      <c r="U5" s="100" t="s">
        <v>91</v>
      </c>
      <c r="V5" s="100" t="s">
        <v>94</v>
      </c>
      <c r="W5" s="100" t="s">
        <v>94</v>
      </c>
      <c r="X5" s="100" t="s">
        <v>6</v>
      </c>
      <c r="Y5" s="100" t="s">
        <v>6</v>
      </c>
      <c r="Z5" s="100" t="s">
        <v>93</v>
      </c>
      <c r="AA5" s="100" t="s">
        <v>93</v>
      </c>
      <c r="AB5" s="100" t="s">
        <v>92</v>
      </c>
      <c r="AC5" s="100" t="s">
        <v>92</v>
      </c>
      <c r="AD5" s="100" t="s">
        <v>91</v>
      </c>
      <c r="AE5" s="100" t="s">
        <v>91</v>
      </c>
      <c r="AF5" s="100" t="s">
        <v>94</v>
      </c>
      <c r="AG5" s="101" t="s">
        <v>94</v>
      </c>
      <c r="AI5" s="74" t="s">
        <v>92</v>
      </c>
      <c r="AJ5" s="122" t="s">
        <v>767</v>
      </c>
      <c r="AK5" s="123"/>
    </row>
    <row r="6" spans="1:37" ht="15.75" thickBot="1" x14ac:dyDescent="0.3">
      <c r="A6" s="115"/>
      <c r="B6" s="78" t="s">
        <v>742</v>
      </c>
      <c r="C6" s="102" t="s">
        <v>91</v>
      </c>
      <c r="D6" s="102" t="s">
        <v>94</v>
      </c>
      <c r="E6" s="102" t="s">
        <v>94</v>
      </c>
      <c r="F6" s="102" t="s">
        <v>6</v>
      </c>
      <c r="G6" s="102" t="s">
        <v>6</v>
      </c>
      <c r="H6" s="102" t="s">
        <v>93</v>
      </c>
      <c r="I6" s="102" t="s">
        <v>93</v>
      </c>
      <c r="J6" s="102" t="s">
        <v>92</v>
      </c>
      <c r="K6" s="102" t="s">
        <v>92</v>
      </c>
      <c r="L6" s="102" t="s">
        <v>91</v>
      </c>
      <c r="M6" s="102" t="s">
        <v>91</v>
      </c>
      <c r="N6" s="102" t="s">
        <v>94</v>
      </c>
      <c r="O6" s="102" t="s">
        <v>94</v>
      </c>
      <c r="P6" s="102" t="s">
        <v>6</v>
      </c>
      <c r="Q6" s="102" t="s">
        <v>6</v>
      </c>
      <c r="R6" s="102" t="s">
        <v>93</v>
      </c>
      <c r="S6" s="102" t="s">
        <v>93</v>
      </c>
      <c r="T6" s="102" t="s">
        <v>92</v>
      </c>
      <c r="U6" s="102" t="s">
        <v>92</v>
      </c>
      <c r="V6" s="102" t="s">
        <v>91</v>
      </c>
      <c r="W6" s="102" t="s">
        <v>91</v>
      </c>
      <c r="X6" s="102" t="s">
        <v>94</v>
      </c>
      <c r="Y6" s="102" t="s">
        <v>94</v>
      </c>
      <c r="Z6" s="102" t="s">
        <v>6</v>
      </c>
      <c r="AA6" s="102" t="s">
        <v>6</v>
      </c>
      <c r="AB6" s="102" t="s">
        <v>93</v>
      </c>
      <c r="AC6" s="102" t="s">
        <v>93</v>
      </c>
      <c r="AD6" s="102" t="s">
        <v>92</v>
      </c>
      <c r="AE6" s="102" t="s">
        <v>92</v>
      </c>
      <c r="AF6" s="102" t="s">
        <v>91</v>
      </c>
      <c r="AG6" s="103" t="s">
        <v>91</v>
      </c>
      <c r="AI6" s="74" t="s">
        <v>93</v>
      </c>
      <c r="AJ6" s="122" t="s">
        <v>743</v>
      </c>
      <c r="AK6" s="123"/>
    </row>
    <row r="7" spans="1:37" ht="15.75" thickBot="1" x14ac:dyDescent="0.3">
      <c r="A7" s="115"/>
      <c r="B7" s="81" t="s">
        <v>744</v>
      </c>
      <c r="C7" s="104" t="s">
        <v>92</v>
      </c>
      <c r="D7" s="104" t="s">
        <v>91</v>
      </c>
      <c r="E7" s="104" t="s">
        <v>91</v>
      </c>
      <c r="F7" s="104" t="s">
        <v>94</v>
      </c>
      <c r="G7" s="104" t="s">
        <v>94</v>
      </c>
      <c r="H7" s="104" t="s">
        <v>6</v>
      </c>
      <c r="I7" s="104" t="s">
        <v>6</v>
      </c>
      <c r="J7" s="104" t="s">
        <v>93</v>
      </c>
      <c r="K7" s="106" t="s">
        <v>93</v>
      </c>
      <c r="L7" s="104" t="s">
        <v>92</v>
      </c>
      <c r="M7" s="104" t="s">
        <v>92</v>
      </c>
      <c r="N7" s="104" t="s">
        <v>91</v>
      </c>
      <c r="O7" s="104" t="s">
        <v>91</v>
      </c>
      <c r="P7" s="104" t="s">
        <v>94</v>
      </c>
      <c r="Q7" s="104" t="s">
        <v>94</v>
      </c>
      <c r="R7" s="104" t="s">
        <v>6</v>
      </c>
      <c r="S7" s="104" t="s">
        <v>6</v>
      </c>
      <c r="T7" s="104" t="s">
        <v>93</v>
      </c>
      <c r="U7" s="104" t="s">
        <v>93</v>
      </c>
      <c r="V7" s="104" t="s">
        <v>92</v>
      </c>
      <c r="W7" s="104" t="s">
        <v>92</v>
      </c>
      <c r="X7" s="104" t="s">
        <v>91</v>
      </c>
      <c r="Y7" s="104" t="s">
        <v>91</v>
      </c>
      <c r="Z7" s="104" t="s">
        <v>94</v>
      </c>
      <c r="AA7" s="104" t="s">
        <v>94</v>
      </c>
      <c r="AB7" s="104" t="s">
        <v>6</v>
      </c>
      <c r="AC7" s="104" t="s">
        <v>6</v>
      </c>
      <c r="AD7" s="102" t="s">
        <v>93</v>
      </c>
      <c r="AE7" s="102" t="s">
        <v>93</v>
      </c>
      <c r="AF7" s="104" t="s">
        <v>92</v>
      </c>
      <c r="AG7" s="105" t="s">
        <v>92</v>
      </c>
      <c r="AI7" s="84" t="s">
        <v>94</v>
      </c>
      <c r="AJ7" s="124" t="s">
        <v>745</v>
      </c>
      <c r="AK7" s="125"/>
    </row>
    <row r="8" spans="1:37" ht="15.75" thickBot="1" x14ac:dyDescent="0.3">
      <c r="A8" s="116"/>
      <c r="B8" s="78" t="s">
        <v>744</v>
      </c>
      <c r="C8" s="102" t="s">
        <v>93</v>
      </c>
      <c r="D8" s="102" t="s">
        <v>92</v>
      </c>
      <c r="E8" s="102" t="s">
        <v>92</v>
      </c>
      <c r="F8" s="102" t="s">
        <v>91</v>
      </c>
      <c r="G8" s="102" t="s">
        <v>91</v>
      </c>
      <c r="H8" s="102" t="s">
        <v>94</v>
      </c>
      <c r="I8" s="102" t="s">
        <v>94</v>
      </c>
      <c r="J8" s="102" t="s">
        <v>6</v>
      </c>
      <c r="K8" s="102" t="s">
        <v>6</v>
      </c>
      <c r="L8" s="102" t="s">
        <v>93</v>
      </c>
      <c r="M8" s="102" t="s">
        <v>93</v>
      </c>
      <c r="N8" s="102" t="s">
        <v>92</v>
      </c>
      <c r="O8" s="102" t="s">
        <v>92</v>
      </c>
      <c r="P8" s="102" t="s">
        <v>91</v>
      </c>
      <c r="Q8" s="102" t="s">
        <v>91</v>
      </c>
      <c r="R8" s="102" t="s">
        <v>94</v>
      </c>
      <c r="S8" s="102" t="s">
        <v>94</v>
      </c>
      <c r="T8" s="102" t="s">
        <v>6</v>
      </c>
      <c r="U8" s="102" t="s">
        <v>6</v>
      </c>
      <c r="V8" s="102" t="s">
        <v>93</v>
      </c>
      <c r="W8" s="102" t="s">
        <v>93</v>
      </c>
      <c r="X8" s="102" t="s">
        <v>92</v>
      </c>
      <c r="Y8" s="102" t="s">
        <v>92</v>
      </c>
      <c r="Z8" s="102" t="s">
        <v>91</v>
      </c>
      <c r="AA8" s="102" t="s">
        <v>91</v>
      </c>
      <c r="AB8" s="102" t="s">
        <v>94</v>
      </c>
      <c r="AC8" s="102" t="s">
        <v>94</v>
      </c>
      <c r="AD8" s="102" t="s">
        <v>6</v>
      </c>
      <c r="AE8" s="102" t="s">
        <v>6</v>
      </c>
      <c r="AF8" s="102" t="s">
        <v>93</v>
      </c>
      <c r="AG8" s="103" t="s">
        <v>93</v>
      </c>
    </row>
    <row r="9" spans="1:37" ht="15.75" thickBot="1" x14ac:dyDescent="0.3"/>
    <row r="10" spans="1:37" ht="15.75" thickBot="1" x14ac:dyDescent="0.3">
      <c r="A10" s="111" t="s">
        <v>746</v>
      </c>
      <c r="B10" s="65" t="s">
        <v>728</v>
      </c>
      <c r="C10" s="66">
        <v>45689</v>
      </c>
      <c r="D10" s="66">
        <v>45690</v>
      </c>
      <c r="E10" s="66">
        <v>45691</v>
      </c>
      <c r="F10" s="66">
        <v>45692</v>
      </c>
      <c r="G10" s="66">
        <v>45693</v>
      </c>
      <c r="H10" s="66">
        <v>45694</v>
      </c>
      <c r="I10" s="66">
        <v>45695</v>
      </c>
      <c r="J10" s="66">
        <v>45696</v>
      </c>
      <c r="K10" s="66">
        <v>45697</v>
      </c>
      <c r="L10" s="66">
        <v>45698</v>
      </c>
      <c r="M10" s="66">
        <v>45699</v>
      </c>
      <c r="N10" s="66">
        <v>45700</v>
      </c>
      <c r="O10" s="66">
        <v>45701</v>
      </c>
      <c r="P10" s="66">
        <v>45702</v>
      </c>
      <c r="Q10" s="66">
        <v>45703</v>
      </c>
      <c r="R10" s="66">
        <v>45704</v>
      </c>
      <c r="S10" s="66">
        <v>45705</v>
      </c>
      <c r="T10" s="66">
        <v>45706</v>
      </c>
      <c r="U10" s="66">
        <v>45707</v>
      </c>
      <c r="V10" s="66">
        <v>45708</v>
      </c>
      <c r="W10" s="66">
        <v>45709</v>
      </c>
      <c r="X10" s="66">
        <v>45710</v>
      </c>
      <c r="Y10" s="66">
        <v>45711</v>
      </c>
      <c r="Z10" s="66">
        <v>45712</v>
      </c>
      <c r="AA10" s="66">
        <v>45713</v>
      </c>
      <c r="AB10" s="66">
        <v>45714</v>
      </c>
      <c r="AC10" s="66">
        <v>45715</v>
      </c>
      <c r="AD10" s="66">
        <v>45716</v>
      </c>
    </row>
    <row r="11" spans="1:37" ht="15.75" thickBot="1" x14ac:dyDescent="0.3">
      <c r="A11" s="112"/>
      <c r="B11" s="85" t="s">
        <v>730</v>
      </c>
      <c r="C11" s="86" t="s">
        <v>736</v>
      </c>
      <c r="D11" s="86" t="s">
        <v>737</v>
      </c>
      <c r="E11" s="86" t="s">
        <v>731</v>
      </c>
      <c r="F11" s="86" t="s">
        <v>732</v>
      </c>
      <c r="G11" s="86" t="s">
        <v>733</v>
      </c>
      <c r="H11" s="86" t="s">
        <v>734</v>
      </c>
      <c r="I11" s="86" t="s">
        <v>735</v>
      </c>
      <c r="J11" s="86" t="s">
        <v>736</v>
      </c>
      <c r="K11" s="86" t="s">
        <v>737</v>
      </c>
      <c r="L11" s="86" t="s">
        <v>731</v>
      </c>
      <c r="M11" s="86" t="s">
        <v>732</v>
      </c>
      <c r="N11" s="86" t="s">
        <v>733</v>
      </c>
      <c r="O11" s="86" t="s">
        <v>734</v>
      </c>
      <c r="P11" s="86" t="s">
        <v>735</v>
      </c>
      <c r="Q11" s="86" t="s">
        <v>736</v>
      </c>
      <c r="R11" s="86" t="s">
        <v>737</v>
      </c>
      <c r="S11" s="86" t="s">
        <v>731</v>
      </c>
      <c r="T11" s="86" t="s">
        <v>732</v>
      </c>
      <c r="U11" s="86" t="s">
        <v>733</v>
      </c>
      <c r="V11" s="86" t="s">
        <v>734</v>
      </c>
      <c r="W11" s="86" t="s">
        <v>735</v>
      </c>
      <c r="X11" s="86" t="s">
        <v>736</v>
      </c>
      <c r="Y11" s="86" t="s">
        <v>737</v>
      </c>
      <c r="Z11" s="86" t="s">
        <v>731</v>
      </c>
      <c r="AA11" s="86" t="s">
        <v>732</v>
      </c>
      <c r="AB11" s="86" t="s">
        <v>733</v>
      </c>
      <c r="AC11" s="86" t="s">
        <v>734</v>
      </c>
      <c r="AD11" s="86" t="s">
        <v>735</v>
      </c>
    </row>
    <row r="12" spans="1:37" x14ac:dyDescent="0.25">
      <c r="A12" s="112"/>
      <c r="B12" s="88" t="s">
        <v>739</v>
      </c>
      <c r="C12" s="72" t="s">
        <v>93</v>
      </c>
      <c r="D12" s="72" t="s">
        <v>93</v>
      </c>
      <c r="E12" s="72" t="s">
        <v>92</v>
      </c>
      <c r="F12" s="72" t="s">
        <v>92</v>
      </c>
      <c r="G12" s="72" t="s">
        <v>91</v>
      </c>
      <c r="H12" s="72" t="s">
        <v>91</v>
      </c>
      <c r="I12" s="72" t="s">
        <v>94</v>
      </c>
      <c r="J12" s="72" t="s">
        <v>94</v>
      </c>
      <c r="K12" s="72" t="s">
        <v>6</v>
      </c>
      <c r="L12" s="72" t="s">
        <v>6</v>
      </c>
      <c r="M12" s="72" t="s">
        <v>93</v>
      </c>
      <c r="N12" s="72" t="s">
        <v>93</v>
      </c>
      <c r="O12" s="72" t="s">
        <v>92</v>
      </c>
      <c r="P12" s="72" t="s">
        <v>92</v>
      </c>
      <c r="Q12" s="72" t="s">
        <v>91</v>
      </c>
      <c r="R12" s="72" t="s">
        <v>91</v>
      </c>
      <c r="S12" s="72" t="s">
        <v>94</v>
      </c>
      <c r="T12" s="72" t="s">
        <v>94</v>
      </c>
      <c r="U12" s="72" t="s">
        <v>6</v>
      </c>
      <c r="V12" s="72" t="s">
        <v>6</v>
      </c>
      <c r="W12" s="72" t="s">
        <v>93</v>
      </c>
      <c r="X12" s="72" t="s">
        <v>93</v>
      </c>
      <c r="Y12" s="72" t="s">
        <v>92</v>
      </c>
      <c r="Z12" s="72" t="s">
        <v>92</v>
      </c>
      <c r="AA12" s="72" t="s">
        <v>91</v>
      </c>
      <c r="AB12" s="72" t="s">
        <v>91</v>
      </c>
      <c r="AC12" s="72" t="s">
        <v>94</v>
      </c>
      <c r="AD12" s="72" t="s">
        <v>94</v>
      </c>
    </row>
    <row r="13" spans="1:37" x14ac:dyDescent="0.25">
      <c r="A13" s="112"/>
      <c r="B13" s="89" t="s">
        <v>741</v>
      </c>
      <c r="C13" s="76" t="s">
        <v>6</v>
      </c>
      <c r="D13" s="76" t="s">
        <v>6</v>
      </c>
      <c r="E13" s="76" t="s">
        <v>93</v>
      </c>
      <c r="F13" s="76" t="s">
        <v>93</v>
      </c>
      <c r="G13" s="76" t="s">
        <v>92</v>
      </c>
      <c r="H13" s="76" t="s">
        <v>92</v>
      </c>
      <c r="I13" s="76" t="s">
        <v>91</v>
      </c>
      <c r="J13" s="76" t="s">
        <v>91</v>
      </c>
      <c r="K13" s="76" t="s">
        <v>94</v>
      </c>
      <c r="L13" s="76" t="s">
        <v>94</v>
      </c>
      <c r="M13" s="76" t="s">
        <v>6</v>
      </c>
      <c r="N13" s="76" t="s">
        <v>6</v>
      </c>
      <c r="O13" s="76" t="s">
        <v>93</v>
      </c>
      <c r="P13" s="76" t="s">
        <v>93</v>
      </c>
      <c r="Q13" s="76" t="s">
        <v>92</v>
      </c>
      <c r="R13" s="76" t="s">
        <v>92</v>
      </c>
      <c r="S13" s="76" t="s">
        <v>91</v>
      </c>
      <c r="T13" s="76" t="s">
        <v>91</v>
      </c>
      <c r="U13" s="76" t="s">
        <v>94</v>
      </c>
      <c r="V13" s="76" t="s">
        <v>94</v>
      </c>
      <c r="W13" s="76" t="s">
        <v>6</v>
      </c>
      <c r="X13" s="76" t="s">
        <v>6</v>
      </c>
      <c r="Y13" s="76" t="s">
        <v>93</v>
      </c>
      <c r="Z13" s="76" t="s">
        <v>93</v>
      </c>
      <c r="AA13" s="76" t="s">
        <v>92</v>
      </c>
      <c r="AB13" s="76" t="s">
        <v>92</v>
      </c>
      <c r="AC13" s="76" t="s">
        <v>91</v>
      </c>
      <c r="AD13" s="76" t="s">
        <v>91</v>
      </c>
    </row>
    <row r="14" spans="1:37" ht="15.75" thickBot="1" x14ac:dyDescent="0.3">
      <c r="A14" s="112"/>
      <c r="B14" s="90" t="s">
        <v>742</v>
      </c>
      <c r="C14" s="79" t="s">
        <v>94</v>
      </c>
      <c r="D14" s="79" t="s">
        <v>94</v>
      </c>
      <c r="E14" s="79" t="s">
        <v>6</v>
      </c>
      <c r="F14" s="79" t="s">
        <v>6</v>
      </c>
      <c r="G14" s="79" t="s">
        <v>93</v>
      </c>
      <c r="H14" s="79" t="s">
        <v>93</v>
      </c>
      <c r="I14" s="79" t="s">
        <v>92</v>
      </c>
      <c r="J14" s="79" t="s">
        <v>92</v>
      </c>
      <c r="K14" s="79" t="s">
        <v>91</v>
      </c>
      <c r="L14" s="79" t="s">
        <v>91</v>
      </c>
      <c r="M14" s="79" t="s">
        <v>94</v>
      </c>
      <c r="N14" s="79" t="s">
        <v>94</v>
      </c>
      <c r="O14" s="79" t="s">
        <v>6</v>
      </c>
      <c r="P14" s="79" t="s">
        <v>6</v>
      </c>
      <c r="Q14" s="79" t="s">
        <v>93</v>
      </c>
      <c r="R14" s="79" t="s">
        <v>93</v>
      </c>
      <c r="S14" s="79" t="s">
        <v>92</v>
      </c>
      <c r="T14" s="79" t="s">
        <v>92</v>
      </c>
      <c r="U14" s="79" t="s">
        <v>91</v>
      </c>
      <c r="V14" s="79" t="s">
        <v>91</v>
      </c>
      <c r="W14" s="79" t="s">
        <v>94</v>
      </c>
      <c r="X14" s="79" t="s">
        <v>94</v>
      </c>
      <c r="Y14" s="79" t="s">
        <v>6</v>
      </c>
      <c r="Z14" s="79" t="s">
        <v>6</v>
      </c>
      <c r="AA14" s="79" t="s">
        <v>93</v>
      </c>
      <c r="AB14" s="79" t="s">
        <v>93</v>
      </c>
      <c r="AC14" s="79" t="s">
        <v>92</v>
      </c>
      <c r="AD14" s="79" t="s">
        <v>92</v>
      </c>
    </row>
    <row r="15" spans="1:37" x14ac:dyDescent="0.25">
      <c r="A15" s="112"/>
      <c r="B15" s="91" t="s">
        <v>744</v>
      </c>
      <c r="C15" s="82" t="s">
        <v>91</v>
      </c>
      <c r="D15" s="82" t="s">
        <v>91</v>
      </c>
      <c r="E15" s="82" t="s">
        <v>94</v>
      </c>
      <c r="F15" s="82" t="s">
        <v>94</v>
      </c>
      <c r="G15" s="82" t="s">
        <v>6</v>
      </c>
      <c r="H15" s="82" t="s">
        <v>6</v>
      </c>
      <c r="I15" s="82" t="s">
        <v>93</v>
      </c>
      <c r="J15" s="82" t="s">
        <v>93</v>
      </c>
      <c r="K15" s="82" t="s">
        <v>92</v>
      </c>
      <c r="L15" s="82" t="s">
        <v>92</v>
      </c>
      <c r="M15" s="82" t="s">
        <v>91</v>
      </c>
      <c r="N15" s="82" t="s">
        <v>91</v>
      </c>
      <c r="O15" s="82" t="s">
        <v>94</v>
      </c>
      <c r="P15" s="82" t="s">
        <v>94</v>
      </c>
      <c r="Q15" s="82" t="s">
        <v>6</v>
      </c>
      <c r="R15" s="82" t="s">
        <v>6</v>
      </c>
      <c r="S15" s="82" t="s">
        <v>93</v>
      </c>
      <c r="T15" s="82" t="s">
        <v>93</v>
      </c>
      <c r="U15" s="82" t="s">
        <v>92</v>
      </c>
      <c r="V15" s="82" t="s">
        <v>92</v>
      </c>
      <c r="W15" s="82" t="s">
        <v>91</v>
      </c>
      <c r="X15" s="82" t="s">
        <v>91</v>
      </c>
      <c r="Y15" s="82" t="s">
        <v>94</v>
      </c>
      <c r="Z15" s="82" t="s">
        <v>94</v>
      </c>
      <c r="AA15" s="82" t="s">
        <v>6</v>
      </c>
      <c r="AB15" s="82" t="s">
        <v>6</v>
      </c>
      <c r="AC15" s="82" t="s">
        <v>93</v>
      </c>
      <c r="AD15" s="82" t="s">
        <v>93</v>
      </c>
    </row>
    <row r="16" spans="1:37" ht="15.75" thickBot="1" x14ac:dyDescent="0.3">
      <c r="A16" s="113"/>
      <c r="B16" s="90" t="s">
        <v>744</v>
      </c>
      <c r="C16" s="79" t="s">
        <v>92</v>
      </c>
      <c r="D16" s="79" t="s">
        <v>92</v>
      </c>
      <c r="E16" s="79" t="s">
        <v>91</v>
      </c>
      <c r="F16" s="79" t="s">
        <v>91</v>
      </c>
      <c r="G16" s="79" t="s">
        <v>94</v>
      </c>
      <c r="H16" s="79" t="s">
        <v>94</v>
      </c>
      <c r="I16" s="79" t="s">
        <v>6</v>
      </c>
      <c r="J16" s="79" t="s">
        <v>6</v>
      </c>
      <c r="K16" s="79" t="s">
        <v>93</v>
      </c>
      <c r="L16" s="79" t="s">
        <v>93</v>
      </c>
      <c r="M16" s="79" t="s">
        <v>92</v>
      </c>
      <c r="N16" s="79" t="s">
        <v>92</v>
      </c>
      <c r="O16" s="79" t="s">
        <v>91</v>
      </c>
      <c r="P16" s="79" t="s">
        <v>91</v>
      </c>
      <c r="Q16" s="79" t="s">
        <v>94</v>
      </c>
      <c r="R16" s="79" t="s">
        <v>94</v>
      </c>
      <c r="S16" s="79" t="s">
        <v>6</v>
      </c>
      <c r="T16" s="79" t="s">
        <v>6</v>
      </c>
      <c r="U16" s="79" t="s">
        <v>93</v>
      </c>
      <c r="V16" s="79" t="s">
        <v>93</v>
      </c>
      <c r="W16" s="79" t="s">
        <v>92</v>
      </c>
      <c r="X16" s="79" t="s">
        <v>92</v>
      </c>
      <c r="Y16" s="79" t="s">
        <v>91</v>
      </c>
      <c r="Z16" s="79" t="s">
        <v>91</v>
      </c>
      <c r="AA16" s="79" t="s">
        <v>94</v>
      </c>
      <c r="AB16" s="79" t="s">
        <v>94</v>
      </c>
      <c r="AC16" s="79" t="s">
        <v>6</v>
      </c>
      <c r="AD16" s="79" t="s">
        <v>6</v>
      </c>
    </row>
    <row r="17" spans="1:33" ht="15.75" thickBot="1" x14ac:dyDescent="0.3"/>
    <row r="18" spans="1:33" ht="15.75" thickBot="1" x14ac:dyDescent="0.3">
      <c r="A18" s="111" t="s">
        <v>747</v>
      </c>
      <c r="B18" s="65" t="s">
        <v>728</v>
      </c>
      <c r="C18" s="66">
        <v>45717</v>
      </c>
      <c r="D18" s="66">
        <v>45718</v>
      </c>
      <c r="E18" s="66">
        <v>45719</v>
      </c>
      <c r="F18" s="66">
        <v>45720</v>
      </c>
      <c r="G18" s="66">
        <v>45721</v>
      </c>
      <c r="H18" s="66">
        <v>45722</v>
      </c>
      <c r="I18" s="66">
        <v>45723</v>
      </c>
      <c r="J18" s="66">
        <v>45724</v>
      </c>
      <c r="K18" s="66">
        <v>45725</v>
      </c>
      <c r="L18" s="66">
        <v>45726</v>
      </c>
      <c r="M18" s="66">
        <v>45727</v>
      </c>
      <c r="N18" s="66">
        <v>45728</v>
      </c>
      <c r="O18" s="66">
        <v>45729</v>
      </c>
      <c r="P18" s="66">
        <v>45730</v>
      </c>
      <c r="Q18" s="66">
        <v>45731</v>
      </c>
      <c r="R18" s="66">
        <v>45732</v>
      </c>
      <c r="S18" s="66">
        <v>45733</v>
      </c>
      <c r="T18" s="66">
        <v>45734</v>
      </c>
      <c r="U18" s="66">
        <v>45735</v>
      </c>
      <c r="V18" s="66">
        <v>45736</v>
      </c>
      <c r="W18" s="66">
        <v>45737</v>
      </c>
      <c r="X18" s="66">
        <v>45738</v>
      </c>
      <c r="Y18" s="66">
        <v>45739</v>
      </c>
      <c r="Z18" s="66">
        <v>45740</v>
      </c>
      <c r="AA18" s="66">
        <v>45741</v>
      </c>
      <c r="AB18" s="66">
        <v>45742</v>
      </c>
      <c r="AC18" s="66">
        <v>45743</v>
      </c>
      <c r="AD18" s="66">
        <v>45744</v>
      </c>
      <c r="AE18" s="66">
        <v>45745</v>
      </c>
      <c r="AF18" s="66">
        <v>45746</v>
      </c>
      <c r="AG18" s="66">
        <v>45747</v>
      </c>
    </row>
    <row r="19" spans="1:33" ht="15.75" thickBot="1" x14ac:dyDescent="0.3">
      <c r="A19" s="112"/>
      <c r="B19" s="85" t="s">
        <v>730</v>
      </c>
      <c r="C19" s="86" t="s">
        <v>736</v>
      </c>
      <c r="D19" s="86" t="s">
        <v>737</v>
      </c>
      <c r="E19" s="86" t="s">
        <v>731</v>
      </c>
      <c r="F19" s="86" t="s">
        <v>732</v>
      </c>
      <c r="G19" s="86" t="s">
        <v>733</v>
      </c>
      <c r="H19" s="86" t="s">
        <v>734</v>
      </c>
      <c r="I19" s="86" t="s">
        <v>735</v>
      </c>
      <c r="J19" s="86" t="s">
        <v>736</v>
      </c>
      <c r="K19" s="86" t="s">
        <v>737</v>
      </c>
      <c r="L19" s="86" t="s">
        <v>731</v>
      </c>
      <c r="M19" s="86" t="s">
        <v>732</v>
      </c>
      <c r="N19" s="86" t="s">
        <v>733</v>
      </c>
      <c r="O19" s="86" t="s">
        <v>734</v>
      </c>
      <c r="P19" s="86" t="s">
        <v>735</v>
      </c>
      <c r="Q19" s="86" t="s">
        <v>736</v>
      </c>
      <c r="R19" s="86" t="s">
        <v>737</v>
      </c>
      <c r="S19" s="86" t="s">
        <v>731</v>
      </c>
      <c r="T19" s="86" t="s">
        <v>732</v>
      </c>
      <c r="U19" s="86" t="s">
        <v>733</v>
      </c>
      <c r="V19" s="86" t="s">
        <v>734</v>
      </c>
      <c r="W19" s="86" t="s">
        <v>735</v>
      </c>
      <c r="X19" s="86" t="s">
        <v>736</v>
      </c>
      <c r="Y19" s="86" t="s">
        <v>737</v>
      </c>
      <c r="Z19" s="86" t="s">
        <v>731</v>
      </c>
      <c r="AA19" s="86" t="s">
        <v>732</v>
      </c>
      <c r="AB19" s="86" t="s">
        <v>733</v>
      </c>
      <c r="AC19" s="86" t="s">
        <v>734</v>
      </c>
      <c r="AD19" s="86" t="s">
        <v>735</v>
      </c>
      <c r="AE19" s="86" t="s">
        <v>736</v>
      </c>
      <c r="AF19" s="86" t="s">
        <v>737</v>
      </c>
      <c r="AG19" s="87" t="s">
        <v>731</v>
      </c>
    </row>
    <row r="20" spans="1:33" x14ac:dyDescent="0.25">
      <c r="A20" s="112"/>
      <c r="B20" s="88" t="s">
        <v>739</v>
      </c>
      <c r="C20" s="72" t="s">
        <v>6</v>
      </c>
      <c r="D20" s="72" t="s">
        <v>6</v>
      </c>
      <c r="E20" s="72" t="s">
        <v>93</v>
      </c>
      <c r="F20" s="72" t="s">
        <v>93</v>
      </c>
      <c r="G20" s="72" t="s">
        <v>92</v>
      </c>
      <c r="H20" s="72" t="s">
        <v>92</v>
      </c>
      <c r="I20" s="72" t="s">
        <v>91</v>
      </c>
      <c r="J20" s="72" t="s">
        <v>91</v>
      </c>
      <c r="K20" s="72" t="s">
        <v>94</v>
      </c>
      <c r="L20" s="72" t="s">
        <v>94</v>
      </c>
      <c r="M20" s="72" t="s">
        <v>6</v>
      </c>
      <c r="N20" s="72" t="s">
        <v>6</v>
      </c>
      <c r="O20" s="72" t="s">
        <v>93</v>
      </c>
      <c r="P20" s="72" t="s">
        <v>93</v>
      </c>
      <c r="Q20" s="72" t="s">
        <v>92</v>
      </c>
      <c r="R20" s="72" t="s">
        <v>92</v>
      </c>
      <c r="S20" s="72" t="s">
        <v>91</v>
      </c>
      <c r="T20" s="72" t="s">
        <v>91</v>
      </c>
      <c r="U20" s="72" t="s">
        <v>94</v>
      </c>
      <c r="V20" s="72" t="s">
        <v>94</v>
      </c>
      <c r="W20" s="72" t="s">
        <v>6</v>
      </c>
      <c r="X20" s="72" t="s">
        <v>6</v>
      </c>
      <c r="Y20" s="72" t="s">
        <v>93</v>
      </c>
      <c r="Z20" s="72" t="s">
        <v>93</v>
      </c>
      <c r="AA20" s="72" t="s">
        <v>92</v>
      </c>
      <c r="AB20" s="72" t="s">
        <v>92</v>
      </c>
      <c r="AC20" s="72" t="s">
        <v>91</v>
      </c>
      <c r="AD20" s="72" t="s">
        <v>91</v>
      </c>
      <c r="AE20" s="72" t="s">
        <v>94</v>
      </c>
      <c r="AF20" s="72" t="s">
        <v>94</v>
      </c>
      <c r="AG20" s="73" t="s">
        <v>6</v>
      </c>
    </row>
    <row r="21" spans="1:33" x14ac:dyDescent="0.25">
      <c r="A21" s="112"/>
      <c r="B21" s="89" t="s">
        <v>741</v>
      </c>
      <c r="C21" s="76" t="s">
        <v>94</v>
      </c>
      <c r="D21" s="76" t="s">
        <v>94</v>
      </c>
      <c r="E21" s="76" t="s">
        <v>6</v>
      </c>
      <c r="F21" s="76" t="s">
        <v>6</v>
      </c>
      <c r="G21" s="76" t="s">
        <v>93</v>
      </c>
      <c r="H21" s="76" t="s">
        <v>93</v>
      </c>
      <c r="I21" s="76" t="s">
        <v>92</v>
      </c>
      <c r="J21" s="76" t="s">
        <v>92</v>
      </c>
      <c r="K21" s="76" t="s">
        <v>91</v>
      </c>
      <c r="L21" s="76" t="s">
        <v>91</v>
      </c>
      <c r="M21" s="76" t="s">
        <v>94</v>
      </c>
      <c r="N21" s="76" t="s">
        <v>94</v>
      </c>
      <c r="O21" s="76" t="s">
        <v>6</v>
      </c>
      <c r="P21" s="76" t="s">
        <v>6</v>
      </c>
      <c r="Q21" s="76" t="s">
        <v>93</v>
      </c>
      <c r="R21" s="76" t="s">
        <v>93</v>
      </c>
      <c r="S21" s="76" t="s">
        <v>92</v>
      </c>
      <c r="T21" s="76" t="s">
        <v>92</v>
      </c>
      <c r="U21" s="76" t="s">
        <v>91</v>
      </c>
      <c r="V21" s="76" t="s">
        <v>91</v>
      </c>
      <c r="W21" s="76" t="s">
        <v>94</v>
      </c>
      <c r="X21" s="76" t="s">
        <v>94</v>
      </c>
      <c r="Y21" s="76" t="s">
        <v>6</v>
      </c>
      <c r="Z21" s="76" t="s">
        <v>6</v>
      </c>
      <c r="AA21" s="76" t="s">
        <v>93</v>
      </c>
      <c r="AB21" s="76" t="s">
        <v>93</v>
      </c>
      <c r="AC21" s="76" t="s">
        <v>92</v>
      </c>
      <c r="AD21" s="76" t="s">
        <v>92</v>
      </c>
      <c r="AE21" s="76" t="s">
        <v>91</v>
      </c>
      <c r="AF21" s="76" t="s">
        <v>91</v>
      </c>
      <c r="AG21" s="77" t="s">
        <v>94</v>
      </c>
    </row>
    <row r="22" spans="1:33" ht="15.75" thickBot="1" x14ac:dyDescent="0.3">
      <c r="A22" s="112"/>
      <c r="B22" s="90" t="s">
        <v>742</v>
      </c>
      <c r="C22" s="79" t="s">
        <v>91</v>
      </c>
      <c r="D22" s="79" t="s">
        <v>91</v>
      </c>
      <c r="E22" s="79" t="s">
        <v>94</v>
      </c>
      <c r="F22" s="79" t="s">
        <v>94</v>
      </c>
      <c r="G22" s="79" t="s">
        <v>6</v>
      </c>
      <c r="H22" s="79" t="s">
        <v>6</v>
      </c>
      <c r="I22" s="79" t="s">
        <v>93</v>
      </c>
      <c r="J22" s="79" t="s">
        <v>93</v>
      </c>
      <c r="K22" s="79" t="s">
        <v>92</v>
      </c>
      <c r="L22" s="79" t="s">
        <v>92</v>
      </c>
      <c r="M22" s="79" t="s">
        <v>91</v>
      </c>
      <c r="N22" s="79" t="s">
        <v>91</v>
      </c>
      <c r="O22" s="79" t="s">
        <v>94</v>
      </c>
      <c r="P22" s="79" t="s">
        <v>94</v>
      </c>
      <c r="Q22" s="79" t="s">
        <v>6</v>
      </c>
      <c r="R22" s="79" t="s">
        <v>6</v>
      </c>
      <c r="S22" s="79" t="s">
        <v>93</v>
      </c>
      <c r="T22" s="79" t="s">
        <v>93</v>
      </c>
      <c r="U22" s="79" t="s">
        <v>92</v>
      </c>
      <c r="V22" s="79" t="s">
        <v>92</v>
      </c>
      <c r="W22" s="79" t="s">
        <v>91</v>
      </c>
      <c r="X22" s="79" t="s">
        <v>91</v>
      </c>
      <c r="Y22" s="79" t="s">
        <v>94</v>
      </c>
      <c r="Z22" s="79" t="s">
        <v>94</v>
      </c>
      <c r="AA22" s="79" t="s">
        <v>6</v>
      </c>
      <c r="AB22" s="79" t="s">
        <v>6</v>
      </c>
      <c r="AC22" s="79" t="s">
        <v>93</v>
      </c>
      <c r="AD22" s="79" t="s">
        <v>93</v>
      </c>
      <c r="AE22" s="79" t="s">
        <v>92</v>
      </c>
      <c r="AF22" s="79" t="s">
        <v>92</v>
      </c>
      <c r="AG22" s="80" t="s">
        <v>91</v>
      </c>
    </row>
    <row r="23" spans="1:33" x14ac:dyDescent="0.25">
      <c r="A23" s="112"/>
      <c r="B23" s="91" t="s">
        <v>744</v>
      </c>
      <c r="C23" s="82" t="s">
        <v>92</v>
      </c>
      <c r="D23" s="82" t="s">
        <v>92</v>
      </c>
      <c r="E23" s="82" t="s">
        <v>91</v>
      </c>
      <c r="F23" s="82" t="s">
        <v>91</v>
      </c>
      <c r="G23" s="82" t="s">
        <v>94</v>
      </c>
      <c r="H23" s="82" t="s">
        <v>94</v>
      </c>
      <c r="I23" s="82" t="s">
        <v>6</v>
      </c>
      <c r="J23" s="82" t="s">
        <v>6</v>
      </c>
      <c r="K23" s="82" t="s">
        <v>93</v>
      </c>
      <c r="L23" s="82" t="s">
        <v>93</v>
      </c>
      <c r="M23" s="82" t="s">
        <v>92</v>
      </c>
      <c r="N23" s="82" t="s">
        <v>92</v>
      </c>
      <c r="O23" s="82" t="s">
        <v>91</v>
      </c>
      <c r="P23" s="82" t="s">
        <v>91</v>
      </c>
      <c r="Q23" s="82" t="s">
        <v>94</v>
      </c>
      <c r="R23" s="82" t="s">
        <v>94</v>
      </c>
      <c r="S23" s="82" t="s">
        <v>6</v>
      </c>
      <c r="T23" s="82" t="s">
        <v>6</v>
      </c>
      <c r="U23" s="82" t="s">
        <v>93</v>
      </c>
      <c r="V23" s="82" t="s">
        <v>93</v>
      </c>
      <c r="W23" s="82" t="s">
        <v>92</v>
      </c>
      <c r="X23" s="82" t="s">
        <v>92</v>
      </c>
      <c r="Y23" s="82" t="s">
        <v>91</v>
      </c>
      <c r="Z23" s="82" t="s">
        <v>91</v>
      </c>
      <c r="AA23" s="82" t="s">
        <v>94</v>
      </c>
      <c r="AB23" s="82" t="s">
        <v>94</v>
      </c>
      <c r="AC23" s="82" t="s">
        <v>6</v>
      </c>
      <c r="AD23" s="82" t="s">
        <v>6</v>
      </c>
      <c r="AE23" s="82" t="s">
        <v>93</v>
      </c>
      <c r="AF23" s="82" t="s">
        <v>93</v>
      </c>
      <c r="AG23" s="83" t="s">
        <v>92</v>
      </c>
    </row>
    <row r="24" spans="1:33" ht="15.75" thickBot="1" x14ac:dyDescent="0.3">
      <c r="A24" s="113"/>
      <c r="B24" s="90" t="s">
        <v>744</v>
      </c>
      <c r="C24" s="79" t="s">
        <v>93</v>
      </c>
      <c r="D24" s="79" t="s">
        <v>93</v>
      </c>
      <c r="E24" s="79" t="s">
        <v>92</v>
      </c>
      <c r="F24" s="79" t="s">
        <v>92</v>
      </c>
      <c r="G24" s="79" t="s">
        <v>91</v>
      </c>
      <c r="H24" s="79" t="s">
        <v>91</v>
      </c>
      <c r="I24" s="79" t="s">
        <v>94</v>
      </c>
      <c r="J24" s="79" t="s">
        <v>94</v>
      </c>
      <c r="K24" s="79" t="s">
        <v>6</v>
      </c>
      <c r="L24" s="79" t="s">
        <v>6</v>
      </c>
      <c r="M24" s="79" t="s">
        <v>93</v>
      </c>
      <c r="N24" s="79" t="s">
        <v>93</v>
      </c>
      <c r="O24" s="79" t="s">
        <v>92</v>
      </c>
      <c r="P24" s="79" t="s">
        <v>92</v>
      </c>
      <c r="Q24" s="79" t="s">
        <v>91</v>
      </c>
      <c r="R24" s="79" t="s">
        <v>91</v>
      </c>
      <c r="S24" s="79" t="s">
        <v>94</v>
      </c>
      <c r="T24" s="79" t="s">
        <v>94</v>
      </c>
      <c r="U24" s="79" t="s">
        <v>6</v>
      </c>
      <c r="V24" s="79" t="s">
        <v>6</v>
      </c>
      <c r="W24" s="79" t="s">
        <v>93</v>
      </c>
      <c r="X24" s="79" t="s">
        <v>93</v>
      </c>
      <c r="Y24" s="79" t="s">
        <v>92</v>
      </c>
      <c r="Z24" s="79" t="s">
        <v>92</v>
      </c>
      <c r="AA24" s="79" t="s">
        <v>91</v>
      </c>
      <c r="AB24" s="79" t="s">
        <v>91</v>
      </c>
      <c r="AC24" s="79" t="s">
        <v>94</v>
      </c>
      <c r="AD24" s="79" t="s">
        <v>94</v>
      </c>
      <c r="AE24" s="79" t="s">
        <v>6</v>
      </c>
      <c r="AF24" s="79" t="s">
        <v>6</v>
      </c>
      <c r="AG24" s="82" t="s">
        <v>93</v>
      </c>
    </row>
    <row r="25" spans="1:33" ht="15.75" thickBot="1" x14ac:dyDescent="0.3"/>
    <row r="26" spans="1:33" ht="15.75" thickBot="1" x14ac:dyDescent="0.3">
      <c r="A26" s="111" t="s">
        <v>748</v>
      </c>
      <c r="B26" s="65" t="s">
        <v>728</v>
      </c>
      <c r="C26" s="66">
        <v>45748</v>
      </c>
      <c r="D26" s="66">
        <v>45749</v>
      </c>
      <c r="E26" s="66">
        <v>45750</v>
      </c>
      <c r="F26" s="66">
        <v>45751</v>
      </c>
      <c r="G26" s="66">
        <v>45752</v>
      </c>
      <c r="H26" s="66">
        <v>45753</v>
      </c>
      <c r="I26" s="66">
        <v>45754</v>
      </c>
      <c r="J26" s="66">
        <v>45755</v>
      </c>
      <c r="K26" s="66">
        <v>45756</v>
      </c>
      <c r="L26" s="66">
        <v>45757</v>
      </c>
      <c r="M26" s="66">
        <v>45758</v>
      </c>
      <c r="N26" s="66">
        <v>45759</v>
      </c>
      <c r="O26" s="66">
        <v>45760</v>
      </c>
      <c r="P26" s="66">
        <v>45761</v>
      </c>
      <c r="Q26" s="66">
        <v>45762</v>
      </c>
      <c r="R26" s="66">
        <v>45763</v>
      </c>
      <c r="S26" s="66">
        <v>45764</v>
      </c>
      <c r="T26" s="66">
        <v>45765</v>
      </c>
      <c r="U26" s="66">
        <v>45766</v>
      </c>
      <c r="V26" s="66">
        <v>45767</v>
      </c>
      <c r="W26" s="66">
        <v>45768</v>
      </c>
      <c r="X26" s="66">
        <v>45769</v>
      </c>
      <c r="Y26" s="66">
        <v>45770</v>
      </c>
      <c r="Z26" s="66">
        <v>45771</v>
      </c>
      <c r="AA26" s="66">
        <v>45772</v>
      </c>
      <c r="AB26" s="66">
        <v>45773</v>
      </c>
      <c r="AC26" s="66">
        <v>45774</v>
      </c>
      <c r="AD26" s="66">
        <v>45775</v>
      </c>
      <c r="AE26" s="66">
        <v>45776</v>
      </c>
      <c r="AF26" s="66">
        <v>45777</v>
      </c>
    </row>
    <row r="27" spans="1:33" ht="15.75" thickBot="1" x14ac:dyDescent="0.3">
      <c r="A27" s="112"/>
      <c r="B27" s="85" t="s">
        <v>730</v>
      </c>
      <c r="C27" s="86" t="s">
        <v>732</v>
      </c>
      <c r="D27" s="86" t="s">
        <v>733</v>
      </c>
      <c r="E27" s="86" t="s">
        <v>734</v>
      </c>
      <c r="F27" s="86" t="s">
        <v>735</v>
      </c>
      <c r="G27" s="86" t="s">
        <v>736</v>
      </c>
      <c r="H27" s="86" t="s">
        <v>737</v>
      </c>
      <c r="I27" s="86" t="s">
        <v>731</v>
      </c>
      <c r="J27" s="86" t="s">
        <v>732</v>
      </c>
      <c r="K27" s="86" t="s">
        <v>733</v>
      </c>
      <c r="L27" s="86" t="s">
        <v>734</v>
      </c>
      <c r="M27" s="86" t="s">
        <v>735</v>
      </c>
      <c r="N27" s="86" t="s">
        <v>736</v>
      </c>
      <c r="O27" s="86" t="s">
        <v>737</v>
      </c>
      <c r="P27" s="86" t="s">
        <v>731</v>
      </c>
      <c r="Q27" s="86" t="s">
        <v>732</v>
      </c>
      <c r="R27" s="86" t="s">
        <v>733</v>
      </c>
      <c r="S27" s="86" t="s">
        <v>734</v>
      </c>
      <c r="T27" s="86" t="s">
        <v>735</v>
      </c>
      <c r="U27" s="86" t="s">
        <v>736</v>
      </c>
      <c r="V27" s="86" t="s">
        <v>737</v>
      </c>
      <c r="W27" s="86" t="s">
        <v>731</v>
      </c>
      <c r="X27" s="86" t="s">
        <v>732</v>
      </c>
      <c r="Y27" s="86" t="s">
        <v>733</v>
      </c>
      <c r="Z27" s="86" t="s">
        <v>734</v>
      </c>
      <c r="AA27" s="86" t="s">
        <v>735</v>
      </c>
      <c r="AB27" s="86" t="s">
        <v>736</v>
      </c>
      <c r="AC27" s="86" t="s">
        <v>737</v>
      </c>
      <c r="AD27" s="87" t="s">
        <v>731</v>
      </c>
      <c r="AE27" s="86" t="s">
        <v>732</v>
      </c>
      <c r="AF27" s="87" t="s">
        <v>733</v>
      </c>
    </row>
    <row r="28" spans="1:33" x14ac:dyDescent="0.25">
      <c r="A28" s="126"/>
      <c r="B28" s="71" t="s">
        <v>739</v>
      </c>
      <c r="C28" s="72" t="s">
        <v>6</v>
      </c>
      <c r="D28" s="72" t="s">
        <v>93</v>
      </c>
      <c r="E28" s="72" t="s">
        <v>93</v>
      </c>
      <c r="F28" s="72" t="s">
        <v>92</v>
      </c>
      <c r="G28" s="72" t="s">
        <v>92</v>
      </c>
      <c r="H28" s="72" t="s">
        <v>91</v>
      </c>
      <c r="I28" s="72" t="s">
        <v>91</v>
      </c>
      <c r="J28" s="72" t="s">
        <v>94</v>
      </c>
      <c r="K28" s="72" t="s">
        <v>94</v>
      </c>
      <c r="L28" s="72" t="s">
        <v>6</v>
      </c>
      <c r="M28" s="72" t="s">
        <v>6</v>
      </c>
      <c r="N28" s="72" t="s">
        <v>93</v>
      </c>
      <c r="O28" s="72" t="s">
        <v>93</v>
      </c>
      <c r="P28" s="72" t="s">
        <v>92</v>
      </c>
      <c r="Q28" s="72" t="s">
        <v>92</v>
      </c>
      <c r="R28" s="72" t="s">
        <v>91</v>
      </c>
      <c r="S28" s="72" t="s">
        <v>91</v>
      </c>
      <c r="T28" s="72" t="s">
        <v>94</v>
      </c>
      <c r="U28" s="72" t="s">
        <v>94</v>
      </c>
      <c r="V28" s="72" t="s">
        <v>6</v>
      </c>
      <c r="W28" s="72" t="s">
        <v>6</v>
      </c>
      <c r="X28" s="72" t="s">
        <v>93</v>
      </c>
      <c r="Y28" s="72" t="s">
        <v>93</v>
      </c>
      <c r="Z28" s="72" t="s">
        <v>92</v>
      </c>
      <c r="AA28" s="72" t="s">
        <v>92</v>
      </c>
      <c r="AB28" s="72" t="s">
        <v>91</v>
      </c>
      <c r="AC28" s="72" t="s">
        <v>91</v>
      </c>
      <c r="AD28" s="72" t="s">
        <v>94</v>
      </c>
      <c r="AE28" s="72" t="s">
        <v>94</v>
      </c>
      <c r="AF28" s="73" t="s">
        <v>6</v>
      </c>
    </row>
    <row r="29" spans="1:33" x14ac:dyDescent="0.25">
      <c r="A29" s="126"/>
      <c r="B29" s="75" t="s">
        <v>741</v>
      </c>
      <c r="C29" s="76" t="s">
        <v>94</v>
      </c>
      <c r="D29" s="76" t="s">
        <v>6</v>
      </c>
      <c r="E29" s="76" t="s">
        <v>6</v>
      </c>
      <c r="F29" s="76" t="s">
        <v>93</v>
      </c>
      <c r="G29" s="76" t="s">
        <v>93</v>
      </c>
      <c r="H29" s="76" t="s">
        <v>92</v>
      </c>
      <c r="I29" s="76" t="s">
        <v>92</v>
      </c>
      <c r="J29" s="76" t="s">
        <v>91</v>
      </c>
      <c r="K29" s="76" t="s">
        <v>91</v>
      </c>
      <c r="L29" s="76" t="s">
        <v>94</v>
      </c>
      <c r="M29" s="76" t="s">
        <v>94</v>
      </c>
      <c r="N29" s="76" t="s">
        <v>6</v>
      </c>
      <c r="O29" s="76" t="s">
        <v>6</v>
      </c>
      <c r="P29" s="76" t="s">
        <v>93</v>
      </c>
      <c r="Q29" s="76" t="s">
        <v>93</v>
      </c>
      <c r="R29" s="76" t="s">
        <v>92</v>
      </c>
      <c r="S29" s="76" t="s">
        <v>92</v>
      </c>
      <c r="T29" s="76" t="s">
        <v>91</v>
      </c>
      <c r="U29" s="76" t="s">
        <v>91</v>
      </c>
      <c r="V29" s="76" t="s">
        <v>94</v>
      </c>
      <c r="W29" s="76" t="s">
        <v>94</v>
      </c>
      <c r="X29" s="76" t="s">
        <v>6</v>
      </c>
      <c r="Y29" s="76" t="s">
        <v>6</v>
      </c>
      <c r="Z29" s="76" t="s">
        <v>93</v>
      </c>
      <c r="AA29" s="76" t="s">
        <v>93</v>
      </c>
      <c r="AB29" s="76" t="s">
        <v>92</v>
      </c>
      <c r="AC29" s="76" t="s">
        <v>92</v>
      </c>
      <c r="AD29" s="76" t="s">
        <v>91</v>
      </c>
      <c r="AE29" s="76" t="s">
        <v>91</v>
      </c>
      <c r="AF29" s="77" t="s">
        <v>94</v>
      </c>
    </row>
    <row r="30" spans="1:33" ht="15.75" thickBot="1" x14ac:dyDescent="0.3">
      <c r="A30" s="126"/>
      <c r="B30" s="92" t="s">
        <v>742</v>
      </c>
      <c r="C30" s="93" t="s">
        <v>91</v>
      </c>
      <c r="D30" s="93" t="s">
        <v>94</v>
      </c>
      <c r="E30" s="93" t="s">
        <v>94</v>
      </c>
      <c r="F30" s="93" t="s">
        <v>6</v>
      </c>
      <c r="G30" s="93" t="s">
        <v>6</v>
      </c>
      <c r="H30" s="93" t="s">
        <v>93</v>
      </c>
      <c r="I30" s="93" t="s">
        <v>93</v>
      </c>
      <c r="J30" s="93" t="s">
        <v>92</v>
      </c>
      <c r="K30" s="93" t="s">
        <v>92</v>
      </c>
      <c r="L30" s="93" t="s">
        <v>91</v>
      </c>
      <c r="M30" s="93" t="s">
        <v>91</v>
      </c>
      <c r="N30" s="93" t="s">
        <v>94</v>
      </c>
      <c r="O30" s="93" t="s">
        <v>94</v>
      </c>
      <c r="P30" s="93" t="s">
        <v>6</v>
      </c>
      <c r="Q30" s="93" t="s">
        <v>6</v>
      </c>
      <c r="R30" s="93" t="s">
        <v>93</v>
      </c>
      <c r="S30" s="93" t="s">
        <v>93</v>
      </c>
      <c r="T30" s="93" t="s">
        <v>92</v>
      </c>
      <c r="U30" s="93" t="s">
        <v>92</v>
      </c>
      <c r="V30" s="93" t="s">
        <v>91</v>
      </c>
      <c r="W30" s="93" t="s">
        <v>91</v>
      </c>
      <c r="X30" s="93" t="s">
        <v>94</v>
      </c>
      <c r="Y30" s="93" t="s">
        <v>94</v>
      </c>
      <c r="Z30" s="93" t="s">
        <v>6</v>
      </c>
      <c r="AA30" s="93" t="s">
        <v>6</v>
      </c>
      <c r="AB30" s="93" t="s">
        <v>93</v>
      </c>
      <c r="AC30" s="79" t="s">
        <v>93</v>
      </c>
      <c r="AD30" s="79" t="s">
        <v>92</v>
      </c>
      <c r="AE30" s="79" t="s">
        <v>92</v>
      </c>
      <c r="AF30" s="94" t="s">
        <v>91</v>
      </c>
    </row>
    <row r="31" spans="1:33" x14ac:dyDescent="0.25">
      <c r="A31" s="126"/>
      <c r="B31" s="71" t="s">
        <v>744</v>
      </c>
      <c r="C31" s="72" t="s">
        <v>92</v>
      </c>
      <c r="D31" s="72" t="s">
        <v>91</v>
      </c>
      <c r="E31" s="72" t="s">
        <v>91</v>
      </c>
      <c r="F31" s="72" t="s">
        <v>94</v>
      </c>
      <c r="G31" s="72" t="s">
        <v>94</v>
      </c>
      <c r="H31" s="72" t="s">
        <v>6</v>
      </c>
      <c r="I31" s="72" t="s">
        <v>6</v>
      </c>
      <c r="J31" s="72" t="s">
        <v>93</v>
      </c>
      <c r="K31" s="72" t="s">
        <v>93</v>
      </c>
      <c r="L31" s="72" t="s">
        <v>92</v>
      </c>
      <c r="M31" s="72" t="s">
        <v>92</v>
      </c>
      <c r="N31" s="72" t="s">
        <v>91</v>
      </c>
      <c r="O31" s="72" t="s">
        <v>91</v>
      </c>
      <c r="P31" s="72" t="s">
        <v>94</v>
      </c>
      <c r="Q31" s="72" t="s">
        <v>94</v>
      </c>
      <c r="R31" s="72" t="s">
        <v>6</v>
      </c>
      <c r="S31" s="72" t="s">
        <v>6</v>
      </c>
      <c r="T31" s="72" t="s">
        <v>93</v>
      </c>
      <c r="U31" s="72" t="s">
        <v>93</v>
      </c>
      <c r="V31" s="72" t="s">
        <v>92</v>
      </c>
      <c r="W31" s="72" t="s">
        <v>92</v>
      </c>
      <c r="X31" s="72" t="s">
        <v>91</v>
      </c>
      <c r="Y31" s="72" t="s">
        <v>91</v>
      </c>
      <c r="Z31" s="72" t="s">
        <v>94</v>
      </c>
      <c r="AA31" s="72" t="s">
        <v>94</v>
      </c>
      <c r="AB31" s="72" t="s">
        <v>6</v>
      </c>
      <c r="AC31" s="82" t="s">
        <v>6</v>
      </c>
      <c r="AD31" s="107" t="s">
        <v>93</v>
      </c>
      <c r="AE31" s="82" t="s">
        <v>93</v>
      </c>
      <c r="AF31" s="73" t="s">
        <v>92</v>
      </c>
    </row>
    <row r="32" spans="1:33" ht="15.75" thickBot="1" x14ac:dyDescent="0.3">
      <c r="A32" s="127"/>
      <c r="B32" s="78" t="s">
        <v>744</v>
      </c>
      <c r="C32" s="79" t="s">
        <v>93</v>
      </c>
      <c r="D32" s="79" t="s">
        <v>92</v>
      </c>
      <c r="E32" s="79" t="s">
        <v>92</v>
      </c>
      <c r="F32" s="79" t="s">
        <v>91</v>
      </c>
      <c r="G32" s="79" t="s">
        <v>91</v>
      </c>
      <c r="H32" s="79" t="s">
        <v>94</v>
      </c>
      <c r="I32" s="79" t="s">
        <v>94</v>
      </c>
      <c r="J32" s="79" t="s">
        <v>6</v>
      </c>
      <c r="K32" s="79" t="s">
        <v>6</v>
      </c>
      <c r="L32" s="79" t="s">
        <v>93</v>
      </c>
      <c r="M32" s="79" t="s">
        <v>93</v>
      </c>
      <c r="N32" s="79" t="s">
        <v>92</v>
      </c>
      <c r="O32" s="79" t="s">
        <v>92</v>
      </c>
      <c r="P32" s="79" t="s">
        <v>91</v>
      </c>
      <c r="Q32" s="79" t="s">
        <v>91</v>
      </c>
      <c r="R32" s="79" t="s">
        <v>94</v>
      </c>
      <c r="S32" s="79" t="s">
        <v>94</v>
      </c>
      <c r="T32" s="79" t="s">
        <v>6</v>
      </c>
      <c r="U32" s="79" t="s">
        <v>6</v>
      </c>
      <c r="V32" s="79" t="s">
        <v>93</v>
      </c>
      <c r="W32" s="79" t="s">
        <v>93</v>
      </c>
      <c r="X32" s="79" t="s">
        <v>92</v>
      </c>
      <c r="Y32" s="79" t="s">
        <v>92</v>
      </c>
      <c r="Z32" s="79" t="s">
        <v>91</v>
      </c>
      <c r="AA32" s="79" t="s">
        <v>91</v>
      </c>
      <c r="AB32" s="79" t="s">
        <v>94</v>
      </c>
      <c r="AC32" s="79" t="s">
        <v>94</v>
      </c>
      <c r="AD32" s="79" t="s">
        <v>6</v>
      </c>
      <c r="AE32" s="79" t="s">
        <v>6</v>
      </c>
      <c r="AF32" s="80" t="s">
        <v>93</v>
      </c>
    </row>
    <row r="33" spans="1:33" ht="15.75" thickBot="1" x14ac:dyDescent="0.3"/>
    <row r="34" spans="1:33" ht="15.75" thickBot="1" x14ac:dyDescent="0.3">
      <c r="A34" s="111" t="s">
        <v>749</v>
      </c>
      <c r="B34" s="65" t="s">
        <v>728</v>
      </c>
      <c r="C34" s="66">
        <v>45778</v>
      </c>
      <c r="D34" s="66">
        <v>45779</v>
      </c>
      <c r="E34" s="66">
        <v>45780</v>
      </c>
      <c r="F34" s="66">
        <v>45781</v>
      </c>
      <c r="G34" s="66">
        <v>45782</v>
      </c>
      <c r="H34" s="66">
        <v>45783</v>
      </c>
      <c r="I34" s="66">
        <v>45784</v>
      </c>
      <c r="J34" s="66">
        <v>45785</v>
      </c>
      <c r="K34" s="66">
        <v>45786</v>
      </c>
      <c r="L34" s="66">
        <v>45787</v>
      </c>
      <c r="M34" s="66">
        <v>45788</v>
      </c>
      <c r="N34" s="66">
        <v>45789</v>
      </c>
      <c r="O34" s="66">
        <v>45790</v>
      </c>
      <c r="P34" s="66">
        <v>45791</v>
      </c>
      <c r="Q34" s="66">
        <v>45792</v>
      </c>
      <c r="R34" s="66">
        <v>45793</v>
      </c>
      <c r="S34" s="66">
        <v>45794</v>
      </c>
      <c r="T34" s="66">
        <v>45795</v>
      </c>
      <c r="U34" s="66">
        <v>45796</v>
      </c>
      <c r="V34" s="66">
        <v>45797</v>
      </c>
      <c r="W34" s="66">
        <v>45798</v>
      </c>
      <c r="X34" s="66">
        <v>45799</v>
      </c>
      <c r="Y34" s="66">
        <v>45800</v>
      </c>
      <c r="Z34" s="66">
        <v>45801</v>
      </c>
      <c r="AA34" s="66">
        <v>45802</v>
      </c>
      <c r="AB34" s="66">
        <v>45803</v>
      </c>
      <c r="AC34" s="66">
        <v>45804</v>
      </c>
      <c r="AD34" s="66">
        <v>45805</v>
      </c>
      <c r="AE34" s="66">
        <v>45806</v>
      </c>
      <c r="AF34" s="66">
        <v>45807</v>
      </c>
      <c r="AG34" s="66">
        <v>45808</v>
      </c>
    </row>
    <row r="35" spans="1:33" ht="15.75" thickBot="1" x14ac:dyDescent="0.3">
      <c r="A35" s="112"/>
      <c r="B35" s="85" t="s">
        <v>730</v>
      </c>
      <c r="C35" s="86" t="s">
        <v>734</v>
      </c>
      <c r="D35" s="86" t="s">
        <v>735</v>
      </c>
      <c r="E35" s="86" t="s">
        <v>736</v>
      </c>
      <c r="F35" s="86" t="s">
        <v>737</v>
      </c>
      <c r="G35" s="86" t="s">
        <v>731</v>
      </c>
      <c r="H35" s="86" t="s">
        <v>732</v>
      </c>
      <c r="I35" s="86" t="s">
        <v>733</v>
      </c>
      <c r="J35" s="86" t="s">
        <v>734</v>
      </c>
      <c r="K35" s="86" t="s">
        <v>735</v>
      </c>
      <c r="L35" s="86" t="s">
        <v>736</v>
      </c>
      <c r="M35" s="86" t="s">
        <v>737</v>
      </c>
      <c r="N35" s="86" t="s">
        <v>731</v>
      </c>
      <c r="O35" s="86" t="s">
        <v>732</v>
      </c>
      <c r="P35" s="86" t="s">
        <v>733</v>
      </c>
      <c r="Q35" s="86" t="s">
        <v>734</v>
      </c>
      <c r="R35" s="86" t="s">
        <v>735</v>
      </c>
      <c r="S35" s="86" t="s">
        <v>736</v>
      </c>
      <c r="T35" s="86" t="s">
        <v>737</v>
      </c>
      <c r="U35" s="86" t="s">
        <v>731</v>
      </c>
      <c r="V35" s="86" t="s">
        <v>732</v>
      </c>
      <c r="W35" s="86" t="s">
        <v>733</v>
      </c>
      <c r="X35" s="86" t="s">
        <v>734</v>
      </c>
      <c r="Y35" s="86" t="s">
        <v>735</v>
      </c>
      <c r="Z35" s="86" t="s">
        <v>736</v>
      </c>
      <c r="AA35" s="86" t="s">
        <v>737</v>
      </c>
      <c r="AB35" s="86" t="s">
        <v>731</v>
      </c>
      <c r="AC35" s="86" t="s">
        <v>732</v>
      </c>
      <c r="AD35" s="86" t="s">
        <v>733</v>
      </c>
      <c r="AE35" s="86" t="s">
        <v>734</v>
      </c>
      <c r="AF35" s="87" t="s">
        <v>735</v>
      </c>
      <c r="AG35" s="87" t="s">
        <v>736</v>
      </c>
    </row>
    <row r="36" spans="1:33" x14ac:dyDescent="0.25">
      <c r="A36" s="112"/>
      <c r="B36" s="71" t="s">
        <v>739</v>
      </c>
      <c r="C36" s="72" t="s">
        <v>6</v>
      </c>
      <c r="D36" s="72" t="s">
        <v>93</v>
      </c>
      <c r="E36" s="72" t="s">
        <v>93</v>
      </c>
      <c r="F36" s="72" t="s">
        <v>92</v>
      </c>
      <c r="G36" s="72" t="s">
        <v>92</v>
      </c>
      <c r="H36" s="72" t="s">
        <v>91</v>
      </c>
      <c r="I36" s="72" t="s">
        <v>91</v>
      </c>
      <c r="J36" s="72" t="s">
        <v>94</v>
      </c>
      <c r="K36" s="72" t="s">
        <v>94</v>
      </c>
      <c r="L36" s="72" t="s">
        <v>6</v>
      </c>
      <c r="M36" s="72" t="s">
        <v>6</v>
      </c>
      <c r="N36" s="72" t="s">
        <v>93</v>
      </c>
      <c r="O36" s="72" t="s">
        <v>93</v>
      </c>
      <c r="P36" s="72" t="s">
        <v>92</v>
      </c>
      <c r="Q36" s="72" t="s">
        <v>92</v>
      </c>
      <c r="R36" s="72" t="s">
        <v>91</v>
      </c>
      <c r="S36" s="72" t="s">
        <v>91</v>
      </c>
      <c r="T36" s="72" t="s">
        <v>94</v>
      </c>
      <c r="U36" s="72" t="s">
        <v>94</v>
      </c>
      <c r="V36" s="72" t="s">
        <v>6</v>
      </c>
      <c r="W36" s="72" t="s">
        <v>6</v>
      </c>
      <c r="X36" s="72" t="s">
        <v>93</v>
      </c>
      <c r="Y36" s="72" t="s">
        <v>93</v>
      </c>
      <c r="Z36" s="72" t="s">
        <v>92</v>
      </c>
      <c r="AA36" s="72" t="s">
        <v>92</v>
      </c>
      <c r="AB36" s="72" t="s">
        <v>91</v>
      </c>
      <c r="AC36" s="72" t="s">
        <v>91</v>
      </c>
      <c r="AD36" s="72" t="s">
        <v>94</v>
      </c>
      <c r="AE36" s="72" t="s">
        <v>94</v>
      </c>
      <c r="AF36" s="72" t="s">
        <v>6</v>
      </c>
      <c r="AG36" s="73" t="s">
        <v>6</v>
      </c>
    </row>
    <row r="37" spans="1:33" x14ac:dyDescent="0.25">
      <c r="A37" s="112"/>
      <c r="B37" s="75" t="s">
        <v>741</v>
      </c>
      <c r="C37" s="76" t="s">
        <v>94</v>
      </c>
      <c r="D37" s="76" t="s">
        <v>6</v>
      </c>
      <c r="E37" s="76" t="s">
        <v>6</v>
      </c>
      <c r="F37" s="76" t="s">
        <v>93</v>
      </c>
      <c r="G37" s="76" t="s">
        <v>93</v>
      </c>
      <c r="H37" s="76" t="s">
        <v>92</v>
      </c>
      <c r="I37" s="76" t="s">
        <v>92</v>
      </c>
      <c r="J37" s="76" t="s">
        <v>91</v>
      </c>
      <c r="K37" s="76" t="s">
        <v>91</v>
      </c>
      <c r="L37" s="76" t="s">
        <v>94</v>
      </c>
      <c r="M37" s="76" t="s">
        <v>94</v>
      </c>
      <c r="N37" s="76" t="s">
        <v>6</v>
      </c>
      <c r="O37" s="76" t="s">
        <v>6</v>
      </c>
      <c r="P37" s="76" t="s">
        <v>93</v>
      </c>
      <c r="Q37" s="76" t="s">
        <v>93</v>
      </c>
      <c r="R37" s="76" t="s">
        <v>92</v>
      </c>
      <c r="S37" s="76" t="s">
        <v>92</v>
      </c>
      <c r="T37" s="76" t="s">
        <v>91</v>
      </c>
      <c r="U37" s="76" t="s">
        <v>91</v>
      </c>
      <c r="V37" s="76" t="s">
        <v>94</v>
      </c>
      <c r="W37" s="76" t="s">
        <v>94</v>
      </c>
      <c r="X37" s="76" t="s">
        <v>6</v>
      </c>
      <c r="Y37" s="76" t="s">
        <v>6</v>
      </c>
      <c r="Z37" s="76" t="s">
        <v>93</v>
      </c>
      <c r="AA37" s="76" t="s">
        <v>93</v>
      </c>
      <c r="AB37" s="76" t="s">
        <v>92</v>
      </c>
      <c r="AC37" s="76" t="s">
        <v>92</v>
      </c>
      <c r="AD37" s="76" t="s">
        <v>91</v>
      </c>
      <c r="AE37" s="76" t="s">
        <v>91</v>
      </c>
      <c r="AF37" s="76" t="s">
        <v>94</v>
      </c>
      <c r="AG37" s="77" t="s">
        <v>94</v>
      </c>
    </row>
    <row r="38" spans="1:33" ht="15.75" thickBot="1" x14ac:dyDescent="0.3">
      <c r="A38" s="112"/>
      <c r="B38" s="78" t="s">
        <v>742</v>
      </c>
      <c r="C38" s="79" t="s">
        <v>91</v>
      </c>
      <c r="D38" s="79" t="s">
        <v>94</v>
      </c>
      <c r="E38" s="79" t="s">
        <v>94</v>
      </c>
      <c r="F38" s="79" t="s">
        <v>6</v>
      </c>
      <c r="G38" s="79" t="s">
        <v>6</v>
      </c>
      <c r="H38" s="79" t="s">
        <v>93</v>
      </c>
      <c r="I38" s="79" t="s">
        <v>93</v>
      </c>
      <c r="J38" s="79" t="s">
        <v>92</v>
      </c>
      <c r="K38" s="79" t="s">
        <v>92</v>
      </c>
      <c r="L38" s="79" t="s">
        <v>91</v>
      </c>
      <c r="M38" s="79" t="s">
        <v>91</v>
      </c>
      <c r="N38" s="79" t="s">
        <v>94</v>
      </c>
      <c r="O38" s="79" t="s">
        <v>94</v>
      </c>
      <c r="P38" s="79" t="s">
        <v>6</v>
      </c>
      <c r="Q38" s="79" t="s">
        <v>6</v>
      </c>
      <c r="R38" s="79" t="s">
        <v>93</v>
      </c>
      <c r="S38" s="79" t="s">
        <v>93</v>
      </c>
      <c r="T38" s="79" t="s">
        <v>92</v>
      </c>
      <c r="U38" s="79" t="s">
        <v>92</v>
      </c>
      <c r="V38" s="79" t="s">
        <v>91</v>
      </c>
      <c r="W38" s="79" t="s">
        <v>91</v>
      </c>
      <c r="X38" s="79" t="s">
        <v>94</v>
      </c>
      <c r="Y38" s="79" t="s">
        <v>94</v>
      </c>
      <c r="Z38" s="79" t="s">
        <v>6</v>
      </c>
      <c r="AA38" s="79" t="s">
        <v>6</v>
      </c>
      <c r="AB38" s="79" t="s">
        <v>93</v>
      </c>
      <c r="AC38" s="79" t="s">
        <v>93</v>
      </c>
      <c r="AD38" s="79" t="s">
        <v>92</v>
      </c>
      <c r="AE38" s="79" t="s">
        <v>92</v>
      </c>
      <c r="AF38" s="79" t="s">
        <v>91</v>
      </c>
      <c r="AG38" s="80" t="s">
        <v>91</v>
      </c>
    </row>
    <row r="39" spans="1:33" x14ac:dyDescent="0.25">
      <c r="A39" s="112"/>
      <c r="B39" s="71" t="s">
        <v>744</v>
      </c>
      <c r="C39" s="72" t="s">
        <v>92</v>
      </c>
      <c r="D39" s="72" t="s">
        <v>91</v>
      </c>
      <c r="E39" s="72" t="s">
        <v>91</v>
      </c>
      <c r="F39" s="72" t="s">
        <v>94</v>
      </c>
      <c r="G39" s="72" t="s">
        <v>94</v>
      </c>
      <c r="H39" s="72" t="s">
        <v>6</v>
      </c>
      <c r="I39" s="72" t="s">
        <v>6</v>
      </c>
      <c r="J39" s="72" t="s">
        <v>93</v>
      </c>
      <c r="K39" s="72" t="s">
        <v>93</v>
      </c>
      <c r="L39" s="72" t="s">
        <v>92</v>
      </c>
      <c r="M39" s="72" t="s">
        <v>92</v>
      </c>
      <c r="N39" s="72" t="s">
        <v>91</v>
      </c>
      <c r="O39" s="72" t="s">
        <v>91</v>
      </c>
      <c r="P39" s="72" t="s">
        <v>94</v>
      </c>
      <c r="Q39" s="72" t="s">
        <v>94</v>
      </c>
      <c r="R39" s="72" t="s">
        <v>6</v>
      </c>
      <c r="S39" s="72" t="s">
        <v>6</v>
      </c>
      <c r="T39" s="72" t="s">
        <v>93</v>
      </c>
      <c r="U39" s="72" t="s">
        <v>93</v>
      </c>
      <c r="V39" s="72" t="s">
        <v>92</v>
      </c>
      <c r="W39" s="72" t="s">
        <v>92</v>
      </c>
      <c r="X39" s="72" t="s">
        <v>91</v>
      </c>
      <c r="Y39" s="72" t="s">
        <v>91</v>
      </c>
      <c r="Z39" s="72" t="s">
        <v>94</v>
      </c>
      <c r="AA39" s="72" t="s">
        <v>94</v>
      </c>
      <c r="AB39" s="72" t="s">
        <v>6</v>
      </c>
      <c r="AC39" s="72" t="s">
        <v>6</v>
      </c>
      <c r="AD39" s="72" t="s">
        <v>93</v>
      </c>
      <c r="AE39" s="72" t="s">
        <v>93</v>
      </c>
      <c r="AF39" s="72" t="s">
        <v>92</v>
      </c>
      <c r="AG39" s="73" t="s">
        <v>92</v>
      </c>
    </row>
    <row r="40" spans="1:33" ht="15.75" thickBot="1" x14ac:dyDescent="0.3">
      <c r="A40" s="113"/>
      <c r="B40" s="78" t="s">
        <v>744</v>
      </c>
      <c r="C40" s="79" t="s">
        <v>93</v>
      </c>
      <c r="D40" s="79" t="s">
        <v>92</v>
      </c>
      <c r="E40" s="79" t="s">
        <v>92</v>
      </c>
      <c r="F40" s="79" t="s">
        <v>91</v>
      </c>
      <c r="G40" s="79" t="s">
        <v>91</v>
      </c>
      <c r="H40" s="79" t="s">
        <v>94</v>
      </c>
      <c r="I40" s="79" t="s">
        <v>94</v>
      </c>
      <c r="J40" s="79" t="s">
        <v>6</v>
      </c>
      <c r="K40" s="79" t="s">
        <v>6</v>
      </c>
      <c r="L40" s="79" t="s">
        <v>93</v>
      </c>
      <c r="M40" s="79" t="s">
        <v>93</v>
      </c>
      <c r="N40" s="79" t="s">
        <v>92</v>
      </c>
      <c r="O40" s="79" t="s">
        <v>92</v>
      </c>
      <c r="P40" s="79" t="s">
        <v>91</v>
      </c>
      <c r="Q40" s="79" t="s">
        <v>91</v>
      </c>
      <c r="R40" s="79" t="s">
        <v>94</v>
      </c>
      <c r="S40" s="79" t="s">
        <v>94</v>
      </c>
      <c r="T40" s="79" t="s">
        <v>6</v>
      </c>
      <c r="U40" s="79" t="s">
        <v>6</v>
      </c>
      <c r="V40" s="79" t="s">
        <v>93</v>
      </c>
      <c r="W40" s="79" t="s">
        <v>93</v>
      </c>
      <c r="X40" s="79" t="s">
        <v>92</v>
      </c>
      <c r="Y40" s="79" t="s">
        <v>92</v>
      </c>
      <c r="Z40" s="79" t="s">
        <v>91</v>
      </c>
      <c r="AA40" s="79" t="s">
        <v>91</v>
      </c>
      <c r="AB40" s="79" t="s">
        <v>94</v>
      </c>
      <c r="AC40" s="79" t="s">
        <v>94</v>
      </c>
      <c r="AD40" s="79" t="s">
        <v>6</v>
      </c>
      <c r="AE40" s="79" t="s">
        <v>6</v>
      </c>
      <c r="AF40" s="79" t="s">
        <v>93</v>
      </c>
      <c r="AG40" s="80" t="s">
        <v>93</v>
      </c>
    </row>
    <row r="41" spans="1:33" ht="15.75" thickBot="1" x14ac:dyDescent="0.3"/>
    <row r="42" spans="1:33" ht="15.75" thickBot="1" x14ac:dyDescent="0.3">
      <c r="A42" s="111" t="s">
        <v>750</v>
      </c>
      <c r="B42" s="65" t="s">
        <v>728</v>
      </c>
      <c r="C42" s="66">
        <v>45809</v>
      </c>
      <c r="D42" s="66">
        <v>45810</v>
      </c>
      <c r="E42" s="66">
        <v>45811</v>
      </c>
      <c r="F42" s="66">
        <v>45812</v>
      </c>
      <c r="G42" s="66">
        <v>45813</v>
      </c>
      <c r="H42" s="66">
        <v>45814</v>
      </c>
      <c r="I42" s="66">
        <v>45815</v>
      </c>
      <c r="J42" s="66">
        <v>45816</v>
      </c>
      <c r="K42" s="66">
        <v>45817</v>
      </c>
      <c r="L42" s="66">
        <v>45818</v>
      </c>
      <c r="M42" s="66">
        <v>45819</v>
      </c>
      <c r="N42" s="66">
        <v>45820</v>
      </c>
      <c r="O42" s="66">
        <v>45821</v>
      </c>
      <c r="P42" s="66">
        <v>45822</v>
      </c>
      <c r="Q42" s="66">
        <v>45823</v>
      </c>
      <c r="R42" s="66">
        <v>45824</v>
      </c>
      <c r="S42" s="66">
        <v>45825</v>
      </c>
      <c r="T42" s="66">
        <v>45826</v>
      </c>
      <c r="U42" s="66">
        <v>45827</v>
      </c>
      <c r="V42" s="66">
        <v>45828</v>
      </c>
      <c r="W42" s="66">
        <v>45829</v>
      </c>
      <c r="X42" s="66">
        <v>45830</v>
      </c>
      <c r="Y42" s="66">
        <v>45831</v>
      </c>
      <c r="Z42" s="66">
        <v>45832</v>
      </c>
      <c r="AA42" s="66">
        <v>45833</v>
      </c>
      <c r="AB42" s="66">
        <v>45834</v>
      </c>
      <c r="AC42" s="66">
        <v>45835</v>
      </c>
      <c r="AD42" s="66">
        <v>45836</v>
      </c>
      <c r="AE42" s="66">
        <v>45837</v>
      </c>
      <c r="AF42" s="66">
        <v>45838</v>
      </c>
    </row>
    <row r="43" spans="1:33" ht="15.75" thickBot="1" x14ac:dyDescent="0.3">
      <c r="A43" s="112"/>
      <c r="B43" s="85" t="s">
        <v>730</v>
      </c>
      <c r="C43" s="86" t="s">
        <v>737</v>
      </c>
      <c r="D43" s="86" t="s">
        <v>731</v>
      </c>
      <c r="E43" s="86" t="s">
        <v>732</v>
      </c>
      <c r="F43" s="86" t="s">
        <v>733</v>
      </c>
      <c r="G43" s="86" t="s">
        <v>734</v>
      </c>
      <c r="H43" s="86" t="s">
        <v>735</v>
      </c>
      <c r="I43" s="86" t="s">
        <v>736</v>
      </c>
      <c r="J43" s="86" t="s">
        <v>737</v>
      </c>
      <c r="K43" s="86" t="s">
        <v>731</v>
      </c>
      <c r="L43" s="86" t="s">
        <v>732</v>
      </c>
      <c r="M43" s="86" t="s">
        <v>733</v>
      </c>
      <c r="N43" s="86" t="s">
        <v>734</v>
      </c>
      <c r="O43" s="86" t="s">
        <v>735</v>
      </c>
      <c r="P43" s="86" t="s">
        <v>736</v>
      </c>
      <c r="Q43" s="86" t="s">
        <v>737</v>
      </c>
      <c r="R43" s="86" t="s">
        <v>731</v>
      </c>
      <c r="S43" s="86" t="s">
        <v>732</v>
      </c>
      <c r="T43" s="86" t="s">
        <v>733</v>
      </c>
      <c r="U43" s="86" t="s">
        <v>734</v>
      </c>
      <c r="V43" s="86" t="s">
        <v>735</v>
      </c>
      <c r="W43" s="86" t="s">
        <v>736</v>
      </c>
      <c r="X43" s="86" t="s">
        <v>737</v>
      </c>
      <c r="Y43" s="86" t="s">
        <v>731</v>
      </c>
      <c r="Z43" s="86" t="s">
        <v>732</v>
      </c>
      <c r="AA43" s="86" t="s">
        <v>733</v>
      </c>
      <c r="AB43" s="86" t="s">
        <v>734</v>
      </c>
      <c r="AC43" s="87" t="s">
        <v>735</v>
      </c>
      <c r="AD43" s="87" t="s">
        <v>736</v>
      </c>
      <c r="AE43" s="86" t="s">
        <v>737</v>
      </c>
      <c r="AF43" s="86" t="s">
        <v>731</v>
      </c>
    </row>
    <row r="44" spans="1:33" x14ac:dyDescent="0.25">
      <c r="A44" s="112"/>
      <c r="B44" s="88" t="s">
        <v>739</v>
      </c>
      <c r="C44" s="72" t="s">
        <v>93</v>
      </c>
      <c r="D44" s="72" t="s">
        <v>93</v>
      </c>
      <c r="E44" s="72" t="s">
        <v>92</v>
      </c>
      <c r="F44" s="72" t="s">
        <v>92</v>
      </c>
      <c r="G44" s="72" t="s">
        <v>91</v>
      </c>
      <c r="H44" s="72" t="s">
        <v>91</v>
      </c>
      <c r="I44" s="72" t="s">
        <v>94</v>
      </c>
      <c r="J44" s="72" t="s">
        <v>94</v>
      </c>
      <c r="K44" s="72" t="s">
        <v>6</v>
      </c>
      <c r="L44" s="72" t="s">
        <v>6</v>
      </c>
      <c r="M44" s="72" t="s">
        <v>93</v>
      </c>
      <c r="N44" s="72" t="s">
        <v>93</v>
      </c>
      <c r="O44" s="72" t="s">
        <v>92</v>
      </c>
      <c r="P44" s="72" t="s">
        <v>92</v>
      </c>
      <c r="Q44" s="72" t="s">
        <v>91</v>
      </c>
      <c r="R44" s="72" t="s">
        <v>91</v>
      </c>
      <c r="S44" s="72" t="s">
        <v>94</v>
      </c>
      <c r="T44" s="72" t="s">
        <v>94</v>
      </c>
      <c r="U44" s="72" t="s">
        <v>6</v>
      </c>
      <c r="V44" s="72" t="s">
        <v>6</v>
      </c>
      <c r="W44" s="72" t="s">
        <v>93</v>
      </c>
      <c r="X44" s="72" t="s">
        <v>93</v>
      </c>
      <c r="Y44" s="72" t="s">
        <v>92</v>
      </c>
      <c r="Z44" s="72" t="s">
        <v>92</v>
      </c>
      <c r="AA44" s="72" t="s">
        <v>91</v>
      </c>
      <c r="AB44" s="72" t="s">
        <v>91</v>
      </c>
      <c r="AC44" s="72" t="s">
        <v>94</v>
      </c>
      <c r="AD44" s="72" t="s">
        <v>94</v>
      </c>
      <c r="AE44" s="72" t="s">
        <v>6</v>
      </c>
      <c r="AF44" s="73" t="s">
        <v>6</v>
      </c>
    </row>
    <row r="45" spans="1:33" x14ac:dyDescent="0.25">
      <c r="A45" s="112"/>
      <c r="B45" s="89" t="s">
        <v>741</v>
      </c>
      <c r="C45" s="76" t="s">
        <v>6</v>
      </c>
      <c r="D45" s="76" t="s">
        <v>6</v>
      </c>
      <c r="E45" s="76" t="s">
        <v>93</v>
      </c>
      <c r="F45" s="76" t="s">
        <v>93</v>
      </c>
      <c r="G45" s="76" t="s">
        <v>92</v>
      </c>
      <c r="H45" s="76" t="s">
        <v>92</v>
      </c>
      <c r="I45" s="76" t="s">
        <v>91</v>
      </c>
      <c r="J45" s="76" t="s">
        <v>91</v>
      </c>
      <c r="K45" s="76" t="s">
        <v>94</v>
      </c>
      <c r="L45" s="76" t="s">
        <v>94</v>
      </c>
      <c r="M45" s="76" t="s">
        <v>6</v>
      </c>
      <c r="N45" s="76" t="s">
        <v>6</v>
      </c>
      <c r="O45" s="76" t="s">
        <v>93</v>
      </c>
      <c r="P45" s="76" t="s">
        <v>93</v>
      </c>
      <c r="Q45" s="76" t="s">
        <v>92</v>
      </c>
      <c r="R45" s="76" t="s">
        <v>92</v>
      </c>
      <c r="S45" s="76" t="s">
        <v>91</v>
      </c>
      <c r="T45" s="76" t="s">
        <v>91</v>
      </c>
      <c r="U45" s="76" t="s">
        <v>94</v>
      </c>
      <c r="V45" s="76" t="s">
        <v>94</v>
      </c>
      <c r="W45" s="76" t="s">
        <v>6</v>
      </c>
      <c r="X45" s="76" t="s">
        <v>6</v>
      </c>
      <c r="Y45" s="76" t="s">
        <v>93</v>
      </c>
      <c r="Z45" s="76" t="s">
        <v>93</v>
      </c>
      <c r="AA45" s="76" t="s">
        <v>92</v>
      </c>
      <c r="AB45" s="76" t="s">
        <v>92</v>
      </c>
      <c r="AC45" s="76" t="s">
        <v>91</v>
      </c>
      <c r="AD45" s="76" t="s">
        <v>91</v>
      </c>
      <c r="AE45" s="76" t="s">
        <v>94</v>
      </c>
      <c r="AF45" s="77" t="s">
        <v>94</v>
      </c>
    </row>
    <row r="46" spans="1:33" ht="15.75" thickBot="1" x14ac:dyDescent="0.3">
      <c r="A46" s="112"/>
      <c r="B46" s="90" t="s">
        <v>742</v>
      </c>
      <c r="C46" s="93" t="s">
        <v>94</v>
      </c>
      <c r="D46" s="93" t="s">
        <v>94</v>
      </c>
      <c r="E46" s="93" t="s">
        <v>6</v>
      </c>
      <c r="F46" s="93" t="s">
        <v>6</v>
      </c>
      <c r="G46" s="93" t="s">
        <v>93</v>
      </c>
      <c r="H46" s="93" t="s">
        <v>93</v>
      </c>
      <c r="I46" s="93" t="s">
        <v>92</v>
      </c>
      <c r="J46" s="93" t="s">
        <v>92</v>
      </c>
      <c r="K46" s="93" t="s">
        <v>91</v>
      </c>
      <c r="L46" s="93" t="s">
        <v>91</v>
      </c>
      <c r="M46" s="93" t="s">
        <v>94</v>
      </c>
      <c r="N46" s="93" t="s">
        <v>94</v>
      </c>
      <c r="O46" s="93" t="s">
        <v>6</v>
      </c>
      <c r="P46" s="93" t="s">
        <v>6</v>
      </c>
      <c r="Q46" s="93" t="s">
        <v>93</v>
      </c>
      <c r="R46" s="93" t="s">
        <v>93</v>
      </c>
      <c r="S46" s="93" t="s">
        <v>92</v>
      </c>
      <c r="T46" s="93" t="s">
        <v>92</v>
      </c>
      <c r="U46" s="93" t="s">
        <v>91</v>
      </c>
      <c r="V46" s="93" t="s">
        <v>91</v>
      </c>
      <c r="W46" s="93" t="s">
        <v>94</v>
      </c>
      <c r="X46" s="93" t="s">
        <v>94</v>
      </c>
      <c r="Y46" s="93" t="s">
        <v>6</v>
      </c>
      <c r="Z46" s="93" t="s">
        <v>6</v>
      </c>
      <c r="AA46" s="93" t="s">
        <v>93</v>
      </c>
      <c r="AB46" s="93" t="s">
        <v>93</v>
      </c>
      <c r="AC46" s="93" t="s">
        <v>92</v>
      </c>
      <c r="AD46" s="93" t="s">
        <v>92</v>
      </c>
      <c r="AE46" s="93" t="s">
        <v>91</v>
      </c>
      <c r="AF46" s="94" t="s">
        <v>91</v>
      </c>
    </row>
    <row r="47" spans="1:33" x14ac:dyDescent="0.25">
      <c r="A47" s="112"/>
      <c r="B47" s="91" t="s">
        <v>744</v>
      </c>
      <c r="C47" s="72" t="s">
        <v>91</v>
      </c>
      <c r="D47" s="72" t="s">
        <v>91</v>
      </c>
      <c r="E47" s="72" t="s">
        <v>94</v>
      </c>
      <c r="F47" s="72" t="s">
        <v>94</v>
      </c>
      <c r="G47" s="72" t="s">
        <v>6</v>
      </c>
      <c r="H47" s="72" t="s">
        <v>6</v>
      </c>
      <c r="I47" s="72" t="s">
        <v>93</v>
      </c>
      <c r="J47" s="72" t="s">
        <v>93</v>
      </c>
      <c r="K47" s="72" t="s">
        <v>92</v>
      </c>
      <c r="L47" s="72" t="s">
        <v>92</v>
      </c>
      <c r="M47" s="72" t="s">
        <v>91</v>
      </c>
      <c r="N47" s="72" t="s">
        <v>91</v>
      </c>
      <c r="O47" s="72" t="s">
        <v>94</v>
      </c>
      <c r="P47" s="72" t="s">
        <v>94</v>
      </c>
      <c r="Q47" s="72" t="s">
        <v>6</v>
      </c>
      <c r="R47" s="72" t="s">
        <v>6</v>
      </c>
      <c r="S47" s="72" t="s">
        <v>93</v>
      </c>
      <c r="T47" s="72" t="s">
        <v>93</v>
      </c>
      <c r="U47" s="72" t="s">
        <v>92</v>
      </c>
      <c r="V47" s="72" t="s">
        <v>92</v>
      </c>
      <c r="W47" s="72" t="s">
        <v>91</v>
      </c>
      <c r="X47" s="72" t="s">
        <v>91</v>
      </c>
      <c r="Y47" s="72" t="s">
        <v>94</v>
      </c>
      <c r="Z47" s="72" t="s">
        <v>94</v>
      </c>
      <c r="AA47" s="72" t="s">
        <v>6</v>
      </c>
      <c r="AB47" s="72" t="s">
        <v>6</v>
      </c>
      <c r="AC47" s="72" t="s">
        <v>93</v>
      </c>
      <c r="AD47" s="72" t="s">
        <v>93</v>
      </c>
      <c r="AE47" s="72" t="s">
        <v>92</v>
      </c>
      <c r="AF47" s="73" t="s">
        <v>92</v>
      </c>
    </row>
    <row r="48" spans="1:33" ht="15.75" thickBot="1" x14ac:dyDescent="0.3">
      <c r="A48" s="113"/>
      <c r="B48" s="90" t="s">
        <v>744</v>
      </c>
      <c r="C48" s="79" t="s">
        <v>92</v>
      </c>
      <c r="D48" s="79" t="s">
        <v>92</v>
      </c>
      <c r="E48" s="79" t="s">
        <v>91</v>
      </c>
      <c r="F48" s="79" t="s">
        <v>91</v>
      </c>
      <c r="G48" s="79" t="s">
        <v>94</v>
      </c>
      <c r="H48" s="79" t="s">
        <v>94</v>
      </c>
      <c r="I48" s="79" t="s">
        <v>6</v>
      </c>
      <c r="J48" s="79" t="s">
        <v>6</v>
      </c>
      <c r="K48" s="79" t="s">
        <v>93</v>
      </c>
      <c r="L48" s="79" t="s">
        <v>93</v>
      </c>
      <c r="M48" s="79" t="s">
        <v>92</v>
      </c>
      <c r="N48" s="79" t="s">
        <v>92</v>
      </c>
      <c r="O48" s="79" t="s">
        <v>91</v>
      </c>
      <c r="P48" s="79" t="s">
        <v>91</v>
      </c>
      <c r="Q48" s="79" t="s">
        <v>94</v>
      </c>
      <c r="R48" s="79" t="s">
        <v>94</v>
      </c>
      <c r="S48" s="79" t="s">
        <v>6</v>
      </c>
      <c r="T48" s="79" t="s">
        <v>6</v>
      </c>
      <c r="U48" s="79" t="s">
        <v>93</v>
      </c>
      <c r="V48" s="79" t="s">
        <v>93</v>
      </c>
      <c r="W48" s="79" t="s">
        <v>92</v>
      </c>
      <c r="X48" s="79" t="s">
        <v>92</v>
      </c>
      <c r="Y48" s="79" t="s">
        <v>91</v>
      </c>
      <c r="Z48" s="79" t="s">
        <v>91</v>
      </c>
      <c r="AA48" s="79" t="s">
        <v>94</v>
      </c>
      <c r="AB48" s="79" t="s">
        <v>94</v>
      </c>
      <c r="AC48" s="79" t="s">
        <v>6</v>
      </c>
      <c r="AD48" s="79" t="s">
        <v>6</v>
      </c>
      <c r="AE48" s="79" t="s">
        <v>93</v>
      </c>
      <c r="AF48" s="79" t="s">
        <v>93</v>
      </c>
    </row>
    <row r="49" spans="1:33" ht="15.75" thickBot="1" x14ac:dyDescent="0.3"/>
    <row r="50" spans="1:33" ht="15.75" thickBot="1" x14ac:dyDescent="0.3">
      <c r="A50" s="111" t="s">
        <v>751</v>
      </c>
      <c r="B50" s="65" t="s">
        <v>728</v>
      </c>
      <c r="C50" s="66">
        <v>45839</v>
      </c>
      <c r="D50" s="66">
        <v>45840</v>
      </c>
      <c r="E50" s="66">
        <v>45841</v>
      </c>
      <c r="F50" s="66">
        <v>45842</v>
      </c>
      <c r="G50" s="66">
        <v>45843</v>
      </c>
      <c r="H50" s="66">
        <v>45844</v>
      </c>
      <c r="I50" s="66">
        <v>45845</v>
      </c>
      <c r="J50" s="66">
        <v>45846</v>
      </c>
      <c r="K50" s="66">
        <v>45847</v>
      </c>
      <c r="L50" s="66">
        <v>45848</v>
      </c>
      <c r="M50" s="66">
        <v>45849</v>
      </c>
      <c r="N50" s="66">
        <v>45850</v>
      </c>
      <c r="O50" s="66">
        <v>45851</v>
      </c>
      <c r="P50" s="66">
        <v>45852</v>
      </c>
      <c r="Q50" s="66">
        <v>45853</v>
      </c>
      <c r="R50" s="66">
        <v>45854</v>
      </c>
      <c r="S50" s="66">
        <v>45855</v>
      </c>
      <c r="T50" s="66">
        <v>45856</v>
      </c>
      <c r="U50" s="66">
        <v>45857</v>
      </c>
      <c r="V50" s="66">
        <v>45858</v>
      </c>
      <c r="W50" s="66">
        <v>45859</v>
      </c>
      <c r="X50" s="66">
        <v>45860</v>
      </c>
      <c r="Y50" s="66">
        <v>45861</v>
      </c>
      <c r="Z50" s="66">
        <v>45862</v>
      </c>
      <c r="AA50" s="66">
        <v>45863</v>
      </c>
      <c r="AB50" s="66">
        <v>45864</v>
      </c>
      <c r="AC50" s="66">
        <v>45865</v>
      </c>
      <c r="AD50" s="66">
        <v>45866</v>
      </c>
      <c r="AE50" s="66">
        <v>45867</v>
      </c>
      <c r="AF50" s="66">
        <v>45868</v>
      </c>
      <c r="AG50" s="66">
        <v>45869</v>
      </c>
    </row>
    <row r="51" spans="1:33" ht="15.75" thickBot="1" x14ac:dyDescent="0.3">
      <c r="A51" s="112"/>
      <c r="B51" s="85" t="s">
        <v>730</v>
      </c>
      <c r="C51" s="86" t="s">
        <v>732</v>
      </c>
      <c r="D51" s="86" t="s">
        <v>733</v>
      </c>
      <c r="E51" s="86" t="s">
        <v>734</v>
      </c>
      <c r="F51" s="86" t="s">
        <v>735</v>
      </c>
      <c r="G51" s="86" t="s">
        <v>736</v>
      </c>
      <c r="H51" s="86" t="s">
        <v>737</v>
      </c>
      <c r="I51" s="86" t="s">
        <v>731</v>
      </c>
      <c r="J51" s="86" t="s">
        <v>732</v>
      </c>
      <c r="K51" s="86" t="s">
        <v>733</v>
      </c>
      <c r="L51" s="86" t="s">
        <v>734</v>
      </c>
      <c r="M51" s="86" t="s">
        <v>735</v>
      </c>
      <c r="N51" s="86" t="s">
        <v>736</v>
      </c>
      <c r="O51" s="86" t="s">
        <v>737</v>
      </c>
      <c r="P51" s="86" t="s">
        <v>731</v>
      </c>
      <c r="Q51" s="86" t="s">
        <v>732</v>
      </c>
      <c r="R51" s="86" t="s">
        <v>733</v>
      </c>
      <c r="S51" s="86" t="s">
        <v>734</v>
      </c>
      <c r="T51" s="86" t="s">
        <v>735</v>
      </c>
      <c r="U51" s="86" t="s">
        <v>736</v>
      </c>
      <c r="V51" s="86" t="s">
        <v>737</v>
      </c>
      <c r="W51" s="86" t="s">
        <v>731</v>
      </c>
      <c r="X51" s="86" t="s">
        <v>732</v>
      </c>
      <c r="Y51" s="86" t="s">
        <v>733</v>
      </c>
      <c r="Z51" s="86" t="s">
        <v>734</v>
      </c>
      <c r="AA51" s="86" t="s">
        <v>735</v>
      </c>
      <c r="AB51" s="86" t="s">
        <v>736</v>
      </c>
      <c r="AC51" s="86" t="s">
        <v>737</v>
      </c>
      <c r="AD51" s="86" t="s">
        <v>731</v>
      </c>
      <c r="AE51" s="86" t="s">
        <v>732</v>
      </c>
      <c r="AF51" s="86" t="s">
        <v>733</v>
      </c>
      <c r="AG51" s="86" t="s">
        <v>734</v>
      </c>
    </row>
    <row r="52" spans="1:33" x14ac:dyDescent="0.25">
      <c r="A52" s="112"/>
      <c r="B52" s="71" t="s">
        <v>739</v>
      </c>
      <c r="C52" s="72" t="s">
        <v>93</v>
      </c>
      <c r="D52" s="72" t="s">
        <v>93</v>
      </c>
      <c r="E52" s="72" t="s">
        <v>92</v>
      </c>
      <c r="F52" s="72" t="s">
        <v>92</v>
      </c>
      <c r="G52" s="72" t="s">
        <v>91</v>
      </c>
      <c r="H52" s="72" t="s">
        <v>91</v>
      </c>
      <c r="I52" s="72" t="s">
        <v>94</v>
      </c>
      <c r="J52" s="72" t="s">
        <v>94</v>
      </c>
      <c r="K52" s="72" t="s">
        <v>6</v>
      </c>
      <c r="L52" s="72" t="s">
        <v>6</v>
      </c>
      <c r="M52" s="72" t="s">
        <v>93</v>
      </c>
      <c r="N52" s="72" t="s">
        <v>93</v>
      </c>
      <c r="O52" s="72" t="s">
        <v>92</v>
      </c>
      <c r="P52" s="72" t="s">
        <v>92</v>
      </c>
      <c r="Q52" s="72" t="s">
        <v>91</v>
      </c>
      <c r="R52" s="72" t="s">
        <v>91</v>
      </c>
      <c r="S52" s="72" t="s">
        <v>94</v>
      </c>
      <c r="T52" s="72" t="s">
        <v>94</v>
      </c>
      <c r="U52" s="72" t="s">
        <v>6</v>
      </c>
      <c r="V52" s="72" t="s">
        <v>6</v>
      </c>
      <c r="W52" s="72" t="s">
        <v>93</v>
      </c>
      <c r="X52" s="72" t="s">
        <v>93</v>
      </c>
      <c r="Y52" s="72" t="s">
        <v>92</v>
      </c>
      <c r="Z52" s="72" t="s">
        <v>92</v>
      </c>
      <c r="AA52" s="72" t="s">
        <v>91</v>
      </c>
      <c r="AB52" s="72" t="s">
        <v>91</v>
      </c>
      <c r="AC52" s="72" t="s">
        <v>94</v>
      </c>
      <c r="AD52" s="72" t="s">
        <v>94</v>
      </c>
      <c r="AE52" s="72" t="s">
        <v>6</v>
      </c>
      <c r="AF52" s="72" t="s">
        <v>6</v>
      </c>
      <c r="AG52" s="73" t="s">
        <v>93</v>
      </c>
    </row>
    <row r="53" spans="1:33" x14ac:dyDescent="0.25">
      <c r="A53" s="112"/>
      <c r="B53" s="75" t="s">
        <v>741</v>
      </c>
      <c r="C53" s="76" t="s">
        <v>6</v>
      </c>
      <c r="D53" s="76" t="s">
        <v>6</v>
      </c>
      <c r="E53" s="76" t="s">
        <v>93</v>
      </c>
      <c r="F53" s="76" t="s">
        <v>93</v>
      </c>
      <c r="G53" s="76" t="s">
        <v>92</v>
      </c>
      <c r="H53" s="76" t="s">
        <v>92</v>
      </c>
      <c r="I53" s="76" t="s">
        <v>91</v>
      </c>
      <c r="J53" s="76" t="s">
        <v>91</v>
      </c>
      <c r="K53" s="76" t="s">
        <v>94</v>
      </c>
      <c r="L53" s="76" t="s">
        <v>94</v>
      </c>
      <c r="M53" s="76" t="s">
        <v>6</v>
      </c>
      <c r="N53" s="76" t="s">
        <v>6</v>
      </c>
      <c r="O53" s="76" t="s">
        <v>93</v>
      </c>
      <c r="P53" s="76" t="s">
        <v>93</v>
      </c>
      <c r="Q53" s="76" t="s">
        <v>92</v>
      </c>
      <c r="R53" s="76" t="s">
        <v>92</v>
      </c>
      <c r="S53" s="76" t="s">
        <v>91</v>
      </c>
      <c r="T53" s="76" t="s">
        <v>91</v>
      </c>
      <c r="U53" s="76" t="s">
        <v>94</v>
      </c>
      <c r="V53" s="76" t="s">
        <v>94</v>
      </c>
      <c r="W53" s="76" t="s">
        <v>6</v>
      </c>
      <c r="X53" s="76" t="s">
        <v>6</v>
      </c>
      <c r="Y53" s="76" t="s">
        <v>93</v>
      </c>
      <c r="Z53" s="76" t="s">
        <v>93</v>
      </c>
      <c r="AA53" s="76" t="s">
        <v>92</v>
      </c>
      <c r="AB53" s="76" t="s">
        <v>92</v>
      </c>
      <c r="AC53" s="76" t="s">
        <v>91</v>
      </c>
      <c r="AD53" s="76" t="s">
        <v>91</v>
      </c>
      <c r="AE53" s="76" t="s">
        <v>94</v>
      </c>
      <c r="AF53" s="76" t="s">
        <v>94</v>
      </c>
      <c r="AG53" s="77" t="s">
        <v>6</v>
      </c>
    </row>
    <row r="54" spans="1:33" ht="15.75" thickBot="1" x14ac:dyDescent="0.3">
      <c r="A54" s="112"/>
      <c r="B54" s="92" t="s">
        <v>742</v>
      </c>
      <c r="C54" s="93" t="s">
        <v>94</v>
      </c>
      <c r="D54" s="93" t="s">
        <v>94</v>
      </c>
      <c r="E54" s="93" t="s">
        <v>6</v>
      </c>
      <c r="F54" s="93" t="s">
        <v>6</v>
      </c>
      <c r="G54" s="93" t="s">
        <v>93</v>
      </c>
      <c r="H54" s="93" t="s">
        <v>93</v>
      </c>
      <c r="I54" s="93" t="s">
        <v>92</v>
      </c>
      <c r="J54" s="93" t="s">
        <v>92</v>
      </c>
      <c r="K54" s="93" t="s">
        <v>91</v>
      </c>
      <c r="L54" s="93" t="s">
        <v>91</v>
      </c>
      <c r="M54" s="93" t="s">
        <v>94</v>
      </c>
      <c r="N54" s="93" t="s">
        <v>94</v>
      </c>
      <c r="O54" s="93" t="s">
        <v>6</v>
      </c>
      <c r="P54" s="93" t="s">
        <v>6</v>
      </c>
      <c r="Q54" s="93" t="s">
        <v>93</v>
      </c>
      <c r="R54" s="93" t="s">
        <v>93</v>
      </c>
      <c r="S54" s="93" t="s">
        <v>92</v>
      </c>
      <c r="T54" s="93" t="s">
        <v>92</v>
      </c>
      <c r="U54" s="93" t="s">
        <v>91</v>
      </c>
      <c r="V54" s="93" t="s">
        <v>91</v>
      </c>
      <c r="W54" s="93" t="s">
        <v>94</v>
      </c>
      <c r="X54" s="93" t="s">
        <v>94</v>
      </c>
      <c r="Y54" s="93" t="s">
        <v>6</v>
      </c>
      <c r="Z54" s="93" t="s">
        <v>6</v>
      </c>
      <c r="AA54" s="93" t="s">
        <v>93</v>
      </c>
      <c r="AB54" s="93" t="s">
        <v>93</v>
      </c>
      <c r="AC54" s="93" t="s">
        <v>92</v>
      </c>
      <c r="AD54" s="93" t="s">
        <v>92</v>
      </c>
      <c r="AE54" s="93" t="s">
        <v>91</v>
      </c>
      <c r="AF54" s="93" t="s">
        <v>91</v>
      </c>
      <c r="AG54" s="94" t="s">
        <v>94</v>
      </c>
    </row>
    <row r="55" spans="1:33" x14ac:dyDescent="0.25">
      <c r="A55" s="112"/>
      <c r="B55" s="71" t="s">
        <v>744</v>
      </c>
      <c r="C55" s="72" t="s">
        <v>91</v>
      </c>
      <c r="D55" s="72" t="s">
        <v>91</v>
      </c>
      <c r="E55" s="72" t="s">
        <v>94</v>
      </c>
      <c r="F55" s="72" t="s">
        <v>94</v>
      </c>
      <c r="G55" s="72" t="s">
        <v>6</v>
      </c>
      <c r="H55" s="72" t="s">
        <v>6</v>
      </c>
      <c r="I55" s="72" t="s">
        <v>93</v>
      </c>
      <c r="J55" s="72" t="s">
        <v>93</v>
      </c>
      <c r="K55" s="72" t="s">
        <v>92</v>
      </c>
      <c r="L55" s="72" t="s">
        <v>92</v>
      </c>
      <c r="M55" s="72" t="s">
        <v>91</v>
      </c>
      <c r="N55" s="72" t="s">
        <v>91</v>
      </c>
      <c r="O55" s="72" t="s">
        <v>94</v>
      </c>
      <c r="P55" s="72" t="s">
        <v>94</v>
      </c>
      <c r="Q55" s="72" t="s">
        <v>6</v>
      </c>
      <c r="R55" s="72" t="s">
        <v>6</v>
      </c>
      <c r="S55" s="72" t="s">
        <v>93</v>
      </c>
      <c r="T55" s="72" t="s">
        <v>93</v>
      </c>
      <c r="U55" s="72" t="s">
        <v>92</v>
      </c>
      <c r="V55" s="72" t="s">
        <v>92</v>
      </c>
      <c r="W55" s="72" t="s">
        <v>91</v>
      </c>
      <c r="X55" s="72" t="s">
        <v>91</v>
      </c>
      <c r="Y55" s="72" t="s">
        <v>94</v>
      </c>
      <c r="Z55" s="72" t="s">
        <v>94</v>
      </c>
      <c r="AA55" s="72" t="s">
        <v>6</v>
      </c>
      <c r="AB55" s="72" t="s">
        <v>6</v>
      </c>
      <c r="AC55" s="72" t="s">
        <v>93</v>
      </c>
      <c r="AD55" s="72" t="s">
        <v>93</v>
      </c>
      <c r="AE55" s="72" t="s">
        <v>92</v>
      </c>
      <c r="AF55" s="72" t="s">
        <v>92</v>
      </c>
      <c r="AG55" s="73" t="s">
        <v>91</v>
      </c>
    </row>
    <row r="56" spans="1:33" ht="15.75" thickBot="1" x14ac:dyDescent="0.3">
      <c r="A56" s="113"/>
      <c r="B56" s="78" t="s">
        <v>744</v>
      </c>
      <c r="C56" s="79" t="s">
        <v>92</v>
      </c>
      <c r="D56" s="79" t="s">
        <v>92</v>
      </c>
      <c r="E56" s="79" t="s">
        <v>91</v>
      </c>
      <c r="F56" s="79" t="s">
        <v>91</v>
      </c>
      <c r="G56" s="79" t="s">
        <v>94</v>
      </c>
      <c r="H56" s="79" t="s">
        <v>94</v>
      </c>
      <c r="I56" s="79" t="s">
        <v>6</v>
      </c>
      <c r="J56" s="79" t="s">
        <v>6</v>
      </c>
      <c r="K56" s="79" t="s">
        <v>93</v>
      </c>
      <c r="L56" s="79" t="s">
        <v>93</v>
      </c>
      <c r="M56" s="79" t="s">
        <v>92</v>
      </c>
      <c r="N56" s="79" t="s">
        <v>92</v>
      </c>
      <c r="O56" s="79" t="s">
        <v>91</v>
      </c>
      <c r="P56" s="79" t="s">
        <v>91</v>
      </c>
      <c r="Q56" s="79" t="s">
        <v>94</v>
      </c>
      <c r="R56" s="79" t="s">
        <v>94</v>
      </c>
      <c r="S56" s="79" t="s">
        <v>6</v>
      </c>
      <c r="T56" s="79" t="s">
        <v>6</v>
      </c>
      <c r="U56" s="79" t="s">
        <v>93</v>
      </c>
      <c r="V56" s="79" t="s">
        <v>93</v>
      </c>
      <c r="W56" s="79" t="s">
        <v>92</v>
      </c>
      <c r="X56" s="79" t="s">
        <v>92</v>
      </c>
      <c r="Y56" s="79" t="s">
        <v>91</v>
      </c>
      <c r="Z56" s="79" t="s">
        <v>91</v>
      </c>
      <c r="AA56" s="79" t="s">
        <v>94</v>
      </c>
      <c r="AB56" s="79" t="s">
        <v>94</v>
      </c>
      <c r="AC56" s="79" t="s">
        <v>6</v>
      </c>
      <c r="AD56" s="79" t="s">
        <v>6</v>
      </c>
      <c r="AE56" s="79" t="s">
        <v>93</v>
      </c>
      <c r="AF56" s="79" t="s">
        <v>93</v>
      </c>
      <c r="AG56" s="80" t="s">
        <v>92</v>
      </c>
    </row>
    <row r="57" spans="1:33" ht="15.75" thickBot="1" x14ac:dyDescent="0.3"/>
    <row r="58" spans="1:33" ht="15.75" thickBot="1" x14ac:dyDescent="0.3">
      <c r="A58" s="111" t="s">
        <v>752</v>
      </c>
      <c r="B58" s="65" t="s">
        <v>728</v>
      </c>
      <c r="C58" s="66">
        <v>45870</v>
      </c>
      <c r="D58" s="66">
        <v>45871</v>
      </c>
      <c r="E58" s="66">
        <v>45872</v>
      </c>
      <c r="F58" s="66">
        <v>45873</v>
      </c>
      <c r="G58" s="66">
        <v>45874</v>
      </c>
      <c r="H58" s="66">
        <v>45875</v>
      </c>
      <c r="I58" s="66">
        <v>45876</v>
      </c>
      <c r="J58" s="66">
        <v>45877</v>
      </c>
      <c r="K58" s="66">
        <v>45878</v>
      </c>
      <c r="L58" s="66">
        <v>45879</v>
      </c>
      <c r="M58" s="66">
        <v>45880</v>
      </c>
      <c r="N58" s="66">
        <v>45881</v>
      </c>
      <c r="O58" s="66">
        <v>45882</v>
      </c>
      <c r="P58" s="66">
        <v>45883</v>
      </c>
      <c r="Q58" s="66">
        <v>45884</v>
      </c>
      <c r="R58" s="66">
        <v>45885</v>
      </c>
      <c r="S58" s="66">
        <v>45886</v>
      </c>
      <c r="T58" s="66">
        <v>45887</v>
      </c>
      <c r="U58" s="66">
        <v>45888</v>
      </c>
      <c r="V58" s="66">
        <v>45889</v>
      </c>
      <c r="W58" s="66">
        <v>45890</v>
      </c>
      <c r="X58" s="66">
        <v>45891</v>
      </c>
      <c r="Y58" s="66">
        <v>45892</v>
      </c>
      <c r="Z58" s="66">
        <v>45893</v>
      </c>
      <c r="AA58" s="66">
        <v>45894</v>
      </c>
      <c r="AB58" s="66">
        <v>45895</v>
      </c>
      <c r="AC58" s="66">
        <v>45896</v>
      </c>
      <c r="AD58" s="66">
        <v>45897</v>
      </c>
      <c r="AE58" s="66">
        <v>45898</v>
      </c>
      <c r="AF58" s="66">
        <v>45899</v>
      </c>
      <c r="AG58" s="66">
        <v>45900</v>
      </c>
    </row>
    <row r="59" spans="1:33" ht="15.75" thickBot="1" x14ac:dyDescent="0.3">
      <c r="A59" s="112"/>
      <c r="B59" s="85" t="s">
        <v>730</v>
      </c>
      <c r="C59" s="86" t="s">
        <v>735</v>
      </c>
      <c r="D59" s="86" t="s">
        <v>753</v>
      </c>
      <c r="E59" s="86" t="s">
        <v>737</v>
      </c>
      <c r="F59" s="86" t="s">
        <v>731</v>
      </c>
      <c r="G59" s="86" t="s">
        <v>732</v>
      </c>
      <c r="H59" s="86" t="s">
        <v>733</v>
      </c>
      <c r="I59" s="86" t="s">
        <v>734</v>
      </c>
      <c r="J59" s="86" t="s">
        <v>735</v>
      </c>
      <c r="K59" s="86" t="s">
        <v>736</v>
      </c>
      <c r="L59" s="86" t="s">
        <v>737</v>
      </c>
      <c r="M59" s="86" t="s">
        <v>731</v>
      </c>
      <c r="N59" s="86" t="s">
        <v>732</v>
      </c>
      <c r="O59" s="86" t="s">
        <v>733</v>
      </c>
      <c r="P59" s="86" t="s">
        <v>734</v>
      </c>
      <c r="Q59" s="86" t="s">
        <v>735</v>
      </c>
      <c r="R59" s="86" t="s">
        <v>736</v>
      </c>
      <c r="S59" s="86" t="s">
        <v>737</v>
      </c>
      <c r="T59" s="86" t="s">
        <v>731</v>
      </c>
      <c r="U59" s="86" t="s">
        <v>732</v>
      </c>
      <c r="V59" s="86" t="s">
        <v>733</v>
      </c>
      <c r="W59" s="86" t="s">
        <v>734</v>
      </c>
      <c r="X59" s="86" t="s">
        <v>735</v>
      </c>
      <c r="Y59" s="86" t="s">
        <v>736</v>
      </c>
      <c r="Z59" s="86" t="s">
        <v>737</v>
      </c>
      <c r="AA59" s="86" t="s">
        <v>731</v>
      </c>
      <c r="AB59" s="86" t="s">
        <v>732</v>
      </c>
      <c r="AC59" s="86" t="s">
        <v>733</v>
      </c>
      <c r="AD59" s="86" t="s">
        <v>734</v>
      </c>
      <c r="AE59" s="86" t="s">
        <v>735</v>
      </c>
      <c r="AF59" s="86" t="s">
        <v>736</v>
      </c>
      <c r="AG59" s="86" t="s">
        <v>737</v>
      </c>
    </row>
    <row r="60" spans="1:33" x14ac:dyDescent="0.25">
      <c r="A60" s="112"/>
      <c r="B60" s="71" t="s">
        <v>739</v>
      </c>
      <c r="C60" s="72" t="s">
        <v>93</v>
      </c>
      <c r="D60" s="72" t="s">
        <v>92</v>
      </c>
      <c r="E60" s="72" t="s">
        <v>92</v>
      </c>
      <c r="F60" s="72" t="s">
        <v>91</v>
      </c>
      <c r="G60" s="72" t="s">
        <v>91</v>
      </c>
      <c r="H60" s="72" t="s">
        <v>94</v>
      </c>
      <c r="I60" s="72" t="s">
        <v>94</v>
      </c>
      <c r="J60" s="72" t="s">
        <v>6</v>
      </c>
      <c r="K60" s="72" t="s">
        <v>6</v>
      </c>
      <c r="L60" s="72" t="s">
        <v>93</v>
      </c>
      <c r="M60" s="72" t="s">
        <v>93</v>
      </c>
      <c r="N60" s="72" t="s">
        <v>92</v>
      </c>
      <c r="O60" s="72" t="s">
        <v>92</v>
      </c>
      <c r="P60" s="72" t="s">
        <v>91</v>
      </c>
      <c r="Q60" s="72" t="s">
        <v>91</v>
      </c>
      <c r="R60" s="72" t="s">
        <v>94</v>
      </c>
      <c r="S60" s="72" t="s">
        <v>94</v>
      </c>
      <c r="T60" s="72" t="s">
        <v>6</v>
      </c>
      <c r="U60" s="72" t="s">
        <v>6</v>
      </c>
      <c r="V60" s="72" t="s">
        <v>93</v>
      </c>
      <c r="W60" s="72" t="s">
        <v>93</v>
      </c>
      <c r="X60" s="72" t="s">
        <v>92</v>
      </c>
      <c r="Y60" s="72" t="s">
        <v>92</v>
      </c>
      <c r="Z60" s="72" t="s">
        <v>91</v>
      </c>
      <c r="AA60" s="72" t="s">
        <v>91</v>
      </c>
      <c r="AB60" s="72" t="s">
        <v>94</v>
      </c>
      <c r="AC60" s="72" t="s">
        <v>94</v>
      </c>
      <c r="AD60" s="72" t="s">
        <v>6</v>
      </c>
      <c r="AE60" s="72" t="s">
        <v>6</v>
      </c>
      <c r="AF60" s="72" t="s">
        <v>93</v>
      </c>
      <c r="AG60" s="73" t="s">
        <v>93</v>
      </c>
    </row>
    <row r="61" spans="1:33" x14ac:dyDescent="0.25">
      <c r="A61" s="112"/>
      <c r="B61" s="75" t="s">
        <v>741</v>
      </c>
      <c r="C61" s="76" t="s">
        <v>6</v>
      </c>
      <c r="D61" s="76" t="s">
        <v>93</v>
      </c>
      <c r="E61" s="76" t="s">
        <v>93</v>
      </c>
      <c r="F61" s="76" t="s">
        <v>92</v>
      </c>
      <c r="G61" s="76" t="s">
        <v>92</v>
      </c>
      <c r="H61" s="76" t="s">
        <v>91</v>
      </c>
      <c r="I61" s="76" t="s">
        <v>91</v>
      </c>
      <c r="J61" s="76" t="s">
        <v>94</v>
      </c>
      <c r="K61" s="76" t="s">
        <v>94</v>
      </c>
      <c r="L61" s="76" t="s">
        <v>6</v>
      </c>
      <c r="M61" s="76" t="s">
        <v>6</v>
      </c>
      <c r="N61" s="76" t="s">
        <v>93</v>
      </c>
      <c r="O61" s="76" t="s">
        <v>93</v>
      </c>
      <c r="P61" s="76" t="s">
        <v>92</v>
      </c>
      <c r="Q61" s="76" t="s">
        <v>92</v>
      </c>
      <c r="R61" s="76" t="s">
        <v>91</v>
      </c>
      <c r="S61" s="76" t="s">
        <v>91</v>
      </c>
      <c r="T61" s="76" t="s">
        <v>94</v>
      </c>
      <c r="U61" s="76" t="s">
        <v>94</v>
      </c>
      <c r="V61" s="76" t="s">
        <v>6</v>
      </c>
      <c r="W61" s="76" t="s">
        <v>6</v>
      </c>
      <c r="X61" s="76" t="s">
        <v>93</v>
      </c>
      <c r="Y61" s="76" t="s">
        <v>93</v>
      </c>
      <c r="Z61" s="76" t="s">
        <v>92</v>
      </c>
      <c r="AA61" s="76" t="s">
        <v>92</v>
      </c>
      <c r="AB61" s="76" t="s">
        <v>91</v>
      </c>
      <c r="AC61" s="76" t="s">
        <v>91</v>
      </c>
      <c r="AD61" s="76" t="s">
        <v>94</v>
      </c>
      <c r="AE61" s="76" t="s">
        <v>94</v>
      </c>
      <c r="AF61" s="76" t="s">
        <v>6</v>
      </c>
      <c r="AG61" s="77" t="s">
        <v>6</v>
      </c>
    </row>
    <row r="62" spans="1:33" ht="15.75" thickBot="1" x14ac:dyDescent="0.3">
      <c r="A62" s="112"/>
      <c r="B62" s="78" t="s">
        <v>742</v>
      </c>
      <c r="C62" s="79" t="s">
        <v>94</v>
      </c>
      <c r="D62" s="79" t="s">
        <v>6</v>
      </c>
      <c r="E62" s="79" t="s">
        <v>6</v>
      </c>
      <c r="F62" s="79" t="s">
        <v>93</v>
      </c>
      <c r="G62" s="79" t="s">
        <v>93</v>
      </c>
      <c r="H62" s="79" t="s">
        <v>92</v>
      </c>
      <c r="I62" s="79" t="s">
        <v>92</v>
      </c>
      <c r="J62" s="79" t="s">
        <v>91</v>
      </c>
      <c r="K62" s="79" t="s">
        <v>91</v>
      </c>
      <c r="L62" s="79" t="s">
        <v>94</v>
      </c>
      <c r="M62" s="79" t="s">
        <v>94</v>
      </c>
      <c r="N62" s="79" t="s">
        <v>6</v>
      </c>
      <c r="O62" s="79" t="s">
        <v>6</v>
      </c>
      <c r="P62" s="79" t="s">
        <v>93</v>
      </c>
      <c r="Q62" s="79" t="s">
        <v>93</v>
      </c>
      <c r="R62" s="79" t="s">
        <v>92</v>
      </c>
      <c r="S62" s="79" t="s">
        <v>92</v>
      </c>
      <c r="T62" s="79" t="s">
        <v>91</v>
      </c>
      <c r="U62" s="79" t="s">
        <v>91</v>
      </c>
      <c r="V62" s="79" t="s">
        <v>94</v>
      </c>
      <c r="W62" s="79" t="s">
        <v>94</v>
      </c>
      <c r="X62" s="79" t="s">
        <v>6</v>
      </c>
      <c r="Y62" s="79" t="s">
        <v>6</v>
      </c>
      <c r="Z62" s="79" t="s">
        <v>93</v>
      </c>
      <c r="AA62" s="79" t="s">
        <v>93</v>
      </c>
      <c r="AB62" s="79" t="s">
        <v>92</v>
      </c>
      <c r="AC62" s="79" t="s">
        <v>92</v>
      </c>
      <c r="AD62" s="79" t="s">
        <v>91</v>
      </c>
      <c r="AE62" s="79" t="s">
        <v>91</v>
      </c>
      <c r="AF62" s="79" t="s">
        <v>94</v>
      </c>
      <c r="AG62" s="80" t="s">
        <v>94</v>
      </c>
    </row>
    <row r="63" spans="1:33" x14ac:dyDescent="0.25">
      <c r="A63" s="112"/>
      <c r="B63" s="71" t="s">
        <v>744</v>
      </c>
      <c r="C63" s="72" t="s">
        <v>91</v>
      </c>
      <c r="D63" s="72" t="s">
        <v>94</v>
      </c>
      <c r="E63" s="72" t="s">
        <v>94</v>
      </c>
      <c r="F63" s="72" t="s">
        <v>6</v>
      </c>
      <c r="G63" s="72" t="s">
        <v>6</v>
      </c>
      <c r="H63" s="72" t="s">
        <v>93</v>
      </c>
      <c r="I63" s="72" t="s">
        <v>93</v>
      </c>
      <c r="J63" s="72" t="s">
        <v>92</v>
      </c>
      <c r="K63" s="72" t="s">
        <v>92</v>
      </c>
      <c r="L63" s="72" t="s">
        <v>91</v>
      </c>
      <c r="M63" s="72" t="s">
        <v>91</v>
      </c>
      <c r="N63" s="72" t="s">
        <v>94</v>
      </c>
      <c r="O63" s="72" t="s">
        <v>94</v>
      </c>
      <c r="P63" s="72" t="s">
        <v>6</v>
      </c>
      <c r="Q63" s="72" t="s">
        <v>6</v>
      </c>
      <c r="R63" s="72" t="s">
        <v>93</v>
      </c>
      <c r="S63" s="72" t="s">
        <v>93</v>
      </c>
      <c r="T63" s="72" t="s">
        <v>92</v>
      </c>
      <c r="U63" s="72" t="s">
        <v>92</v>
      </c>
      <c r="V63" s="72" t="s">
        <v>91</v>
      </c>
      <c r="W63" s="72" t="s">
        <v>91</v>
      </c>
      <c r="X63" s="72" t="s">
        <v>94</v>
      </c>
      <c r="Y63" s="72" t="s">
        <v>94</v>
      </c>
      <c r="Z63" s="72" t="s">
        <v>6</v>
      </c>
      <c r="AA63" s="72" t="s">
        <v>6</v>
      </c>
      <c r="AB63" s="72" t="s">
        <v>93</v>
      </c>
      <c r="AC63" s="72" t="s">
        <v>93</v>
      </c>
      <c r="AD63" s="72" t="s">
        <v>92</v>
      </c>
      <c r="AE63" s="72" t="s">
        <v>92</v>
      </c>
      <c r="AF63" s="72" t="s">
        <v>91</v>
      </c>
      <c r="AG63" s="73" t="s">
        <v>91</v>
      </c>
    </row>
    <row r="64" spans="1:33" ht="15.75" thickBot="1" x14ac:dyDescent="0.3">
      <c r="A64" s="113"/>
      <c r="B64" s="78" t="s">
        <v>744</v>
      </c>
      <c r="C64" s="79" t="s">
        <v>92</v>
      </c>
      <c r="D64" s="79" t="s">
        <v>91</v>
      </c>
      <c r="E64" s="79" t="s">
        <v>91</v>
      </c>
      <c r="F64" s="79" t="s">
        <v>94</v>
      </c>
      <c r="G64" s="79" t="s">
        <v>94</v>
      </c>
      <c r="H64" s="79" t="s">
        <v>6</v>
      </c>
      <c r="I64" s="79" t="s">
        <v>6</v>
      </c>
      <c r="J64" s="79" t="s">
        <v>93</v>
      </c>
      <c r="K64" s="79" t="s">
        <v>93</v>
      </c>
      <c r="L64" s="79" t="s">
        <v>92</v>
      </c>
      <c r="M64" s="79" t="s">
        <v>92</v>
      </c>
      <c r="N64" s="79" t="s">
        <v>91</v>
      </c>
      <c r="O64" s="79" t="s">
        <v>91</v>
      </c>
      <c r="P64" s="79" t="s">
        <v>94</v>
      </c>
      <c r="Q64" s="79" t="s">
        <v>94</v>
      </c>
      <c r="R64" s="79" t="s">
        <v>6</v>
      </c>
      <c r="S64" s="79" t="s">
        <v>6</v>
      </c>
      <c r="T64" s="79" t="s">
        <v>93</v>
      </c>
      <c r="U64" s="79" t="s">
        <v>93</v>
      </c>
      <c r="V64" s="79" t="s">
        <v>92</v>
      </c>
      <c r="W64" s="79" t="s">
        <v>92</v>
      </c>
      <c r="X64" s="79" t="s">
        <v>91</v>
      </c>
      <c r="Y64" s="79" t="s">
        <v>91</v>
      </c>
      <c r="Z64" s="79" t="s">
        <v>94</v>
      </c>
      <c r="AA64" s="79" t="s">
        <v>94</v>
      </c>
      <c r="AB64" s="79" t="s">
        <v>6</v>
      </c>
      <c r="AC64" s="79" t="s">
        <v>6</v>
      </c>
      <c r="AD64" s="79" t="s">
        <v>93</v>
      </c>
      <c r="AE64" s="79" t="s">
        <v>93</v>
      </c>
      <c r="AF64" s="79" t="s">
        <v>92</v>
      </c>
      <c r="AG64" s="80" t="s">
        <v>92</v>
      </c>
    </row>
    <row r="65" spans="1:33" ht="15.75" thickBot="1" x14ac:dyDescent="0.3"/>
    <row r="66" spans="1:33" ht="15.75" thickBot="1" x14ac:dyDescent="0.3">
      <c r="A66" s="111" t="s">
        <v>754</v>
      </c>
      <c r="B66" s="65" t="s">
        <v>728</v>
      </c>
      <c r="C66" s="66">
        <v>45901</v>
      </c>
      <c r="D66" s="66">
        <v>45902</v>
      </c>
      <c r="E66" s="66">
        <v>45903</v>
      </c>
      <c r="F66" s="66">
        <v>45904</v>
      </c>
      <c r="G66" s="66">
        <v>45905</v>
      </c>
      <c r="H66" s="66">
        <v>45906</v>
      </c>
      <c r="I66" s="66">
        <v>45907</v>
      </c>
      <c r="J66" s="66">
        <v>45908</v>
      </c>
      <c r="K66" s="66">
        <v>45909</v>
      </c>
      <c r="L66" s="66">
        <v>45910</v>
      </c>
      <c r="M66" s="66">
        <v>45911</v>
      </c>
      <c r="N66" s="66">
        <v>45912</v>
      </c>
      <c r="O66" s="66">
        <v>45913</v>
      </c>
      <c r="P66" s="66">
        <v>45914</v>
      </c>
      <c r="Q66" s="66">
        <v>45915</v>
      </c>
      <c r="R66" s="66">
        <v>45916</v>
      </c>
      <c r="S66" s="66">
        <v>45917</v>
      </c>
      <c r="T66" s="66">
        <v>45918</v>
      </c>
      <c r="U66" s="66">
        <v>45919</v>
      </c>
      <c r="V66" s="66">
        <v>45920</v>
      </c>
      <c r="W66" s="66">
        <v>45921</v>
      </c>
      <c r="X66" s="66">
        <v>45922</v>
      </c>
      <c r="Y66" s="66">
        <v>45923</v>
      </c>
      <c r="Z66" s="66">
        <v>45924</v>
      </c>
      <c r="AA66" s="66">
        <v>45925</v>
      </c>
      <c r="AB66" s="66">
        <v>45926</v>
      </c>
      <c r="AC66" s="66">
        <v>45927</v>
      </c>
      <c r="AD66" s="66">
        <v>45928</v>
      </c>
      <c r="AE66" s="66">
        <v>45929</v>
      </c>
      <c r="AF66" s="66">
        <v>45930</v>
      </c>
    </row>
    <row r="67" spans="1:33" ht="15.75" thickBot="1" x14ac:dyDescent="0.3">
      <c r="A67" s="112"/>
      <c r="B67" s="85" t="s">
        <v>730</v>
      </c>
      <c r="C67" s="86" t="s">
        <v>731</v>
      </c>
      <c r="D67" s="86" t="s">
        <v>732</v>
      </c>
      <c r="E67" s="86" t="s">
        <v>733</v>
      </c>
      <c r="F67" s="86" t="s">
        <v>734</v>
      </c>
      <c r="G67" s="86" t="s">
        <v>735</v>
      </c>
      <c r="H67" s="86" t="s">
        <v>736</v>
      </c>
      <c r="I67" s="86" t="s">
        <v>737</v>
      </c>
      <c r="J67" s="86" t="s">
        <v>731</v>
      </c>
      <c r="K67" s="86" t="s">
        <v>732</v>
      </c>
      <c r="L67" s="86" t="s">
        <v>733</v>
      </c>
      <c r="M67" s="86" t="s">
        <v>734</v>
      </c>
      <c r="N67" s="86" t="s">
        <v>735</v>
      </c>
      <c r="O67" s="86" t="s">
        <v>736</v>
      </c>
      <c r="P67" s="86" t="s">
        <v>737</v>
      </c>
      <c r="Q67" s="86" t="s">
        <v>731</v>
      </c>
      <c r="R67" s="86" t="s">
        <v>732</v>
      </c>
      <c r="S67" s="86" t="s">
        <v>733</v>
      </c>
      <c r="T67" s="86" t="s">
        <v>734</v>
      </c>
      <c r="U67" s="86" t="s">
        <v>735</v>
      </c>
      <c r="V67" s="86" t="s">
        <v>736</v>
      </c>
      <c r="W67" s="86" t="s">
        <v>737</v>
      </c>
      <c r="X67" s="86" t="s">
        <v>731</v>
      </c>
      <c r="Y67" s="86" t="s">
        <v>732</v>
      </c>
      <c r="Z67" s="86" t="s">
        <v>733</v>
      </c>
      <c r="AA67" s="86" t="s">
        <v>734</v>
      </c>
      <c r="AB67" s="86" t="s">
        <v>735</v>
      </c>
      <c r="AC67" s="86" t="s">
        <v>736</v>
      </c>
      <c r="AD67" s="86" t="s">
        <v>737</v>
      </c>
      <c r="AE67" s="86" t="s">
        <v>731</v>
      </c>
      <c r="AF67" s="86" t="s">
        <v>732</v>
      </c>
    </row>
    <row r="68" spans="1:33" x14ac:dyDescent="0.25">
      <c r="A68" s="112"/>
      <c r="B68" s="88" t="s">
        <v>739</v>
      </c>
      <c r="C68" s="72" t="s">
        <v>92</v>
      </c>
      <c r="D68" s="72" t="s">
        <v>92</v>
      </c>
      <c r="E68" s="72" t="s">
        <v>91</v>
      </c>
      <c r="F68" s="72" t="s">
        <v>91</v>
      </c>
      <c r="G68" s="72" t="s">
        <v>94</v>
      </c>
      <c r="H68" s="72" t="s">
        <v>94</v>
      </c>
      <c r="I68" s="72" t="s">
        <v>6</v>
      </c>
      <c r="J68" s="72" t="s">
        <v>6</v>
      </c>
      <c r="K68" s="72" t="s">
        <v>93</v>
      </c>
      <c r="L68" s="72" t="s">
        <v>93</v>
      </c>
      <c r="M68" s="72" t="s">
        <v>92</v>
      </c>
      <c r="N68" s="72" t="s">
        <v>92</v>
      </c>
      <c r="O68" s="72" t="s">
        <v>91</v>
      </c>
      <c r="P68" s="72" t="s">
        <v>91</v>
      </c>
      <c r="Q68" s="72" t="s">
        <v>94</v>
      </c>
      <c r="R68" s="72" t="s">
        <v>94</v>
      </c>
      <c r="S68" s="72" t="s">
        <v>6</v>
      </c>
      <c r="T68" s="72" t="s">
        <v>6</v>
      </c>
      <c r="U68" s="72" t="s">
        <v>93</v>
      </c>
      <c r="V68" s="72" t="s">
        <v>93</v>
      </c>
      <c r="W68" s="72" t="s">
        <v>92</v>
      </c>
      <c r="X68" s="72" t="s">
        <v>92</v>
      </c>
      <c r="Y68" s="72" t="s">
        <v>91</v>
      </c>
      <c r="Z68" s="72" t="s">
        <v>91</v>
      </c>
      <c r="AA68" s="72" t="s">
        <v>94</v>
      </c>
      <c r="AB68" s="72" t="s">
        <v>94</v>
      </c>
      <c r="AC68" s="72" t="s">
        <v>6</v>
      </c>
      <c r="AD68" s="72" t="s">
        <v>6</v>
      </c>
      <c r="AE68" s="72" t="s">
        <v>93</v>
      </c>
      <c r="AF68" s="73" t="s">
        <v>93</v>
      </c>
    </row>
    <row r="69" spans="1:33" x14ac:dyDescent="0.25">
      <c r="A69" s="112"/>
      <c r="B69" s="89" t="s">
        <v>741</v>
      </c>
      <c r="C69" s="76" t="s">
        <v>93</v>
      </c>
      <c r="D69" s="76" t="s">
        <v>93</v>
      </c>
      <c r="E69" s="76" t="s">
        <v>92</v>
      </c>
      <c r="F69" s="76" t="s">
        <v>92</v>
      </c>
      <c r="G69" s="76" t="s">
        <v>91</v>
      </c>
      <c r="H69" s="76" t="s">
        <v>91</v>
      </c>
      <c r="I69" s="76" t="s">
        <v>94</v>
      </c>
      <c r="J69" s="76" t="s">
        <v>94</v>
      </c>
      <c r="K69" s="76" t="s">
        <v>6</v>
      </c>
      <c r="L69" s="76" t="s">
        <v>6</v>
      </c>
      <c r="M69" s="76" t="s">
        <v>93</v>
      </c>
      <c r="N69" s="76" t="s">
        <v>93</v>
      </c>
      <c r="O69" s="76" t="s">
        <v>92</v>
      </c>
      <c r="P69" s="76" t="s">
        <v>92</v>
      </c>
      <c r="Q69" s="76" t="s">
        <v>91</v>
      </c>
      <c r="R69" s="76" t="s">
        <v>91</v>
      </c>
      <c r="S69" s="76" t="s">
        <v>94</v>
      </c>
      <c r="T69" s="76" t="s">
        <v>94</v>
      </c>
      <c r="U69" s="76" t="s">
        <v>6</v>
      </c>
      <c r="V69" s="76" t="s">
        <v>6</v>
      </c>
      <c r="W69" s="76" t="s">
        <v>93</v>
      </c>
      <c r="X69" s="76" t="s">
        <v>93</v>
      </c>
      <c r="Y69" s="76" t="s">
        <v>92</v>
      </c>
      <c r="Z69" s="76" t="s">
        <v>92</v>
      </c>
      <c r="AA69" s="76" t="s">
        <v>91</v>
      </c>
      <c r="AB69" s="76" t="s">
        <v>91</v>
      </c>
      <c r="AC69" s="76" t="s">
        <v>94</v>
      </c>
      <c r="AD69" s="76" t="s">
        <v>94</v>
      </c>
      <c r="AE69" s="76" t="s">
        <v>6</v>
      </c>
      <c r="AF69" s="77" t="s">
        <v>6</v>
      </c>
    </row>
    <row r="70" spans="1:33" ht="15.75" thickBot="1" x14ac:dyDescent="0.3">
      <c r="A70" s="112"/>
      <c r="B70" s="90" t="s">
        <v>742</v>
      </c>
      <c r="C70" s="93" t="s">
        <v>6</v>
      </c>
      <c r="D70" s="93" t="s">
        <v>6</v>
      </c>
      <c r="E70" s="93" t="s">
        <v>93</v>
      </c>
      <c r="F70" s="93" t="s">
        <v>93</v>
      </c>
      <c r="G70" s="93" t="s">
        <v>92</v>
      </c>
      <c r="H70" s="93" t="s">
        <v>92</v>
      </c>
      <c r="I70" s="93" t="s">
        <v>91</v>
      </c>
      <c r="J70" s="93" t="s">
        <v>91</v>
      </c>
      <c r="K70" s="93" t="s">
        <v>94</v>
      </c>
      <c r="L70" s="93" t="s">
        <v>94</v>
      </c>
      <c r="M70" s="93" t="s">
        <v>6</v>
      </c>
      <c r="N70" s="93" t="s">
        <v>6</v>
      </c>
      <c r="O70" s="93" t="s">
        <v>93</v>
      </c>
      <c r="P70" s="93" t="s">
        <v>93</v>
      </c>
      <c r="Q70" s="93" t="s">
        <v>92</v>
      </c>
      <c r="R70" s="93" t="s">
        <v>92</v>
      </c>
      <c r="S70" s="93" t="s">
        <v>91</v>
      </c>
      <c r="T70" s="93" t="s">
        <v>91</v>
      </c>
      <c r="U70" s="93" t="s">
        <v>94</v>
      </c>
      <c r="V70" s="93" t="s">
        <v>94</v>
      </c>
      <c r="W70" s="93" t="s">
        <v>6</v>
      </c>
      <c r="X70" s="93" t="s">
        <v>6</v>
      </c>
      <c r="Y70" s="93" t="s">
        <v>93</v>
      </c>
      <c r="Z70" s="93" t="s">
        <v>93</v>
      </c>
      <c r="AA70" s="93" t="s">
        <v>92</v>
      </c>
      <c r="AB70" s="93" t="s">
        <v>92</v>
      </c>
      <c r="AC70" s="93" t="s">
        <v>91</v>
      </c>
      <c r="AD70" s="93" t="s">
        <v>91</v>
      </c>
      <c r="AE70" s="93" t="s">
        <v>94</v>
      </c>
      <c r="AF70" s="94" t="s">
        <v>94</v>
      </c>
    </row>
    <row r="71" spans="1:33" x14ac:dyDescent="0.25">
      <c r="A71" s="112"/>
      <c r="B71" s="91" t="s">
        <v>744</v>
      </c>
      <c r="C71" s="72" t="s">
        <v>94</v>
      </c>
      <c r="D71" s="72" t="s">
        <v>94</v>
      </c>
      <c r="E71" s="72" t="s">
        <v>6</v>
      </c>
      <c r="F71" s="72" t="s">
        <v>6</v>
      </c>
      <c r="G71" s="72" t="s">
        <v>93</v>
      </c>
      <c r="H71" s="72" t="s">
        <v>93</v>
      </c>
      <c r="I71" s="72" t="s">
        <v>92</v>
      </c>
      <c r="J71" s="72" t="s">
        <v>92</v>
      </c>
      <c r="K71" s="72" t="s">
        <v>91</v>
      </c>
      <c r="L71" s="72" t="s">
        <v>91</v>
      </c>
      <c r="M71" s="72" t="s">
        <v>94</v>
      </c>
      <c r="N71" s="72" t="s">
        <v>94</v>
      </c>
      <c r="O71" s="72" t="s">
        <v>6</v>
      </c>
      <c r="P71" s="72" t="s">
        <v>6</v>
      </c>
      <c r="Q71" s="72" t="s">
        <v>93</v>
      </c>
      <c r="R71" s="72" t="s">
        <v>93</v>
      </c>
      <c r="S71" s="72" t="s">
        <v>92</v>
      </c>
      <c r="T71" s="72" t="s">
        <v>92</v>
      </c>
      <c r="U71" s="72" t="s">
        <v>91</v>
      </c>
      <c r="V71" s="72" t="s">
        <v>91</v>
      </c>
      <c r="W71" s="72" t="s">
        <v>94</v>
      </c>
      <c r="X71" s="72" t="s">
        <v>94</v>
      </c>
      <c r="Y71" s="72" t="s">
        <v>6</v>
      </c>
      <c r="Z71" s="72" t="s">
        <v>6</v>
      </c>
      <c r="AA71" s="72" t="s">
        <v>93</v>
      </c>
      <c r="AB71" s="72" t="s">
        <v>93</v>
      </c>
      <c r="AC71" s="72" t="s">
        <v>92</v>
      </c>
      <c r="AD71" s="72" t="s">
        <v>92</v>
      </c>
      <c r="AE71" s="72" t="s">
        <v>91</v>
      </c>
      <c r="AF71" s="73" t="s">
        <v>91</v>
      </c>
    </row>
    <row r="72" spans="1:33" ht="15.75" thickBot="1" x14ac:dyDescent="0.3">
      <c r="A72" s="113"/>
      <c r="B72" s="90" t="s">
        <v>744</v>
      </c>
      <c r="C72" s="79" t="s">
        <v>91</v>
      </c>
      <c r="D72" s="79" t="s">
        <v>91</v>
      </c>
      <c r="E72" s="79" t="s">
        <v>94</v>
      </c>
      <c r="F72" s="79" t="s">
        <v>94</v>
      </c>
      <c r="G72" s="79" t="s">
        <v>6</v>
      </c>
      <c r="H72" s="79" t="s">
        <v>6</v>
      </c>
      <c r="I72" s="79" t="s">
        <v>93</v>
      </c>
      <c r="J72" s="79" t="s">
        <v>93</v>
      </c>
      <c r="K72" s="79" t="s">
        <v>92</v>
      </c>
      <c r="L72" s="79" t="s">
        <v>92</v>
      </c>
      <c r="M72" s="79" t="s">
        <v>91</v>
      </c>
      <c r="N72" s="79" t="s">
        <v>91</v>
      </c>
      <c r="O72" s="79" t="s">
        <v>94</v>
      </c>
      <c r="P72" s="79" t="s">
        <v>94</v>
      </c>
      <c r="Q72" s="79" t="s">
        <v>6</v>
      </c>
      <c r="R72" s="79" t="s">
        <v>6</v>
      </c>
      <c r="S72" s="79" t="s">
        <v>93</v>
      </c>
      <c r="T72" s="79" t="s">
        <v>93</v>
      </c>
      <c r="U72" s="79" t="s">
        <v>92</v>
      </c>
      <c r="V72" s="79" t="s">
        <v>92</v>
      </c>
      <c r="W72" s="79" t="s">
        <v>91</v>
      </c>
      <c r="X72" s="79" t="s">
        <v>91</v>
      </c>
      <c r="Y72" s="79" t="s">
        <v>94</v>
      </c>
      <c r="Z72" s="79" t="s">
        <v>94</v>
      </c>
      <c r="AA72" s="79" t="s">
        <v>6</v>
      </c>
      <c r="AB72" s="79" t="s">
        <v>6</v>
      </c>
      <c r="AC72" s="79" t="s">
        <v>93</v>
      </c>
      <c r="AD72" s="79" t="s">
        <v>93</v>
      </c>
      <c r="AE72" s="79" t="s">
        <v>92</v>
      </c>
      <c r="AF72" s="80" t="s">
        <v>92</v>
      </c>
    </row>
    <row r="73" spans="1:33" ht="15.75" thickBot="1" x14ac:dyDescent="0.3"/>
    <row r="74" spans="1:33" ht="15.75" thickBot="1" x14ac:dyDescent="0.3">
      <c r="A74" s="111" t="s">
        <v>755</v>
      </c>
      <c r="B74" s="65" t="s">
        <v>728</v>
      </c>
      <c r="C74" s="66">
        <v>45931</v>
      </c>
      <c r="D74" s="66">
        <v>45932</v>
      </c>
      <c r="E74" s="66">
        <v>45933</v>
      </c>
      <c r="F74" s="66">
        <v>45934</v>
      </c>
      <c r="G74" s="66">
        <v>45935</v>
      </c>
      <c r="H74" s="66">
        <v>45936</v>
      </c>
      <c r="I74" s="66">
        <v>45937</v>
      </c>
      <c r="J74" s="66">
        <v>45938</v>
      </c>
      <c r="K74" s="66">
        <v>45939</v>
      </c>
      <c r="L74" s="66">
        <v>45940</v>
      </c>
      <c r="M74" s="66">
        <v>45941</v>
      </c>
      <c r="N74" s="66">
        <v>45942</v>
      </c>
      <c r="O74" s="66">
        <v>45943</v>
      </c>
      <c r="P74" s="66">
        <v>45944</v>
      </c>
      <c r="Q74" s="66">
        <v>45945</v>
      </c>
      <c r="R74" s="66">
        <v>45946</v>
      </c>
      <c r="S74" s="66">
        <v>45947</v>
      </c>
      <c r="T74" s="66">
        <v>45948</v>
      </c>
      <c r="U74" s="66">
        <v>45949</v>
      </c>
      <c r="V74" s="66">
        <v>45950</v>
      </c>
      <c r="W74" s="66">
        <v>45951</v>
      </c>
      <c r="X74" s="66">
        <v>45952</v>
      </c>
      <c r="Y74" s="66">
        <v>45953</v>
      </c>
      <c r="Z74" s="66">
        <v>45954</v>
      </c>
      <c r="AA74" s="66">
        <v>45955</v>
      </c>
      <c r="AB74" s="66">
        <v>45956</v>
      </c>
      <c r="AC74" s="66">
        <v>45957</v>
      </c>
      <c r="AD74" s="66">
        <v>45958</v>
      </c>
      <c r="AE74" s="66">
        <v>45959</v>
      </c>
      <c r="AF74" s="66">
        <v>45960</v>
      </c>
      <c r="AG74" s="66">
        <v>45961</v>
      </c>
    </row>
    <row r="75" spans="1:33" ht="15.75" thickBot="1" x14ac:dyDescent="0.3">
      <c r="A75" s="112"/>
      <c r="B75" s="85" t="s">
        <v>730</v>
      </c>
      <c r="C75" s="86" t="s">
        <v>733</v>
      </c>
      <c r="D75" s="86" t="s">
        <v>734</v>
      </c>
      <c r="E75" s="86" t="s">
        <v>735</v>
      </c>
      <c r="F75" s="86" t="s">
        <v>736</v>
      </c>
      <c r="G75" s="86" t="s">
        <v>737</v>
      </c>
      <c r="H75" s="86" t="s">
        <v>731</v>
      </c>
      <c r="I75" s="86" t="s">
        <v>732</v>
      </c>
      <c r="J75" s="86" t="s">
        <v>733</v>
      </c>
      <c r="K75" s="86" t="s">
        <v>734</v>
      </c>
      <c r="L75" s="86" t="s">
        <v>735</v>
      </c>
      <c r="M75" s="86" t="s">
        <v>736</v>
      </c>
      <c r="N75" s="86" t="s">
        <v>737</v>
      </c>
      <c r="O75" s="86" t="s">
        <v>731</v>
      </c>
      <c r="P75" s="86" t="s">
        <v>732</v>
      </c>
      <c r="Q75" s="86" t="s">
        <v>733</v>
      </c>
      <c r="R75" s="86" t="s">
        <v>734</v>
      </c>
      <c r="S75" s="86" t="s">
        <v>735</v>
      </c>
      <c r="T75" s="86" t="s">
        <v>736</v>
      </c>
      <c r="U75" s="86" t="s">
        <v>737</v>
      </c>
      <c r="V75" s="86" t="s">
        <v>731</v>
      </c>
      <c r="W75" s="86" t="s">
        <v>732</v>
      </c>
      <c r="X75" s="86" t="s">
        <v>733</v>
      </c>
      <c r="Y75" s="86" t="s">
        <v>734</v>
      </c>
      <c r="Z75" s="86" t="s">
        <v>735</v>
      </c>
      <c r="AA75" s="86" t="s">
        <v>736</v>
      </c>
      <c r="AB75" s="86" t="s">
        <v>737</v>
      </c>
      <c r="AC75" s="86" t="s">
        <v>731</v>
      </c>
      <c r="AD75" s="86" t="s">
        <v>732</v>
      </c>
      <c r="AE75" s="86" t="s">
        <v>733</v>
      </c>
      <c r="AF75" s="86" t="s">
        <v>734</v>
      </c>
      <c r="AG75" s="86" t="s">
        <v>735</v>
      </c>
    </row>
    <row r="76" spans="1:33" x14ac:dyDescent="0.25">
      <c r="A76" s="112"/>
      <c r="B76" s="71" t="s">
        <v>739</v>
      </c>
      <c r="C76" s="72" t="s">
        <v>92</v>
      </c>
      <c r="D76" s="72" t="s">
        <v>92</v>
      </c>
      <c r="E76" s="72" t="s">
        <v>91</v>
      </c>
      <c r="F76" s="72" t="s">
        <v>91</v>
      </c>
      <c r="G76" s="72" t="s">
        <v>94</v>
      </c>
      <c r="H76" s="72" t="s">
        <v>94</v>
      </c>
      <c r="I76" s="72" t="s">
        <v>6</v>
      </c>
      <c r="J76" s="72" t="s">
        <v>6</v>
      </c>
      <c r="K76" s="72" t="s">
        <v>93</v>
      </c>
      <c r="L76" s="72" t="s">
        <v>93</v>
      </c>
      <c r="M76" s="72" t="s">
        <v>92</v>
      </c>
      <c r="N76" s="72" t="s">
        <v>92</v>
      </c>
      <c r="O76" s="72" t="s">
        <v>91</v>
      </c>
      <c r="P76" s="72" t="s">
        <v>91</v>
      </c>
      <c r="Q76" s="72" t="s">
        <v>94</v>
      </c>
      <c r="R76" s="72" t="s">
        <v>94</v>
      </c>
      <c r="S76" s="72" t="s">
        <v>6</v>
      </c>
      <c r="T76" s="72" t="s">
        <v>6</v>
      </c>
      <c r="U76" s="72" t="s">
        <v>93</v>
      </c>
      <c r="V76" s="72" t="s">
        <v>93</v>
      </c>
      <c r="W76" s="72" t="s">
        <v>92</v>
      </c>
      <c r="X76" s="72" t="s">
        <v>92</v>
      </c>
      <c r="Y76" s="72" t="s">
        <v>91</v>
      </c>
      <c r="Z76" s="72" t="s">
        <v>91</v>
      </c>
      <c r="AA76" s="72" t="s">
        <v>94</v>
      </c>
      <c r="AB76" s="72" t="s">
        <v>94</v>
      </c>
      <c r="AC76" s="72" t="s">
        <v>6</v>
      </c>
      <c r="AD76" s="72" t="s">
        <v>6</v>
      </c>
      <c r="AE76" s="72" t="s">
        <v>93</v>
      </c>
      <c r="AF76" s="72" t="s">
        <v>93</v>
      </c>
      <c r="AG76" s="73" t="s">
        <v>92</v>
      </c>
    </row>
    <row r="77" spans="1:33" x14ac:dyDescent="0.25">
      <c r="A77" s="112"/>
      <c r="B77" s="75" t="s">
        <v>741</v>
      </c>
      <c r="C77" s="76" t="s">
        <v>93</v>
      </c>
      <c r="D77" s="76" t="s">
        <v>93</v>
      </c>
      <c r="E77" s="76" t="s">
        <v>92</v>
      </c>
      <c r="F77" s="76" t="s">
        <v>92</v>
      </c>
      <c r="G77" s="76" t="s">
        <v>91</v>
      </c>
      <c r="H77" s="76" t="s">
        <v>91</v>
      </c>
      <c r="I77" s="76" t="s">
        <v>94</v>
      </c>
      <c r="J77" s="76" t="s">
        <v>94</v>
      </c>
      <c r="K77" s="76" t="s">
        <v>6</v>
      </c>
      <c r="L77" s="76" t="s">
        <v>6</v>
      </c>
      <c r="M77" s="76" t="s">
        <v>93</v>
      </c>
      <c r="N77" s="76" t="s">
        <v>93</v>
      </c>
      <c r="O77" s="76" t="s">
        <v>92</v>
      </c>
      <c r="P77" s="76" t="s">
        <v>92</v>
      </c>
      <c r="Q77" s="76" t="s">
        <v>91</v>
      </c>
      <c r="R77" s="76" t="s">
        <v>91</v>
      </c>
      <c r="S77" s="76" t="s">
        <v>94</v>
      </c>
      <c r="T77" s="76" t="s">
        <v>94</v>
      </c>
      <c r="U77" s="76" t="s">
        <v>6</v>
      </c>
      <c r="V77" s="76" t="s">
        <v>6</v>
      </c>
      <c r="W77" s="76" t="s">
        <v>93</v>
      </c>
      <c r="X77" s="76" t="s">
        <v>93</v>
      </c>
      <c r="Y77" s="76" t="s">
        <v>92</v>
      </c>
      <c r="Z77" s="76" t="s">
        <v>92</v>
      </c>
      <c r="AA77" s="76" t="s">
        <v>91</v>
      </c>
      <c r="AB77" s="76" t="s">
        <v>91</v>
      </c>
      <c r="AC77" s="76" t="s">
        <v>94</v>
      </c>
      <c r="AD77" s="76" t="s">
        <v>94</v>
      </c>
      <c r="AE77" s="76" t="s">
        <v>6</v>
      </c>
      <c r="AF77" s="76" t="s">
        <v>6</v>
      </c>
      <c r="AG77" s="77" t="s">
        <v>93</v>
      </c>
    </row>
    <row r="78" spans="1:33" ht="15.75" thickBot="1" x14ac:dyDescent="0.3">
      <c r="A78" s="112"/>
      <c r="B78" s="78" t="s">
        <v>742</v>
      </c>
      <c r="C78" s="79" t="s">
        <v>6</v>
      </c>
      <c r="D78" s="79" t="s">
        <v>6</v>
      </c>
      <c r="E78" s="79" t="s">
        <v>93</v>
      </c>
      <c r="F78" s="79" t="s">
        <v>93</v>
      </c>
      <c r="G78" s="79" t="s">
        <v>92</v>
      </c>
      <c r="H78" s="79" t="s">
        <v>92</v>
      </c>
      <c r="I78" s="79" t="s">
        <v>91</v>
      </c>
      <c r="J78" s="79" t="s">
        <v>91</v>
      </c>
      <c r="K78" s="79" t="s">
        <v>94</v>
      </c>
      <c r="L78" s="79" t="s">
        <v>94</v>
      </c>
      <c r="M78" s="79" t="s">
        <v>6</v>
      </c>
      <c r="N78" s="79" t="s">
        <v>6</v>
      </c>
      <c r="O78" s="79" t="s">
        <v>93</v>
      </c>
      <c r="P78" s="79" t="s">
        <v>93</v>
      </c>
      <c r="Q78" s="79" t="s">
        <v>92</v>
      </c>
      <c r="R78" s="79" t="s">
        <v>92</v>
      </c>
      <c r="S78" s="79" t="s">
        <v>91</v>
      </c>
      <c r="T78" s="79" t="s">
        <v>91</v>
      </c>
      <c r="U78" s="79" t="s">
        <v>94</v>
      </c>
      <c r="V78" s="79" t="s">
        <v>94</v>
      </c>
      <c r="W78" s="79" t="s">
        <v>6</v>
      </c>
      <c r="X78" s="79" t="s">
        <v>6</v>
      </c>
      <c r="Y78" s="79" t="s">
        <v>93</v>
      </c>
      <c r="Z78" s="79" t="s">
        <v>93</v>
      </c>
      <c r="AA78" s="79" t="s">
        <v>92</v>
      </c>
      <c r="AB78" s="79" t="s">
        <v>92</v>
      </c>
      <c r="AC78" s="79" t="s">
        <v>91</v>
      </c>
      <c r="AD78" s="79" t="s">
        <v>91</v>
      </c>
      <c r="AE78" s="79" t="s">
        <v>94</v>
      </c>
      <c r="AF78" s="79" t="s">
        <v>94</v>
      </c>
      <c r="AG78" s="80" t="s">
        <v>6</v>
      </c>
    </row>
    <row r="79" spans="1:33" x14ac:dyDescent="0.25">
      <c r="A79" s="112"/>
      <c r="B79" s="71" t="s">
        <v>744</v>
      </c>
      <c r="C79" s="72" t="s">
        <v>94</v>
      </c>
      <c r="D79" s="72" t="s">
        <v>94</v>
      </c>
      <c r="E79" s="72" t="s">
        <v>6</v>
      </c>
      <c r="F79" s="72" t="s">
        <v>6</v>
      </c>
      <c r="G79" s="72" t="s">
        <v>93</v>
      </c>
      <c r="H79" s="72" t="s">
        <v>93</v>
      </c>
      <c r="I79" s="72" t="s">
        <v>92</v>
      </c>
      <c r="J79" s="72" t="s">
        <v>92</v>
      </c>
      <c r="K79" s="72" t="s">
        <v>91</v>
      </c>
      <c r="L79" s="72" t="s">
        <v>91</v>
      </c>
      <c r="M79" s="72" t="s">
        <v>94</v>
      </c>
      <c r="N79" s="72" t="s">
        <v>94</v>
      </c>
      <c r="O79" s="72" t="s">
        <v>6</v>
      </c>
      <c r="P79" s="72" t="s">
        <v>6</v>
      </c>
      <c r="Q79" s="72" t="s">
        <v>93</v>
      </c>
      <c r="R79" s="72" t="s">
        <v>93</v>
      </c>
      <c r="S79" s="72" t="s">
        <v>92</v>
      </c>
      <c r="T79" s="72" t="s">
        <v>92</v>
      </c>
      <c r="U79" s="72" t="s">
        <v>91</v>
      </c>
      <c r="V79" s="72" t="s">
        <v>91</v>
      </c>
      <c r="W79" s="72" t="s">
        <v>94</v>
      </c>
      <c r="X79" s="72" t="s">
        <v>94</v>
      </c>
      <c r="Y79" s="72" t="s">
        <v>6</v>
      </c>
      <c r="Z79" s="72" t="s">
        <v>6</v>
      </c>
      <c r="AA79" s="72" t="s">
        <v>93</v>
      </c>
      <c r="AB79" s="72" t="s">
        <v>93</v>
      </c>
      <c r="AC79" s="72" t="s">
        <v>92</v>
      </c>
      <c r="AD79" s="72" t="s">
        <v>92</v>
      </c>
      <c r="AE79" s="72" t="s">
        <v>91</v>
      </c>
      <c r="AF79" s="72" t="s">
        <v>91</v>
      </c>
      <c r="AG79" s="73" t="s">
        <v>94</v>
      </c>
    </row>
    <row r="80" spans="1:33" ht="15.75" thickBot="1" x14ac:dyDescent="0.3">
      <c r="A80" s="113"/>
      <c r="B80" s="78" t="s">
        <v>744</v>
      </c>
      <c r="C80" s="79" t="s">
        <v>91</v>
      </c>
      <c r="D80" s="79" t="s">
        <v>91</v>
      </c>
      <c r="E80" s="79" t="s">
        <v>94</v>
      </c>
      <c r="F80" s="79" t="s">
        <v>94</v>
      </c>
      <c r="G80" s="79" t="s">
        <v>6</v>
      </c>
      <c r="H80" s="79" t="s">
        <v>6</v>
      </c>
      <c r="I80" s="79" t="s">
        <v>93</v>
      </c>
      <c r="J80" s="79" t="s">
        <v>93</v>
      </c>
      <c r="K80" s="79" t="s">
        <v>92</v>
      </c>
      <c r="L80" s="79" t="s">
        <v>92</v>
      </c>
      <c r="M80" s="79" t="s">
        <v>91</v>
      </c>
      <c r="N80" s="79" t="s">
        <v>91</v>
      </c>
      <c r="O80" s="79" t="s">
        <v>94</v>
      </c>
      <c r="P80" s="79" t="s">
        <v>94</v>
      </c>
      <c r="Q80" s="79" t="s">
        <v>6</v>
      </c>
      <c r="R80" s="79" t="s">
        <v>6</v>
      </c>
      <c r="S80" s="79" t="s">
        <v>93</v>
      </c>
      <c r="T80" s="79" t="s">
        <v>93</v>
      </c>
      <c r="U80" s="79" t="s">
        <v>92</v>
      </c>
      <c r="V80" s="79" t="s">
        <v>92</v>
      </c>
      <c r="W80" s="79" t="s">
        <v>91</v>
      </c>
      <c r="X80" s="79" t="s">
        <v>91</v>
      </c>
      <c r="Y80" s="79" t="s">
        <v>94</v>
      </c>
      <c r="Z80" s="79" t="s">
        <v>94</v>
      </c>
      <c r="AA80" s="79" t="s">
        <v>6</v>
      </c>
      <c r="AB80" s="79" t="s">
        <v>6</v>
      </c>
      <c r="AC80" s="79" t="s">
        <v>93</v>
      </c>
      <c r="AD80" s="79" t="s">
        <v>93</v>
      </c>
      <c r="AE80" s="79" t="s">
        <v>92</v>
      </c>
      <c r="AF80" s="79" t="s">
        <v>92</v>
      </c>
      <c r="AG80" s="80" t="s">
        <v>91</v>
      </c>
    </row>
    <row r="81" spans="1:33" ht="15.75" thickBot="1" x14ac:dyDescent="0.3"/>
    <row r="82" spans="1:33" ht="15.75" thickBot="1" x14ac:dyDescent="0.3">
      <c r="A82" s="111" t="s">
        <v>756</v>
      </c>
      <c r="B82" s="65" t="s">
        <v>728</v>
      </c>
      <c r="C82" s="66">
        <v>45962</v>
      </c>
      <c r="D82" s="66">
        <v>45963</v>
      </c>
      <c r="E82" s="66">
        <v>45964</v>
      </c>
      <c r="F82" s="66">
        <v>45965</v>
      </c>
      <c r="G82" s="66">
        <v>45966</v>
      </c>
      <c r="H82" s="66">
        <v>45967</v>
      </c>
      <c r="I82" s="66">
        <v>45968</v>
      </c>
      <c r="J82" s="66">
        <v>45969</v>
      </c>
      <c r="K82" s="66">
        <v>45970</v>
      </c>
      <c r="L82" s="66">
        <v>45971</v>
      </c>
      <c r="M82" s="66">
        <v>45972</v>
      </c>
      <c r="N82" s="66">
        <v>45973</v>
      </c>
      <c r="O82" s="66">
        <v>45974</v>
      </c>
      <c r="P82" s="66">
        <v>45975</v>
      </c>
      <c r="Q82" s="66">
        <v>45976</v>
      </c>
      <c r="R82" s="66">
        <v>45977</v>
      </c>
      <c r="S82" s="66">
        <v>45978</v>
      </c>
      <c r="T82" s="66">
        <v>45979</v>
      </c>
      <c r="U82" s="66">
        <v>45980</v>
      </c>
      <c r="V82" s="66">
        <v>45981</v>
      </c>
      <c r="W82" s="66">
        <v>45982</v>
      </c>
      <c r="X82" s="66">
        <v>45983</v>
      </c>
      <c r="Y82" s="66">
        <v>45984</v>
      </c>
      <c r="Z82" s="66">
        <v>45985</v>
      </c>
      <c r="AA82" s="66">
        <v>45986</v>
      </c>
      <c r="AB82" s="66">
        <v>45987</v>
      </c>
      <c r="AC82" s="66">
        <v>45988</v>
      </c>
      <c r="AD82" s="66">
        <v>45989</v>
      </c>
      <c r="AE82" s="66">
        <v>45990</v>
      </c>
      <c r="AF82" s="66">
        <v>45991</v>
      </c>
    </row>
    <row r="83" spans="1:33" ht="15.75" thickBot="1" x14ac:dyDescent="0.3">
      <c r="A83" s="112"/>
      <c r="B83" s="85" t="s">
        <v>730</v>
      </c>
      <c r="C83" s="86" t="s">
        <v>736</v>
      </c>
      <c r="D83" s="86" t="s">
        <v>737</v>
      </c>
      <c r="E83" s="86" t="s">
        <v>731</v>
      </c>
      <c r="F83" s="86" t="s">
        <v>732</v>
      </c>
      <c r="G83" s="86" t="s">
        <v>733</v>
      </c>
      <c r="H83" s="86" t="s">
        <v>734</v>
      </c>
      <c r="I83" s="86" t="s">
        <v>735</v>
      </c>
      <c r="J83" s="86" t="s">
        <v>736</v>
      </c>
      <c r="K83" s="86" t="s">
        <v>737</v>
      </c>
      <c r="L83" s="86" t="s">
        <v>731</v>
      </c>
      <c r="M83" s="86" t="s">
        <v>732</v>
      </c>
      <c r="N83" s="86" t="s">
        <v>733</v>
      </c>
      <c r="O83" s="86" t="s">
        <v>734</v>
      </c>
      <c r="P83" s="86" t="s">
        <v>735</v>
      </c>
      <c r="Q83" s="86" t="s">
        <v>736</v>
      </c>
      <c r="R83" s="86" t="s">
        <v>737</v>
      </c>
      <c r="S83" s="86" t="s">
        <v>731</v>
      </c>
      <c r="T83" s="86" t="s">
        <v>732</v>
      </c>
      <c r="U83" s="86" t="s">
        <v>733</v>
      </c>
      <c r="V83" s="86" t="s">
        <v>734</v>
      </c>
      <c r="W83" s="86" t="s">
        <v>735</v>
      </c>
      <c r="X83" s="86" t="s">
        <v>736</v>
      </c>
      <c r="Y83" s="86" t="s">
        <v>737</v>
      </c>
      <c r="Z83" s="86" t="s">
        <v>731</v>
      </c>
      <c r="AA83" s="86" t="s">
        <v>732</v>
      </c>
      <c r="AB83" s="86" t="s">
        <v>733</v>
      </c>
      <c r="AC83" s="86" t="s">
        <v>734</v>
      </c>
      <c r="AD83" s="86" t="s">
        <v>735</v>
      </c>
      <c r="AE83" s="87" t="s">
        <v>736</v>
      </c>
      <c r="AF83" s="87" t="s">
        <v>737</v>
      </c>
    </row>
    <row r="84" spans="1:33" x14ac:dyDescent="0.25">
      <c r="A84" s="112"/>
      <c r="B84" s="88" t="s">
        <v>739</v>
      </c>
      <c r="C84" s="72" t="s">
        <v>92</v>
      </c>
      <c r="D84" s="72" t="s">
        <v>91</v>
      </c>
      <c r="E84" s="72" t="s">
        <v>91</v>
      </c>
      <c r="F84" s="72" t="s">
        <v>94</v>
      </c>
      <c r="G84" s="72" t="s">
        <v>94</v>
      </c>
      <c r="H84" s="72" t="s">
        <v>6</v>
      </c>
      <c r="I84" s="72" t="s">
        <v>6</v>
      </c>
      <c r="J84" s="72" t="s">
        <v>93</v>
      </c>
      <c r="K84" s="72" t="s">
        <v>93</v>
      </c>
      <c r="L84" s="72" t="s">
        <v>92</v>
      </c>
      <c r="M84" s="72" t="s">
        <v>92</v>
      </c>
      <c r="N84" s="72" t="s">
        <v>91</v>
      </c>
      <c r="O84" s="72" t="s">
        <v>91</v>
      </c>
      <c r="P84" s="72" t="s">
        <v>94</v>
      </c>
      <c r="Q84" s="72" t="s">
        <v>94</v>
      </c>
      <c r="R84" s="72" t="s">
        <v>6</v>
      </c>
      <c r="S84" s="72" t="s">
        <v>6</v>
      </c>
      <c r="T84" s="72" t="s">
        <v>93</v>
      </c>
      <c r="U84" s="72" t="s">
        <v>93</v>
      </c>
      <c r="V84" s="72" t="s">
        <v>92</v>
      </c>
      <c r="W84" s="72" t="s">
        <v>92</v>
      </c>
      <c r="X84" s="72" t="s">
        <v>91</v>
      </c>
      <c r="Y84" s="72" t="s">
        <v>91</v>
      </c>
      <c r="Z84" s="72" t="s">
        <v>94</v>
      </c>
      <c r="AA84" s="72" t="s">
        <v>94</v>
      </c>
      <c r="AB84" s="72" t="s">
        <v>6</v>
      </c>
      <c r="AC84" s="72" t="s">
        <v>6</v>
      </c>
      <c r="AD84" s="72" t="s">
        <v>93</v>
      </c>
      <c r="AE84" s="72" t="s">
        <v>93</v>
      </c>
      <c r="AF84" s="73" t="s">
        <v>92</v>
      </c>
    </row>
    <row r="85" spans="1:33" x14ac:dyDescent="0.25">
      <c r="A85" s="112"/>
      <c r="B85" s="89" t="s">
        <v>741</v>
      </c>
      <c r="C85" s="76" t="s">
        <v>93</v>
      </c>
      <c r="D85" s="76" t="s">
        <v>92</v>
      </c>
      <c r="E85" s="76" t="s">
        <v>92</v>
      </c>
      <c r="F85" s="76" t="s">
        <v>91</v>
      </c>
      <c r="G85" s="76" t="s">
        <v>91</v>
      </c>
      <c r="H85" s="76" t="s">
        <v>94</v>
      </c>
      <c r="I85" s="76" t="s">
        <v>94</v>
      </c>
      <c r="J85" s="76" t="s">
        <v>6</v>
      </c>
      <c r="K85" s="76" t="s">
        <v>6</v>
      </c>
      <c r="L85" s="76" t="s">
        <v>93</v>
      </c>
      <c r="M85" s="76" t="s">
        <v>93</v>
      </c>
      <c r="N85" s="76" t="s">
        <v>92</v>
      </c>
      <c r="O85" s="76" t="s">
        <v>92</v>
      </c>
      <c r="P85" s="76" t="s">
        <v>91</v>
      </c>
      <c r="Q85" s="76" t="s">
        <v>91</v>
      </c>
      <c r="R85" s="76" t="s">
        <v>94</v>
      </c>
      <c r="S85" s="76" t="s">
        <v>94</v>
      </c>
      <c r="T85" s="76" t="s">
        <v>6</v>
      </c>
      <c r="U85" s="76" t="s">
        <v>6</v>
      </c>
      <c r="V85" s="76" t="s">
        <v>93</v>
      </c>
      <c r="W85" s="76" t="s">
        <v>93</v>
      </c>
      <c r="X85" s="76" t="s">
        <v>92</v>
      </c>
      <c r="Y85" s="76" t="s">
        <v>92</v>
      </c>
      <c r="Z85" s="76" t="s">
        <v>91</v>
      </c>
      <c r="AA85" s="76" t="s">
        <v>91</v>
      </c>
      <c r="AB85" s="76" t="s">
        <v>94</v>
      </c>
      <c r="AC85" s="76" t="s">
        <v>94</v>
      </c>
      <c r="AD85" s="76" t="s">
        <v>6</v>
      </c>
      <c r="AE85" s="76" t="s">
        <v>6</v>
      </c>
      <c r="AF85" s="77" t="s">
        <v>93</v>
      </c>
    </row>
    <row r="86" spans="1:33" ht="15.75" thickBot="1" x14ac:dyDescent="0.3">
      <c r="A86" s="112"/>
      <c r="B86" s="90" t="s">
        <v>742</v>
      </c>
      <c r="C86" s="93" t="s">
        <v>6</v>
      </c>
      <c r="D86" s="93" t="s">
        <v>93</v>
      </c>
      <c r="E86" s="93" t="s">
        <v>93</v>
      </c>
      <c r="F86" s="93" t="s">
        <v>92</v>
      </c>
      <c r="G86" s="93" t="s">
        <v>92</v>
      </c>
      <c r="H86" s="93" t="s">
        <v>91</v>
      </c>
      <c r="I86" s="93" t="s">
        <v>91</v>
      </c>
      <c r="J86" s="93" t="s">
        <v>94</v>
      </c>
      <c r="K86" s="93" t="s">
        <v>94</v>
      </c>
      <c r="L86" s="93" t="s">
        <v>6</v>
      </c>
      <c r="M86" s="93" t="s">
        <v>6</v>
      </c>
      <c r="N86" s="93" t="s">
        <v>93</v>
      </c>
      <c r="O86" s="93" t="s">
        <v>93</v>
      </c>
      <c r="P86" s="93" t="s">
        <v>92</v>
      </c>
      <c r="Q86" s="93" t="s">
        <v>92</v>
      </c>
      <c r="R86" s="93" t="s">
        <v>91</v>
      </c>
      <c r="S86" s="93" t="s">
        <v>91</v>
      </c>
      <c r="T86" s="93" t="s">
        <v>94</v>
      </c>
      <c r="U86" s="93" t="s">
        <v>94</v>
      </c>
      <c r="V86" s="93" t="s">
        <v>6</v>
      </c>
      <c r="W86" s="93" t="s">
        <v>6</v>
      </c>
      <c r="X86" s="93" t="s">
        <v>93</v>
      </c>
      <c r="Y86" s="93" t="s">
        <v>93</v>
      </c>
      <c r="Z86" s="93" t="s">
        <v>92</v>
      </c>
      <c r="AA86" s="93" t="s">
        <v>92</v>
      </c>
      <c r="AB86" s="93" t="s">
        <v>91</v>
      </c>
      <c r="AC86" s="93" t="s">
        <v>91</v>
      </c>
      <c r="AD86" s="93" t="s">
        <v>94</v>
      </c>
      <c r="AE86" s="93" t="s">
        <v>94</v>
      </c>
      <c r="AF86" s="94" t="s">
        <v>6</v>
      </c>
    </row>
    <row r="87" spans="1:33" x14ac:dyDescent="0.25">
      <c r="A87" s="112"/>
      <c r="B87" s="91" t="s">
        <v>744</v>
      </c>
      <c r="C87" s="72" t="s">
        <v>94</v>
      </c>
      <c r="D87" s="72" t="s">
        <v>6</v>
      </c>
      <c r="E87" s="72" t="s">
        <v>6</v>
      </c>
      <c r="F87" s="72" t="s">
        <v>93</v>
      </c>
      <c r="G87" s="72" t="s">
        <v>93</v>
      </c>
      <c r="H87" s="72" t="s">
        <v>92</v>
      </c>
      <c r="I87" s="72" t="s">
        <v>92</v>
      </c>
      <c r="J87" s="72" t="s">
        <v>91</v>
      </c>
      <c r="K87" s="72" t="s">
        <v>91</v>
      </c>
      <c r="L87" s="72" t="s">
        <v>94</v>
      </c>
      <c r="M87" s="72" t="s">
        <v>94</v>
      </c>
      <c r="N87" s="72" t="s">
        <v>6</v>
      </c>
      <c r="O87" s="72" t="s">
        <v>6</v>
      </c>
      <c r="P87" s="72" t="s">
        <v>93</v>
      </c>
      <c r="Q87" s="72" t="s">
        <v>93</v>
      </c>
      <c r="R87" s="72" t="s">
        <v>92</v>
      </c>
      <c r="S87" s="72" t="s">
        <v>92</v>
      </c>
      <c r="T87" s="72" t="s">
        <v>91</v>
      </c>
      <c r="U87" s="72" t="s">
        <v>91</v>
      </c>
      <c r="V87" s="72" t="s">
        <v>94</v>
      </c>
      <c r="W87" s="72" t="s">
        <v>94</v>
      </c>
      <c r="X87" s="72" t="s">
        <v>6</v>
      </c>
      <c r="Y87" s="72" t="s">
        <v>6</v>
      </c>
      <c r="Z87" s="72" t="s">
        <v>93</v>
      </c>
      <c r="AA87" s="72" t="s">
        <v>93</v>
      </c>
      <c r="AB87" s="72" t="s">
        <v>92</v>
      </c>
      <c r="AC87" s="72" t="s">
        <v>92</v>
      </c>
      <c r="AD87" s="72" t="s">
        <v>91</v>
      </c>
      <c r="AE87" s="72" t="s">
        <v>91</v>
      </c>
      <c r="AF87" s="73" t="s">
        <v>94</v>
      </c>
    </row>
    <row r="88" spans="1:33" ht="15.75" thickBot="1" x14ac:dyDescent="0.3">
      <c r="A88" s="113"/>
      <c r="B88" s="90" t="s">
        <v>744</v>
      </c>
      <c r="C88" s="79" t="s">
        <v>91</v>
      </c>
      <c r="D88" s="79" t="s">
        <v>94</v>
      </c>
      <c r="E88" s="79" t="s">
        <v>94</v>
      </c>
      <c r="F88" s="79" t="s">
        <v>6</v>
      </c>
      <c r="G88" s="79" t="s">
        <v>6</v>
      </c>
      <c r="H88" s="79" t="s">
        <v>93</v>
      </c>
      <c r="I88" s="79" t="s">
        <v>93</v>
      </c>
      <c r="J88" s="79" t="s">
        <v>92</v>
      </c>
      <c r="K88" s="79" t="s">
        <v>92</v>
      </c>
      <c r="L88" s="79" t="s">
        <v>91</v>
      </c>
      <c r="M88" s="79" t="s">
        <v>91</v>
      </c>
      <c r="N88" s="79" t="s">
        <v>94</v>
      </c>
      <c r="O88" s="79" t="s">
        <v>94</v>
      </c>
      <c r="P88" s="79" t="s">
        <v>6</v>
      </c>
      <c r="Q88" s="79" t="s">
        <v>6</v>
      </c>
      <c r="R88" s="79" t="s">
        <v>93</v>
      </c>
      <c r="S88" s="79" t="s">
        <v>93</v>
      </c>
      <c r="T88" s="79" t="s">
        <v>92</v>
      </c>
      <c r="U88" s="79" t="s">
        <v>92</v>
      </c>
      <c r="V88" s="79" t="s">
        <v>91</v>
      </c>
      <c r="W88" s="79" t="s">
        <v>91</v>
      </c>
      <c r="X88" s="79" t="s">
        <v>94</v>
      </c>
      <c r="Y88" s="79" t="s">
        <v>94</v>
      </c>
      <c r="Z88" s="79" t="s">
        <v>6</v>
      </c>
      <c r="AA88" s="79" t="s">
        <v>6</v>
      </c>
      <c r="AB88" s="79" t="s">
        <v>93</v>
      </c>
      <c r="AC88" s="79" t="s">
        <v>93</v>
      </c>
      <c r="AD88" s="79" t="s">
        <v>92</v>
      </c>
      <c r="AE88" s="79" t="s">
        <v>92</v>
      </c>
      <c r="AF88" s="80" t="s">
        <v>91</v>
      </c>
    </row>
    <row r="89" spans="1:33" ht="15.75" thickBot="1" x14ac:dyDescent="0.3"/>
    <row r="90" spans="1:33" ht="15.75" thickBot="1" x14ac:dyDescent="0.3">
      <c r="A90" s="111" t="s">
        <v>757</v>
      </c>
      <c r="B90" s="65" t="s">
        <v>728</v>
      </c>
      <c r="C90" s="66">
        <v>45992</v>
      </c>
      <c r="D90" s="66">
        <v>45993</v>
      </c>
      <c r="E90" s="66">
        <v>45994</v>
      </c>
      <c r="F90" s="66">
        <v>45995</v>
      </c>
      <c r="G90" s="66">
        <v>45996</v>
      </c>
      <c r="H90" s="66">
        <v>45997</v>
      </c>
      <c r="I90" s="66">
        <v>45998</v>
      </c>
      <c r="J90" s="66">
        <v>45999</v>
      </c>
      <c r="K90" s="66">
        <v>46000</v>
      </c>
      <c r="L90" s="66">
        <v>46001</v>
      </c>
      <c r="M90" s="66">
        <v>46002</v>
      </c>
      <c r="N90" s="66">
        <v>46003</v>
      </c>
      <c r="O90" s="66">
        <v>46004</v>
      </c>
      <c r="P90" s="66">
        <v>46005</v>
      </c>
      <c r="Q90" s="66">
        <v>46006</v>
      </c>
      <c r="R90" s="66">
        <v>46007</v>
      </c>
      <c r="S90" s="66">
        <v>46008</v>
      </c>
      <c r="T90" s="66">
        <v>46009</v>
      </c>
      <c r="U90" s="66">
        <v>46010</v>
      </c>
      <c r="V90" s="66">
        <v>46011</v>
      </c>
      <c r="W90" s="66">
        <v>46012</v>
      </c>
      <c r="X90" s="66">
        <v>46013</v>
      </c>
      <c r="Y90" s="66">
        <v>46014</v>
      </c>
      <c r="Z90" s="66">
        <v>46015</v>
      </c>
      <c r="AA90" s="66">
        <v>46016</v>
      </c>
      <c r="AB90" s="66">
        <v>46017</v>
      </c>
      <c r="AC90" s="66">
        <v>46018</v>
      </c>
      <c r="AD90" s="66">
        <v>46019</v>
      </c>
      <c r="AE90" s="66">
        <v>46020</v>
      </c>
      <c r="AF90" s="66">
        <v>46021</v>
      </c>
      <c r="AG90" s="66">
        <v>46022</v>
      </c>
    </row>
    <row r="91" spans="1:33" ht="15.75" thickBot="1" x14ac:dyDescent="0.3">
      <c r="A91" s="112"/>
      <c r="B91" s="85" t="s">
        <v>730</v>
      </c>
      <c r="C91" s="86" t="s">
        <v>731</v>
      </c>
      <c r="D91" s="86" t="s">
        <v>732</v>
      </c>
      <c r="E91" s="86" t="s">
        <v>733</v>
      </c>
      <c r="F91" s="86" t="s">
        <v>734</v>
      </c>
      <c r="G91" s="86" t="s">
        <v>735</v>
      </c>
      <c r="H91" s="86" t="s">
        <v>736</v>
      </c>
      <c r="I91" s="86" t="s">
        <v>737</v>
      </c>
      <c r="J91" s="86" t="s">
        <v>731</v>
      </c>
      <c r="K91" s="86" t="s">
        <v>732</v>
      </c>
      <c r="L91" s="86" t="s">
        <v>733</v>
      </c>
      <c r="M91" s="86" t="s">
        <v>734</v>
      </c>
      <c r="N91" s="86" t="s">
        <v>735</v>
      </c>
      <c r="O91" s="86" t="s">
        <v>736</v>
      </c>
      <c r="P91" s="86" t="s">
        <v>737</v>
      </c>
      <c r="Q91" s="86" t="s">
        <v>731</v>
      </c>
      <c r="R91" s="86" t="s">
        <v>732</v>
      </c>
      <c r="S91" s="86" t="s">
        <v>733</v>
      </c>
      <c r="T91" s="86" t="s">
        <v>734</v>
      </c>
      <c r="U91" s="86" t="s">
        <v>735</v>
      </c>
      <c r="V91" s="86" t="s">
        <v>736</v>
      </c>
      <c r="W91" s="86" t="s">
        <v>737</v>
      </c>
      <c r="X91" s="86" t="s">
        <v>731</v>
      </c>
      <c r="Y91" s="86" t="s">
        <v>732</v>
      </c>
      <c r="Z91" s="86" t="s">
        <v>733</v>
      </c>
      <c r="AA91" s="86" t="s">
        <v>734</v>
      </c>
      <c r="AB91" s="86" t="s">
        <v>735</v>
      </c>
      <c r="AC91" s="86" t="s">
        <v>736</v>
      </c>
      <c r="AD91" s="86" t="s">
        <v>737</v>
      </c>
      <c r="AE91" s="86" t="s">
        <v>731</v>
      </c>
      <c r="AF91" s="86" t="s">
        <v>732</v>
      </c>
      <c r="AG91" s="86" t="s">
        <v>733</v>
      </c>
    </row>
    <row r="92" spans="1:33" x14ac:dyDescent="0.25">
      <c r="A92" s="112"/>
      <c r="B92" s="71" t="s">
        <v>739</v>
      </c>
      <c r="C92" s="72" t="s">
        <v>92</v>
      </c>
      <c r="D92" s="72" t="s">
        <v>91</v>
      </c>
      <c r="E92" s="72" t="s">
        <v>91</v>
      </c>
      <c r="F92" s="72" t="s">
        <v>94</v>
      </c>
      <c r="G92" s="72" t="s">
        <v>94</v>
      </c>
      <c r="H92" s="72" t="s">
        <v>6</v>
      </c>
      <c r="I92" s="72" t="s">
        <v>6</v>
      </c>
      <c r="J92" s="72" t="s">
        <v>93</v>
      </c>
      <c r="K92" s="72" t="s">
        <v>93</v>
      </c>
      <c r="L92" s="72" t="s">
        <v>92</v>
      </c>
      <c r="M92" s="72" t="s">
        <v>92</v>
      </c>
      <c r="N92" s="72" t="s">
        <v>91</v>
      </c>
      <c r="O92" s="72" t="s">
        <v>91</v>
      </c>
      <c r="P92" s="72" t="s">
        <v>94</v>
      </c>
      <c r="Q92" s="72" t="s">
        <v>94</v>
      </c>
      <c r="R92" s="72" t="s">
        <v>6</v>
      </c>
      <c r="S92" s="72" t="s">
        <v>6</v>
      </c>
      <c r="T92" s="72" t="s">
        <v>93</v>
      </c>
      <c r="U92" s="72" t="s">
        <v>93</v>
      </c>
      <c r="V92" s="72" t="s">
        <v>92</v>
      </c>
      <c r="W92" s="72" t="s">
        <v>92</v>
      </c>
      <c r="X92" s="72" t="s">
        <v>91</v>
      </c>
      <c r="Y92" s="72" t="s">
        <v>91</v>
      </c>
      <c r="Z92" s="72" t="s">
        <v>94</v>
      </c>
      <c r="AA92" s="72" t="s">
        <v>94</v>
      </c>
      <c r="AB92" s="72" t="s">
        <v>6</v>
      </c>
      <c r="AC92" s="72" t="s">
        <v>6</v>
      </c>
      <c r="AD92" s="95" t="s">
        <v>93</v>
      </c>
      <c r="AE92" s="72" t="s">
        <v>93</v>
      </c>
      <c r="AF92" s="72" t="s">
        <v>92</v>
      </c>
      <c r="AG92" s="73" t="s">
        <v>92</v>
      </c>
    </row>
    <row r="93" spans="1:33" x14ac:dyDescent="0.25">
      <c r="A93" s="112"/>
      <c r="B93" s="75" t="s">
        <v>741</v>
      </c>
      <c r="C93" s="76" t="s">
        <v>93</v>
      </c>
      <c r="D93" s="76" t="s">
        <v>92</v>
      </c>
      <c r="E93" s="76" t="s">
        <v>92</v>
      </c>
      <c r="F93" s="76" t="s">
        <v>91</v>
      </c>
      <c r="G93" s="76" t="s">
        <v>91</v>
      </c>
      <c r="H93" s="76" t="s">
        <v>94</v>
      </c>
      <c r="I93" s="76" t="s">
        <v>94</v>
      </c>
      <c r="J93" s="76" t="s">
        <v>6</v>
      </c>
      <c r="K93" s="76" t="s">
        <v>6</v>
      </c>
      <c r="L93" s="76" t="s">
        <v>93</v>
      </c>
      <c r="M93" s="76" t="s">
        <v>93</v>
      </c>
      <c r="N93" s="76" t="s">
        <v>92</v>
      </c>
      <c r="O93" s="76" t="s">
        <v>92</v>
      </c>
      <c r="P93" s="76" t="s">
        <v>91</v>
      </c>
      <c r="Q93" s="76" t="s">
        <v>91</v>
      </c>
      <c r="R93" s="76" t="s">
        <v>94</v>
      </c>
      <c r="S93" s="76" t="s">
        <v>94</v>
      </c>
      <c r="T93" s="76" t="s">
        <v>6</v>
      </c>
      <c r="U93" s="76" t="s">
        <v>6</v>
      </c>
      <c r="V93" s="76" t="s">
        <v>93</v>
      </c>
      <c r="W93" s="76" t="s">
        <v>93</v>
      </c>
      <c r="X93" s="76" t="s">
        <v>92</v>
      </c>
      <c r="Y93" s="76" t="s">
        <v>92</v>
      </c>
      <c r="Z93" s="76" t="s">
        <v>91</v>
      </c>
      <c r="AA93" s="76" t="s">
        <v>91</v>
      </c>
      <c r="AB93" s="76" t="s">
        <v>94</v>
      </c>
      <c r="AC93" s="76" t="s">
        <v>94</v>
      </c>
      <c r="AD93" s="96" t="s">
        <v>6</v>
      </c>
      <c r="AE93" s="76" t="s">
        <v>6</v>
      </c>
      <c r="AF93" s="76" t="s">
        <v>93</v>
      </c>
      <c r="AG93" s="77" t="s">
        <v>93</v>
      </c>
    </row>
    <row r="94" spans="1:33" ht="15.75" thickBot="1" x14ac:dyDescent="0.3">
      <c r="A94" s="112"/>
      <c r="B94" s="78" t="s">
        <v>742</v>
      </c>
      <c r="C94" s="79" t="s">
        <v>6</v>
      </c>
      <c r="D94" s="79" t="s">
        <v>93</v>
      </c>
      <c r="E94" s="79" t="s">
        <v>93</v>
      </c>
      <c r="F94" s="79" t="s">
        <v>92</v>
      </c>
      <c r="G94" s="79" t="s">
        <v>92</v>
      </c>
      <c r="H94" s="79" t="s">
        <v>91</v>
      </c>
      <c r="I94" s="79" t="s">
        <v>91</v>
      </c>
      <c r="J94" s="79" t="s">
        <v>94</v>
      </c>
      <c r="K94" s="79" t="s">
        <v>94</v>
      </c>
      <c r="L94" s="79" t="s">
        <v>6</v>
      </c>
      <c r="M94" s="79" t="s">
        <v>6</v>
      </c>
      <c r="N94" s="79" t="s">
        <v>93</v>
      </c>
      <c r="O94" s="79" t="s">
        <v>93</v>
      </c>
      <c r="P94" s="79" t="s">
        <v>92</v>
      </c>
      <c r="Q94" s="79" t="s">
        <v>92</v>
      </c>
      <c r="R94" s="79" t="s">
        <v>91</v>
      </c>
      <c r="S94" s="79" t="s">
        <v>91</v>
      </c>
      <c r="T94" s="79" t="s">
        <v>94</v>
      </c>
      <c r="U94" s="79" t="s">
        <v>94</v>
      </c>
      <c r="V94" s="79" t="s">
        <v>6</v>
      </c>
      <c r="W94" s="79" t="s">
        <v>6</v>
      </c>
      <c r="X94" s="79" t="s">
        <v>93</v>
      </c>
      <c r="Y94" s="79" t="s">
        <v>93</v>
      </c>
      <c r="Z94" s="79" t="s">
        <v>92</v>
      </c>
      <c r="AA94" s="79" t="s">
        <v>92</v>
      </c>
      <c r="AB94" s="79" t="s">
        <v>91</v>
      </c>
      <c r="AC94" s="79" t="s">
        <v>91</v>
      </c>
      <c r="AD94" s="97" t="s">
        <v>94</v>
      </c>
      <c r="AE94" s="79" t="s">
        <v>94</v>
      </c>
      <c r="AF94" s="79" t="s">
        <v>6</v>
      </c>
      <c r="AG94" s="80" t="s">
        <v>6</v>
      </c>
    </row>
    <row r="95" spans="1:33" x14ac:dyDescent="0.25">
      <c r="A95" s="112"/>
      <c r="B95" s="71" t="s">
        <v>744</v>
      </c>
      <c r="C95" s="72" t="s">
        <v>94</v>
      </c>
      <c r="D95" s="72" t="s">
        <v>6</v>
      </c>
      <c r="E95" s="72" t="s">
        <v>6</v>
      </c>
      <c r="F95" s="72" t="s">
        <v>93</v>
      </c>
      <c r="G95" s="72" t="s">
        <v>93</v>
      </c>
      <c r="H95" s="72" t="s">
        <v>92</v>
      </c>
      <c r="I95" s="72" t="s">
        <v>92</v>
      </c>
      <c r="J95" s="72" t="s">
        <v>91</v>
      </c>
      <c r="K95" s="72" t="s">
        <v>91</v>
      </c>
      <c r="L95" s="72" t="s">
        <v>94</v>
      </c>
      <c r="M95" s="72" t="s">
        <v>94</v>
      </c>
      <c r="N95" s="72" t="s">
        <v>6</v>
      </c>
      <c r="O95" s="72" t="s">
        <v>6</v>
      </c>
      <c r="P95" s="72" t="s">
        <v>93</v>
      </c>
      <c r="Q95" s="72" t="s">
        <v>93</v>
      </c>
      <c r="R95" s="72" t="s">
        <v>92</v>
      </c>
      <c r="S95" s="72" t="s">
        <v>92</v>
      </c>
      <c r="T95" s="72" t="s">
        <v>91</v>
      </c>
      <c r="U95" s="72" t="s">
        <v>91</v>
      </c>
      <c r="V95" s="72" t="s">
        <v>94</v>
      </c>
      <c r="W95" s="72" t="s">
        <v>94</v>
      </c>
      <c r="X95" s="72" t="s">
        <v>6</v>
      </c>
      <c r="Y95" s="72" t="s">
        <v>6</v>
      </c>
      <c r="Z95" s="72" t="s">
        <v>93</v>
      </c>
      <c r="AA95" s="72" t="s">
        <v>93</v>
      </c>
      <c r="AB95" s="72" t="s">
        <v>92</v>
      </c>
      <c r="AC95" s="72" t="s">
        <v>92</v>
      </c>
      <c r="AD95" s="95" t="s">
        <v>91</v>
      </c>
      <c r="AE95" s="72" t="s">
        <v>91</v>
      </c>
      <c r="AF95" s="72" t="s">
        <v>94</v>
      </c>
      <c r="AG95" s="73" t="s">
        <v>94</v>
      </c>
    </row>
    <row r="96" spans="1:33" ht="15.75" thickBot="1" x14ac:dyDescent="0.3">
      <c r="A96" s="113"/>
      <c r="B96" s="78" t="s">
        <v>744</v>
      </c>
      <c r="C96" s="79" t="s">
        <v>91</v>
      </c>
      <c r="D96" s="79" t="s">
        <v>94</v>
      </c>
      <c r="E96" s="79" t="s">
        <v>94</v>
      </c>
      <c r="F96" s="79" t="s">
        <v>6</v>
      </c>
      <c r="G96" s="79" t="s">
        <v>6</v>
      </c>
      <c r="H96" s="79" t="s">
        <v>93</v>
      </c>
      <c r="I96" s="79" t="s">
        <v>93</v>
      </c>
      <c r="J96" s="79" t="s">
        <v>92</v>
      </c>
      <c r="K96" s="79" t="s">
        <v>92</v>
      </c>
      <c r="L96" s="79" t="s">
        <v>91</v>
      </c>
      <c r="M96" s="79" t="s">
        <v>91</v>
      </c>
      <c r="N96" s="79" t="s">
        <v>94</v>
      </c>
      <c r="O96" s="79" t="s">
        <v>94</v>
      </c>
      <c r="P96" s="79" t="s">
        <v>6</v>
      </c>
      <c r="Q96" s="79" t="s">
        <v>6</v>
      </c>
      <c r="R96" s="79" t="s">
        <v>93</v>
      </c>
      <c r="S96" s="79" t="s">
        <v>93</v>
      </c>
      <c r="T96" s="79" t="s">
        <v>92</v>
      </c>
      <c r="U96" s="79" t="s">
        <v>92</v>
      </c>
      <c r="V96" s="79" t="s">
        <v>91</v>
      </c>
      <c r="W96" s="79" t="s">
        <v>91</v>
      </c>
      <c r="X96" s="79" t="s">
        <v>94</v>
      </c>
      <c r="Y96" s="79" t="s">
        <v>94</v>
      </c>
      <c r="Z96" s="79" t="s">
        <v>6</v>
      </c>
      <c r="AA96" s="79" t="s">
        <v>6</v>
      </c>
      <c r="AB96" s="79" t="s">
        <v>93</v>
      </c>
      <c r="AC96" s="79" t="s">
        <v>93</v>
      </c>
      <c r="AD96" s="97" t="s">
        <v>92</v>
      </c>
      <c r="AE96" s="79" t="s">
        <v>92</v>
      </c>
      <c r="AF96" s="79" t="s">
        <v>91</v>
      </c>
      <c r="AG96" s="80" t="s">
        <v>91</v>
      </c>
    </row>
  </sheetData>
  <mergeCells count="18">
    <mergeCell ref="A58:A64"/>
    <mergeCell ref="A66:A72"/>
    <mergeCell ref="A74:A80"/>
    <mergeCell ref="A82:A88"/>
    <mergeCell ref="A90:A96"/>
    <mergeCell ref="A50:A56"/>
    <mergeCell ref="A2:A8"/>
    <mergeCell ref="AI2:AK2"/>
    <mergeCell ref="AJ3:AK3"/>
    <mergeCell ref="AJ4:AK4"/>
    <mergeCell ref="AJ5:AK5"/>
    <mergeCell ref="AJ6:AK6"/>
    <mergeCell ref="AJ7:AK7"/>
    <mergeCell ref="A10:A16"/>
    <mergeCell ref="A18:A24"/>
    <mergeCell ref="A26:A32"/>
    <mergeCell ref="A34:A40"/>
    <mergeCell ref="A42:A48"/>
  </mergeCells>
  <conditionalFormatting sqref="C2:AG3 C10:AD11 C18:AG19 C26:AF27 C34:AG35 C42:AF43 C50:AG51 C58:AG59 C66:AF67 C74:AG75 C82:AF83 C90:AG91">
    <cfRule type="cellIs" dxfId="85" priority="84" stopIfTrue="1" operator="equal">
      <formula>"A"</formula>
    </cfRule>
  </conditionalFormatting>
  <conditionalFormatting sqref="C2:AG3 C10:AD11 C18:AG19 C26:AF27 C34:AG35 C42:AF43 C50:AG51 C58:AG59 C66:AF67 C74:AG75 C82:AF83 C90:AG91">
    <cfRule type="cellIs" dxfId="84" priority="85" stopIfTrue="1" operator="equal">
      <formula>"B"</formula>
    </cfRule>
  </conditionalFormatting>
  <conditionalFormatting sqref="C2:AG3 C10:AD11 C18:AG19 C26:AF27 C34:AG35 C42:AF43 C50:AG51 C58:AG59 C66:AF67 C74:AG75 C82:AF83 C90:AG91">
    <cfRule type="cellIs" dxfId="83" priority="83" stopIfTrue="1" operator="equal">
      <formula>"C"</formula>
    </cfRule>
  </conditionalFormatting>
  <conditionalFormatting sqref="C2:AG3 C10:AD11 C18:AG19 C26:AF27 C34:AG35 C42:AF43 C50:AG51 C58:AG59 C66:AF67 C74:AG75 C82:AF83 C90:AG91">
    <cfRule type="cellIs" dxfId="82" priority="82" stopIfTrue="1" operator="equal">
      <formula>"D"</formula>
    </cfRule>
  </conditionalFormatting>
  <conditionalFormatting sqref="C2:AG3 C10:AD11 C18:AG19 C26:AF27 C34:AG35 C42:AF43 C50:AG51 C58:AG59 C66:AF67 C74:AG75 C82:AF83 C90:AG91">
    <cfRule type="cellIs" dxfId="81" priority="86" stopIfTrue="1" operator="equal">
      <formula>"E"</formula>
    </cfRule>
  </conditionalFormatting>
  <conditionalFormatting sqref="C4:AG4">
    <cfRule type="cellIs" dxfId="80" priority="81" operator="equal">
      <formula>"A"</formula>
    </cfRule>
  </conditionalFormatting>
  <conditionalFormatting sqref="C4:AG4">
    <cfRule type="cellIs" dxfId="79" priority="80" operator="equal">
      <formula>"B"</formula>
    </cfRule>
  </conditionalFormatting>
  <conditionalFormatting sqref="C4:AG4">
    <cfRule type="cellIs" dxfId="78" priority="79" operator="equal">
      <formula>"C"</formula>
    </cfRule>
  </conditionalFormatting>
  <conditionalFormatting sqref="C4:AG4">
    <cfRule type="cellIs" dxfId="77" priority="78" operator="equal">
      <formula>"D"</formula>
    </cfRule>
  </conditionalFormatting>
  <conditionalFormatting sqref="AI3">
    <cfRule type="cellIs" dxfId="76" priority="77" operator="equal">
      <formula>"A"</formula>
    </cfRule>
  </conditionalFormatting>
  <conditionalFormatting sqref="AI3">
    <cfRule type="cellIs" dxfId="75" priority="76" operator="equal">
      <formula>"B"</formula>
    </cfRule>
  </conditionalFormatting>
  <conditionalFormatting sqref="AI3">
    <cfRule type="cellIs" dxfId="74" priority="75" operator="equal">
      <formula>"C"</formula>
    </cfRule>
  </conditionalFormatting>
  <conditionalFormatting sqref="AI3">
    <cfRule type="cellIs" dxfId="73" priority="74" operator="equal">
      <formula>"D"</formula>
    </cfRule>
  </conditionalFormatting>
  <conditionalFormatting sqref="AI4">
    <cfRule type="cellIs" dxfId="72" priority="73" operator="equal">
      <formula>"A"</formula>
    </cfRule>
  </conditionalFormatting>
  <conditionalFormatting sqref="AI4">
    <cfRule type="cellIs" dxfId="71" priority="72" operator="equal">
      <formula>"B"</formula>
    </cfRule>
  </conditionalFormatting>
  <conditionalFormatting sqref="AI4">
    <cfRule type="cellIs" dxfId="70" priority="71" operator="equal">
      <formula>"C"</formula>
    </cfRule>
  </conditionalFormatting>
  <conditionalFormatting sqref="AI4">
    <cfRule type="cellIs" dxfId="69" priority="70" operator="equal">
      <formula>"D"</formula>
    </cfRule>
  </conditionalFormatting>
  <conditionalFormatting sqref="AI5">
    <cfRule type="cellIs" dxfId="68" priority="69" operator="equal">
      <formula>"A"</formula>
    </cfRule>
  </conditionalFormatting>
  <conditionalFormatting sqref="AI5">
    <cfRule type="cellIs" dxfId="67" priority="68" operator="equal">
      <formula>"B"</formula>
    </cfRule>
  </conditionalFormatting>
  <conditionalFormatting sqref="AI5">
    <cfRule type="cellIs" dxfId="66" priority="67" operator="equal">
      <formula>"C"</formula>
    </cfRule>
  </conditionalFormatting>
  <conditionalFormatting sqref="AI5">
    <cfRule type="cellIs" dxfId="65" priority="66" operator="equal">
      <formula>"D"</formula>
    </cfRule>
  </conditionalFormatting>
  <conditionalFormatting sqref="AI6">
    <cfRule type="cellIs" dxfId="64" priority="65" operator="equal">
      <formula>"A"</formula>
    </cfRule>
  </conditionalFormatting>
  <conditionalFormatting sqref="AI6">
    <cfRule type="cellIs" dxfId="63" priority="64" operator="equal">
      <formula>"B"</formula>
    </cfRule>
  </conditionalFormatting>
  <conditionalFormatting sqref="AI6">
    <cfRule type="cellIs" dxfId="62" priority="63" operator="equal">
      <formula>"C"</formula>
    </cfRule>
  </conditionalFormatting>
  <conditionalFormatting sqref="AI6">
    <cfRule type="cellIs" dxfId="61" priority="62" operator="equal">
      <formula>"D"</formula>
    </cfRule>
  </conditionalFormatting>
  <conditionalFormatting sqref="C4:AG4">
    <cfRule type="cellIs" dxfId="60" priority="61" operator="equal">
      <formula>"E"</formula>
    </cfRule>
  </conditionalFormatting>
  <conditionalFormatting sqref="C5:AG8">
    <cfRule type="cellIs" dxfId="59" priority="60" operator="equal">
      <formula>"A"</formula>
    </cfRule>
  </conditionalFormatting>
  <conditionalFormatting sqref="C5:AG8">
    <cfRule type="cellIs" dxfId="58" priority="59" operator="equal">
      <formula>"B"</formula>
    </cfRule>
  </conditionalFormatting>
  <conditionalFormatting sqref="C5:AG8">
    <cfRule type="cellIs" dxfId="57" priority="58" operator="equal">
      <formula>"C"</formula>
    </cfRule>
  </conditionalFormatting>
  <conditionalFormatting sqref="C5:AG8">
    <cfRule type="cellIs" dxfId="56" priority="57" operator="equal">
      <formula>"D"</formula>
    </cfRule>
  </conditionalFormatting>
  <conditionalFormatting sqref="C5:AG8">
    <cfRule type="cellIs" dxfId="55" priority="56" operator="equal">
      <formula>"E"</formula>
    </cfRule>
  </conditionalFormatting>
  <conditionalFormatting sqref="C12:AD16">
    <cfRule type="cellIs" dxfId="54" priority="55" operator="equal">
      <formula>"A"</formula>
    </cfRule>
  </conditionalFormatting>
  <conditionalFormatting sqref="C12:AD16">
    <cfRule type="cellIs" dxfId="53" priority="54" operator="equal">
      <formula>"B"</formula>
    </cfRule>
  </conditionalFormatting>
  <conditionalFormatting sqref="C12:AD16">
    <cfRule type="cellIs" dxfId="52" priority="53" operator="equal">
      <formula>"C"</formula>
    </cfRule>
  </conditionalFormatting>
  <conditionalFormatting sqref="C12:AD16">
    <cfRule type="cellIs" dxfId="51" priority="52" operator="equal">
      <formula>"D"</formula>
    </cfRule>
  </conditionalFormatting>
  <conditionalFormatting sqref="C12:AD16">
    <cfRule type="cellIs" dxfId="50" priority="51" operator="equal">
      <formula>"E"</formula>
    </cfRule>
  </conditionalFormatting>
  <conditionalFormatting sqref="C20:AG24">
    <cfRule type="cellIs" dxfId="49" priority="50" operator="equal">
      <formula>"A"</formula>
    </cfRule>
  </conditionalFormatting>
  <conditionalFormatting sqref="C20:AG24">
    <cfRule type="cellIs" dxfId="48" priority="49" operator="equal">
      <formula>"B"</formula>
    </cfRule>
  </conditionalFormatting>
  <conditionalFormatting sqref="C20:AG24">
    <cfRule type="cellIs" dxfId="47" priority="48" operator="equal">
      <formula>"C"</formula>
    </cfRule>
  </conditionalFormatting>
  <conditionalFormatting sqref="C20:AG24">
    <cfRule type="cellIs" dxfId="46" priority="47" operator="equal">
      <formula>"D"</formula>
    </cfRule>
  </conditionalFormatting>
  <conditionalFormatting sqref="C20:AG24">
    <cfRule type="cellIs" dxfId="45" priority="46" operator="equal">
      <formula>"E"</formula>
    </cfRule>
  </conditionalFormatting>
  <conditionalFormatting sqref="C28:AF32">
    <cfRule type="cellIs" dxfId="44" priority="45" operator="equal">
      <formula>"A"</formula>
    </cfRule>
  </conditionalFormatting>
  <conditionalFormatting sqref="C28:AF32">
    <cfRule type="cellIs" dxfId="43" priority="44" operator="equal">
      <formula>"B"</formula>
    </cfRule>
  </conditionalFormatting>
  <conditionalFormatting sqref="C28:AF32">
    <cfRule type="cellIs" dxfId="42" priority="43" operator="equal">
      <formula>"C"</formula>
    </cfRule>
  </conditionalFormatting>
  <conditionalFormatting sqref="C28:AF32">
    <cfRule type="cellIs" dxfId="41" priority="42" operator="equal">
      <formula>"D"</formula>
    </cfRule>
  </conditionalFormatting>
  <conditionalFormatting sqref="C28:AF32">
    <cfRule type="cellIs" dxfId="40" priority="41" operator="equal">
      <formula>"E"</formula>
    </cfRule>
  </conditionalFormatting>
  <conditionalFormatting sqref="C36:AG40">
    <cfRule type="cellIs" dxfId="39" priority="40" operator="equal">
      <formula>"A"</formula>
    </cfRule>
  </conditionalFormatting>
  <conditionalFormatting sqref="C36:AG40">
    <cfRule type="cellIs" dxfId="38" priority="39" operator="equal">
      <formula>"B"</formula>
    </cfRule>
  </conditionalFormatting>
  <conditionalFormatting sqref="C36:AG40">
    <cfRule type="cellIs" dxfId="37" priority="38" operator="equal">
      <formula>"C"</formula>
    </cfRule>
  </conditionalFormatting>
  <conditionalFormatting sqref="C36:AG40">
    <cfRule type="cellIs" dxfId="36" priority="37" operator="equal">
      <formula>"D"</formula>
    </cfRule>
  </conditionalFormatting>
  <conditionalFormatting sqref="C36:AG40">
    <cfRule type="cellIs" dxfId="35" priority="36" operator="equal">
      <formula>"E"</formula>
    </cfRule>
  </conditionalFormatting>
  <conditionalFormatting sqref="C44:AF48">
    <cfRule type="cellIs" dxfId="34" priority="35" operator="equal">
      <formula>"A"</formula>
    </cfRule>
  </conditionalFormatting>
  <conditionalFormatting sqref="C44:AF48">
    <cfRule type="cellIs" dxfId="33" priority="34" operator="equal">
      <formula>"B"</formula>
    </cfRule>
  </conditionalFormatting>
  <conditionalFormatting sqref="C44:AF48">
    <cfRule type="cellIs" dxfId="32" priority="33" operator="equal">
      <formula>"C"</formula>
    </cfRule>
  </conditionalFormatting>
  <conditionalFormatting sqref="C44:AF48">
    <cfRule type="cellIs" dxfId="31" priority="32" operator="equal">
      <formula>"D"</formula>
    </cfRule>
  </conditionalFormatting>
  <conditionalFormatting sqref="C44:AF48">
    <cfRule type="cellIs" dxfId="30" priority="31" operator="equal">
      <formula>"E"</formula>
    </cfRule>
  </conditionalFormatting>
  <conditionalFormatting sqref="C52:AG56">
    <cfRule type="cellIs" dxfId="29" priority="30" operator="equal">
      <formula>"A"</formula>
    </cfRule>
  </conditionalFormatting>
  <conditionalFormatting sqref="C52:AG56">
    <cfRule type="cellIs" dxfId="28" priority="29" operator="equal">
      <formula>"B"</formula>
    </cfRule>
  </conditionalFormatting>
  <conditionalFormatting sqref="C52:AG56">
    <cfRule type="cellIs" dxfId="27" priority="28" operator="equal">
      <formula>"C"</formula>
    </cfRule>
  </conditionalFormatting>
  <conditionalFormatting sqref="C52:AG56">
    <cfRule type="cellIs" dxfId="26" priority="27" operator="equal">
      <formula>"D"</formula>
    </cfRule>
  </conditionalFormatting>
  <conditionalFormatting sqref="C52:AG56">
    <cfRule type="cellIs" dxfId="25" priority="26" operator="equal">
      <formula>"E"</formula>
    </cfRule>
  </conditionalFormatting>
  <conditionalFormatting sqref="C60:AG64">
    <cfRule type="cellIs" dxfId="24" priority="25" operator="equal">
      <formula>"A"</formula>
    </cfRule>
  </conditionalFormatting>
  <conditionalFormatting sqref="C60:AG64">
    <cfRule type="cellIs" dxfId="23" priority="24" operator="equal">
      <formula>"B"</formula>
    </cfRule>
  </conditionalFormatting>
  <conditionalFormatting sqref="C60:AG64">
    <cfRule type="cellIs" dxfId="22" priority="23" operator="equal">
      <formula>"C"</formula>
    </cfRule>
  </conditionalFormatting>
  <conditionalFormatting sqref="C60:AG64">
    <cfRule type="cellIs" dxfId="21" priority="22" operator="equal">
      <formula>"D"</formula>
    </cfRule>
  </conditionalFormatting>
  <conditionalFormatting sqref="C60:AG64">
    <cfRule type="cellIs" dxfId="20" priority="21" operator="equal">
      <formula>"E"</formula>
    </cfRule>
  </conditionalFormatting>
  <conditionalFormatting sqref="C68:AF72">
    <cfRule type="cellIs" dxfId="19" priority="20" operator="equal">
      <formula>"A"</formula>
    </cfRule>
  </conditionalFormatting>
  <conditionalFormatting sqref="C68:AF72">
    <cfRule type="cellIs" dxfId="18" priority="19" operator="equal">
      <formula>"B"</formula>
    </cfRule>
  </conditionalFormatting>
  <conditionalFormatting sqref="C68:AF72">
    <cfRule type="cellIs" dxfId="17" priority="18" operator="equal">
      <formula>"C"</formula>
    </cfRule>
  </conditionalFormatting>
  <conditionalFormatting sqref="C68:AF72">
    <cfRule type="cellIs" dxfId="16" priority="17" operator="equal">
      <formula>"D"</formula>
    </cfRule>
  </conditionalFormatting>
  <conditionalFormatting sqref="C68:AF72">
    <cfRule type="cellIs" dxfId="15" priority="16" operator="equal">
      <formula>"E"</formula>
    </cfRule>
  </conditionalFormatting>
  <conditionalFormatting sqref="C76:AG80">
    <cfRule type="cellIs" dxfId="14" priority="15" operator="equal">
      <formula>"A"</formula>
    </cfRule>
  </conditionalFormatting>
  <conditionalFormatting sqref="C76:AG80">
    <cfRule type="cellIs" dxfId="13" priority="14" operator="equal">
      <formula>"B"</formula>
    </cfRule>
  </conditionalFormatting>
  <conditionalFormatting sqref="C76:AG80">
    <cfRule type="cellIs" dxfId="12" priority="13" operator="equal">
      <formula>"C"</formula>
    </cfRule>
  </conditionalFormatting>
  <conditionalFormatting sqref="C76:AG80">
    <cfRule type="cellIs" dxfId="11" priority="12" operator="equal">
      <formula>"D"</formula>
    </cfRule>
  </conditionalFormatting>
  <conditionalFormatting sqref="C76:AG80">
    <cfRule type="cellIs" dxfId="10" priority="11" operator="equal">
      <formula>"E"</formula>
    </cfRule>
  </conditionalFormatting>
  <conditionalFormatting sqref="C84:AF88">
    <cfRule type="cellIs" dxfId="9" priority="10" operator="equal">
      <formula>"A"</formula>
    </cfRule>
  </conditionalFormatting>
  <conditionalFormatting sqref="C84:AF88">
    <cfRule type="cellIs" dxfId="8" priority="9" operator="equal">
      <formula>"B"</formula>
    </cfRule>
  </conditionalFormatting>
  <conditionalFormatting sqref="C84:AF88">
    <cfRule type="cellIs" dxfId="7" priority="8" operator="equal">
      <formula>"C"</formula>
    </cfRule>
  </conditionalFormatting>
  <conditionalFormatting sqref="C84:AF88">
    <cfRule type="cellIs" dxfId="6" priority="7" operator="equal">
      <formula>"D"</formula>
    </cfRule>
  </conditionalFormatting>
  <conditionalFormatting sqref="C84:AF88">
    <cfRule type="cellIs" dxfId="5" priority="6" operator="equal">
      <formula>"E"</formula>
    </cfRule>
  </conditionalFormatting>
  <conditionalFormatting sqref="C92:AG96">
    <cfRule type="cellIs" dxfId="4" priority="5" operator="equal">
      <formula>"A"</formula>
    </cfRule>
  </conditionalFormatting>
  <conditionalFormatting sqref="C92:AG96">
    <cfRule type="cellIs" dxfId="3" priority="4" operator="equal">
      <formula>"B"</formula>
    </cfRule>
  </conditionalFormatting>
  <conditionalFormatting sqref="C92:AG96">
    <cfRule type="cellIs" dxfId="2" priority="3" operator="equal">
      <formula>"C"</formula>
    </cfRule>
  </conditionalFormatting>
  <conditionalFormatting sqref="C92:AG96">
    <cfRule type="cellIs" dxfId="1" priority="2" operator="equal">
      <formula>"D"</formula>
    </cfRule>
  </conditionalFormatting>
  <conditionalFormatting sqref="C92:AG96">
    <cfRule type="cellIs" dxfId="0" priority="1" operator="equal">
      <formula>"E"</formula>
    </cfRule>
  </conditionalFormatting>
  <pageMargins left="0.511811024" right="0.511811024" top="0.78740157499999996" bottom="0.78740157499999996" header="0.31496062000000002" footer="0.31496062000000002"/>
  <pageSetup paperSize="9" scale="5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F6475-FBF0-427B-99AF-1DED9156D457}">
  <dimension ref="A1:A11"/>
  <sheetViews>
    <sheetView workbookViewId="0">
      <selection activeCell="A38" sqref="A38"/>
    </sheetView>
  </sheetViews>
  <sheetFormatPr defaultRowHeight="15" x14ac:dyDescent="0.25"/>
  <cols>
    <col min="1" max="1" width="38.7109375" bestFit="1" customWidth="1"/>
  </cols>
  <sheetData>
    <row r="1" spans="1:1" x14ac:dyDescent="0.25">
      <c r="A1" s="51" t="s">
        <v>576</v>
      </c>
    </row>
    <row r="2" spans="1:1" x14ac:dyDescent="0.25">
      <c r="A2" s="51" t="s">
        <v>59</v>
      </c>
    </row>
    <row r="3" spans="1:1" x14ac:dyDescent="0.25">
      <c r="A3" s="52" t="s">
        <v>577</v>
      </c>
    </row>
    <row r="4" spans="1:1" x14ac:dyDescent="0.25">
      <c r="A4" s="49" t="s">
        <v>11</v>
      </c>
    </row>
    <row r="5" spans="1:1" x14ac:dyDescent="0.25">
      <c r="A5" s="49" t="s">
        <v>67</v>
      </c>
    </row>
    <row r="6" spans="1:1" x14ac:dyDescent="0.25">
      <c r="A6" s="53" t="s">
        <v>578</v>
      </c>
    </row>
    <row r="7" spans="1:1" x14ac:dyDescent="0.25">
      <c r="A7" s="52" t="s">
        <v>579</v>
      </c>
    </row>
    <row r="8" spans="1:1" x14ac:dyDescent="0.25">
      <c r="A8" s="54" t="s">
        <v>580</v>
      </c>
    </row>
    <row r="9" spans="1:1" x14ac:dyDescent="0.25">
      <c r="A9" t="s">
        <v>581</v>
      </c>
    </row>
    <row r="10" spans="1:1" x14ac:dyDescent="0.25">
      <c r="A10" t="s">
        <v>582</v>
      </c>
    </row>
    <row r="11" spans="1:1" x14ac:dyDescent="0.25">
      <c r="A11" s="48" t="s">
        <v>86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2159-F250-40A2-BDC6-D8D1D3682C6A}">
  <dimension ref="A1:F32"/>
  <sheetViews>
    <sheetView zoomScale="80" zoomScaleNormal="80" workbookViewId="0">
      <pane xSplit="5" ySplit="3" topLeftCell="F13" activePane="bottomRight" state="frozen"/>
      <selection pane="topRight" activeCell="F1" sqref="F1"/>
      <selection pane="bottomLeft" activeCell="A4" sqref="A4"/>
      <selection pane="bottomRight" activeCell="D4" sqref="D4"/>
    </sheetView>
  </sheetViews>
  <sheetFormatPr defaultRowHeight="15" x14ac:dyDescent="0.25"/>
  <cols>
    <col min="1" max="1" width="17.140625" customWidth="1"/>
    <col min="2" max="2" width="39.42578125" customWidth="1"/>
    <col min="3" max="3" width="40.85546875" customWidth="1"/>
    <col min="4" max="5" width="43.7109375" customWidth="1"/>
    <col min="6" max="6" width="39.42578125" customWidth="1"/>
  </cols>
  <sheetData>
    <row r="1" spans="1:6" ht="120" customHeight="1" x14ac:dyDescent="0.25">
      <c r="A1" s="31" t="s">
        <v>256</v>
      </c>
      <c r="B1" s="16" t="s">
        <v>257</v>
      </c>
      <c r="C1" s="16" t="s">
        <v>258</v>
      </c>
      <c r="D1" s="16" t="s">
        <v>259</v>
      </c>
      <c r="E1" s="16" t="s">
        <v>260</v>
      </c>
      <c r="F1" s="16" t="s">
        <v>261</v>
      </c>
    </row>
    <row r="2" spans="1:6" ht="43.5" customHeight="1" x14ac:dyDescent="0.25">
      <c r="A2" s="128" t="s">
        <v>262</v>
      </c>
      <c r="B2" s="17" t="s">
        <v>263</v>
      </c>
      <c r="C2" s="17" t="s">
        <v>264</v>
      </c>
      <c r="D2" s="17" t="s">
        <v>265</v>
      </c>
      <c r="E2" s="17" t="s">
        <v>266</v>
      </c>
      <c r="F2" s="17" t="s">
        <v>267</v>
      </c>
    </row>
    <row r="3" spans="1:6" ht="33.75" customHeight="1" x14ac:dyDescent="0.25">
      <c r="A3" s="128"/>
      <c r="B3" s="16" t="s">
        <v>268</v>
      </c>
      <c r="C3" s="16" t="s">
        <v>269</v>
      </c>
      <c r="D3" s="16" t="s">
        <v>689</v>
      </c>
      <c r="E3" s="18" t="s">
        <v>270</v>
      </c>
      <c r="F3" s="16" t="s">
        <v>271</v>
      </c>
    </row>
    <row r="4" spans="1:6" ht="31.5" customHeight="1" x14ac:dyDescent="0.25">
      <c r="A4" s="16" t="s">
        <v>272</v>
      </c>
      <c r="B4" s="16" t="s">
        <v>273</v>
      </c>
      <c r="C4" s="16" t="s">
        <v>274</v>
      </c>
      <c r="D4" s="16" t="s">
        <v>275</v>
      </c>
      <c r="E4" s="16" t="s">
        <v>276</v>
      </c>
      <c r="F4" s="16" t="s">
        <v>277</v>
      </c>
    </row>
    <row r="5" spans="1:6" ht="28.5" customHeight="1" x14ac:dyDescent="0.25">
      <c r="A5" s="129" t="s">
        <v>278</v>
      </c>
      <c r="B5" s="24" t="s">
        <v>388</v>
      </c>
      <c r="C5" s="20" t="s">
        <v>381</v>
      </c>
      <c r="D5" s="21" t="s">
        <v>369</v>
      </c>
      <c r="E5" s="22" t="s">
        <v>364</v>
      </c>
      <c r="F5" s="20" t="s">
        <v>363</v>
      </c>
    </row>
    <row r="6" spans="1:6" ht="28.5" customHeight="1" x14ac:dyDescent="0.25">
      <c r="A6" s="129"/>
      <c r="B6" s="22" t="s">
        <v>387</v>
      </c>
      <c r="C6" s="21" t="s">
        <v>380</v>
      </c>
      <c r="D6" s="21" t="s">
        <v>370</v>
      </c>
      <c r="E6" s="20" t="s">
        <v>365</v>
      </c>
      <c r="F6" s="21" t="s">
        <v>362</v>
      </c>
    </row>
    <row r="7" spans="1:6" ht="28.5" customHeight="1" x14ac:dyDescent="0.25">
      <c r="A7" s="129"/>
      <c r="B7" s="22" t="s">
        <v>386</v>
      </c>
      <c r="C7" s="23" t="s">
        <v>379</v>
      </c>
      <c r="D7" s="21" t="s">
        <v>371</v>
      </c>
      <c r="E7" s="21" t="s">
        <v>366</v>
      </c>
      <c r="F7" s="21" t="s">
        <v>361</v>
      </c>
    </row>
    <row r="8" spans="1:6" ht="28.5" customHeight="1" x14ac:dyDescent="0.25">
      <c r="A8" s="129"/>
      <c r="B8" s="22" t="s">
        <v>385</v>
      </c>
      <c r="C8" s="21" t="s">
        <v>279</v>
      </c>
      <c r="D8" s="21" t="s">
        <v>372</v>
      </c>
      <c r="E8" s="21" t="s">
        <v>280</v>
      </c>
      <c r="F8" s="23" t="s">
        <v>360</v>
      </c>
    </row>
    <row r="9" spans="1:6" ht="28.5" customHeight="1" x14ac:dyDescent="0.25">
      <c r="A9" s="129"/>
      <c r="B9" s="22" t="s">
        <v>384</v>
      </c>
      <c r="C9" s="21" t="s">
        <v>281</v>
      </c>
      <c r="D9" s="23" t="s">
        <v>373</v>
      </c>
      <c r="E9" s="21" t="s">
        <v>282</v>
      </c>
      <c r="F9" s="21" t="s">
        <v>359</v>
      </c>
    </row>
    <row r="10" spans="1:6" ht="28.5" customHeight="1" x14ac:dyDescent="0.25">
      <c r="A10" s="129"/>
      <c r="B10" s="32" t="s">
        <v>331</v>
      </c>
      <c r="C10" s="21" t="s">
        <v>378</v>
      </c>
      <c r="D10" s="23" t="s">
        <v>374</v>
      </c>
      <c r="E10" s="21" t="s">
        <v>367</v>
      </c>
      <c r="F10" s="23" t="s">
        <v>283</v>
      </c>
    </row>
    <row r="11" spans="1:6" ht="28.5" customHeight="1" x14ac:dyDescent="0.25">
      <c r="A11" s="129"/>
      <c r="B11" s="24" t="s">
        <v>383</v>
      </c>
      <c r="C11" s="21" t="s">
        <v>377</v>
      </c>
      <c r="D11" s="23" t="s">
        <v>284</v>
      </c>
      <c r="E11" s="23" t="s">
        <v>285</v>
      </c>
      <c r="F11" s="24" t="s">
        <v>358</v>
      </c>
    </row>
    <row r="12" spans="1:6" ht="28.5" customHeight="1" x14ac:dyDescent="0.25">
      <c r="A12" s="129"/>
      <c r="B12" s="22" t="s">
        <v>332</v>
      </c>
      <c r="C12" s="23" t="s">
        <v>376</v>
      </c>
      <c r="D12" s="25" t="s">
        <v>286</v>
      </c>
      <c r="E12" s="23" t="s">
        <v>368</v>
      </c>
      <c r="F12" s="23" t="s">
        <v>287</v>
      </c>
    </row>
    <row r="13" spans="1:6" ht="28.5" customHeight="1" x14ac:dyDescent="0.25">
      <c r="A13" s="129"/>
      <c r="B13" s="24" t="s">
        <v>333</v>
      </c>
      <c r="C13" s="23" t="s">
        <v>375</v>
      </c>
      <c r="D13" s="23" t="s">
        <v>288</v>
      </c>
      <c r="E13" s="26" t="s">
        <v>289</v>
      </c>
      <c r="F13" s="23" t="s">
        <v>290</v>
      </c>
    </row>
    <row r="14" spans="1:6" ht="28.5" customHeight="1" x14ac:dyDescent="0.25">
      <c r="A14" s="129"/>
      <c r="B14" s="24" t="s">
        <v>382</v>
      </c>
      <c r="C14" s="23" t="s">
        <v>291</v>
      </c>
      <c r="D14" s="23" t="s">
        <v>345</v>
      </c>
      <c r="E14" s="23" t="s">
        <v>344</v>
      </c>
      <c r="F14" s="26" t="s">
        <v>292</v>
      </c>
    </row>
    <row r="15" spans="1:6" ht="28.5" customHeight="1" x14ac:dyDescent="0.25">
      <c r="A15" s="129"/>
      <c r="B15" s="23"/>
      <c r="C15" s="23" t="s">
        <v>346</v>
      </c>
      <c r="D15" s="23"/>
      <c r="E15" s="23"/>
      <c r="F15" s="21" t="s">
        <v>293</v>
      </c>
    </row>
    <row r="16" spans="1:6" ht="28.5" customHeight="1" x14ac:dyDescent="0.25">
      <c r="A16" s="27" t="s">
        <v>294</v>
      </c>
      <c r="B16" s="16"/>
      <c r="C16" s="28"/>
      <c r="D16" s="28"/>
      <c r="E16" s="28"/>
      <c r="F16" s="28"/>
    </row>
    <row r="17" spans="1:6" ht="28.5" customHeight="1" x14ac:dyDescent="0.25">
      <c r="A17" s="130" t="s">
        <v>295</v>
      </c>
      <c r="B17" s="19" t="s">
        <v>336</v>
      </c>
      <c r="C17" s="19" t="s">
        <v>337</v>
      </c>
      <c r="D17" s="23" t="s">
        <v>321</v>
      </c>
      <c r="E17" s="23" t="s">
        <v>334</v>
      </c>
      <c r="F17" s="19" t="s">
        <v>296</v>
      </c>
    </row>
    <row r="18" spans="1:6" ht="28.5" customHeight="1" x14ac:dyDescent="0.25">
      <c r="A18" s="130"/>
      <c r="B18" s="19" t="s">
        <v>335</v>
      </c>
      <c r="C18" s="19" t="s">
        <v>320</v>
      </c>
      <c r="D18" s="25" t="s">
        <v>297</v>
      </c>
      <c r="E18" s="19" t="s">
        <v>298</v>
      </c>
      <c r="F18" s="19" t="s">
        <v>299</v>
      </c>
    </row>
    <row r="19" spans="1:6" ht="28.5" customHeight="1" x14ac:dyDescent="0.25">
      <c r="A19" s="130"/>
      <c r="B19" s="23" t="s">
        <v>300</v>
      </c>
      <c r="C19" s="19" t="s">
        <v>338</v>
      </c>
      <c r="D19" s="23" t="s">
        <v>340</v>
      </c>
      <c r="E19" s="19" t="s">
        <v>343</v>
      </c>
      <c r="F19" s="19" t="s">
        <v>301</v>
      </c>
    </row>
    <row r="20" spans="1:6" ht="28.5" customHeight="1" x14ac:dyDescent="0.25">
      <c r="A20" s="130"/>
      <c r="B20" s="23" t="s">
        <v>302</v>
      </c>
      <c r="C20" s="23" t="s">
        <v>339</v>
      </c>
      <c r="D20" s="23" t="s">
        <v>341</v>
      </c>
      <c r="E20" s="19" t="s">
        <v>342</v>
      </c>
      <c r="F20" s="19" t="s">
        <v>303</v>
      </c>
    </row>
    <row r="21" spans="1:6" ht="28.5" customHeight="1" x14ac:dyDescent="0.25">
      <c r="A21" s="27" t="s">
        <v>294</v>
      </c>
      <c r="B21" s="16"/>
      <c r="C21" s="33" t="s">
        <v>322</v>
      </c>
      <c r="D21" s="16"/>
      <c r="E21" s="16" t="s">
        <v>322</v>
      </c>
      <c r="F21" s="16" t="s">
        <v>323</v>
      </c>
    </row>
    <row r="22" spans="1:6" ht="28.5" customHeight="1" x14ac:dyDescent="0.25">
      <c r="A22" s="130" t="s">
        <v>304</v>
      </c>
      <c r="B22" s="23" t="s">
        <v>305</v>
      </c>
      <c r="C22" s="24" t="s">
        <v>306</v>
      </c>
      <c r="D22" s="23" t="s">
        <v>325</v>
      </c>
      <c r="E22" s="23" t="s">
        <v>307</v>
      </c>
      <c r="F22" s="23" t="s">
        <v>357</v>
      </c>
    </row>
    <row r="23" spans="1:6" ht="28.5" customHeight="1" x14ac:dyDescent="0.25">
      <c r="A23" s="130"/>
      <c r="B23" s="23" t="s">
        <v>348</v>
      </c>
      <c r="C23" s="23" t="s">
        <v>349</v>
      </c>
      <c r="D23" s="23" t="s">
        <v>308</v>
      </c>
      <c r="E23" s="24" t="s">
        <v>309</v>
      </c>
      <c r="F23" s="23" t="s">
        <v>330</v>
      </c>
    </row>
    <row r="24" spans="1:6" ht="28.5" customHeight="1" x14ac:dyDescent="0.25">
      <c r="A24" s="130"/>
      <c r="B24" s="23" t="s">
        <v>347</v>
      </c>
      <c r="C24" s="24" t="s">
        <v>310</v>
      </c>
      <c r="D24" s="23" t="s">
        <v>326</v>
      </c>
      <c r="E24" s="23" t="s">
        <v>311</v>
      </c>
      <c r="F24" s="23" t="s">
        <v>313</v>
      </c>
    </row>
    <row r="25" spans="1:6" ht="28.5" customHeight="1" x14ac:dyDescent="0.25">
      <c r="A25" s="130"/>
      <c r="B25" s="23" t="s">
        <v>314</v>
      </c>
      <c r="C25" s="24" t="s">
        <v>350</v>
      </c>
      <c r="D25" s="23" t="s">
        <v>312</v>
      </c>
      <c r="E25" s="24" t="s">
        <v>327</v>
      </c>
      <c r="F25" s="23" t="s">
        <v>315</v>
      </c>
    </row>
    <row r="26" spans="1:6" ht="28.5" customHeight="1" x14ac:dyDescent="0.25">
      <c r="A26" s="130"/>
      <c r="B26" s="23" t="s">
        <v>317</v>
      </c>
      <c r="C26" s="23" t="s">
        <v>351</v>
      </c>
      <c r="D26" s="24" t="s">
        <v>355</v>
      </c>
      <c r="E26" s="23" t="s">
        <v>356</v>
      </c>
      <c r="F26" s="23" t="s">
        <v>316</v>
      </c>
    </row>
    <row r="27" spans="1:6" ht="28.5" customHeight="1" x14ac:dyDescent="0.25">
      <c r="A27" s="130"/>
      <c r="B27" s="34"/>
      <c r="C27" s="25" t="s">
        <v>352</v>
      </c>
      <c r="D27" s="23" t="s">
        <v>318</v>
      </c>
      <c r="E27" s="29" t="s">
        <v>328</v>
      </c>
      <c r="F27" s="30" t="s">
        <v>319</v>
      </c>
    </row>
    <row r="28" spans="1:6" ht="28.5" customHeight="1" x14ac:dyDescent="0.25">
      <c r="A28" s="130"/>
      <c r="B28" s="34"/>
      <c r="C28" s="23" t="s">
        <v>353</v>
      </c>
      <c r="D28" s="34"/>
      <c r="E28" s="23" t="s">
        <v>329</v>
      </c>
      <c r="F28" s="45"/>
    </row>
    <row r="29" spans="1:6" ht="28.5" customHeight="1" x14ac:dyDescent="0.25">
      <c r="A29" s="130"/>
      <c r="B29" s="34"/>
      <c r="C29" s="24" t="s">
        <v>354</v>
      </c>
      <c r="D29" s="34"/>
      <c r="E29" s="34"/>
      <c r="F29" s="45"/>
    </row>
    <row r="30" spans="1:6" ht="28.5" customHeight="1" x14ac:dyDescent="0.25">
      <c r="A30" s="130"/>
      <c r="B30" s="34"/>
      <c r="C30" s="24" t="s">
        <v>324</v>
      </c>
      <c r="D30" s="34"/>
      <c r="E30" s="34"/>
      <c r="F30" s="45"/>
    </row>
    <row r="31" spans="1:6" ht="28.5" customHeight="1" x14ac:dyDescent="0.25">
      <c r="A31" s="130"/>
      <c r="B31" s="34"/>
      <c r="C31" s="34"/>
      <c r="D31" s="34"/>
      <c r="E31" s="34"/>
      <c r="F31" s="34"/>
    </row>
    <row r="32" spans="1:6" ht="28.5" customHeight="1" x14ac:dyDescent="0.25">
      <c r="A32" s="27" t="s">
        <v>250</v>
      </c>
      <c r="B32" s="34"/>
      <c r="C32" s="34"/>
      <c r="D32" s="34"/>
      <c r="E32" s="34"/>
      <c r="F32" s="34"/>
    </row>
  </sheetData>
  <mergeCells count="4">
    <mergeCell ref="A2:A3"/>
    <mergeCell ref="A5:A15"/>
    <mergeCell ref="A17:A20"/>
    <mergeCell ref="A22:A3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271B0-D8B1-45E7-B81E-234774CE13BE}">
  <dimension ref="A1:E7"/>
  <sheetViews>
    <sheetView showGridLines="0" workbookViewId="0">
      <selection activeCell="B29" sqref="B29"/>
    </sheetView>
  </sheetViews>
  <sheetFormatPr defaultRowHeight="15" x14ac:dyDescent="0.25"/>
  <cols>
    <col min="1" max="1" width="9.140625" style="5"/>
    <col min="2" max="2" width="42.85546875" bestFit="1" customWidth="1"/>
    <col min="3" max="3" width="42.85546875" customWidth="1"/>
    <col min="4" max="4" width="16" customWidth="1"/>
    <col min="5" max="5" width="86.5703125" bestFit="1" customWidth="1"/>
    <col min="6" max="6" width="19.85546875" bestFit="1" customWidth="1"/>
  </cols>
  <sheetData>
    <row r="1" spans="1:5" x14ac:dyDescent="0.25">
      <c r="A1" s="61" t="s">
        <v>720</v>
      </c>
      <c r="B1" s="60" t="s">
        <v>708</v>
      </c>
      <c r="C1" s="60" t="s">
        <v>722</v>
      </c>
      <c r="D1" s="60" t="s">
        <v>717</v>
      </c>
      <c r="E1" s="60" t="s">
        <v>721</v>
      </c>
    </row>
    <row r="2" spans="1:5" x14ac:dyDescent="0.25">
      <c r="A2" s="15">
        <v>45597</v>
      </c>
      <c r="B2" t="s">
        <v>85</v>
      </c>
      <c r="C2" t="s">
        <v>707</v>
      </c>
      <c r="D2" t="s">
        <v>713</v>
      </c>
      <c r="E2" t="s">
        <v>705</v>
      </c>
    </row>
    <row r="3" spans="1:5" x14ac:dyDescent="0.25">
      <c r="A3" s="15">
        <v>45597</v>
      </c>
      <c r="B3" t="s">
        <v>83</v>
      </c>
      <c r="C3" s="58" t="s">
        <v>712</v>
      </c>
      <c r="D3" t="s">
        <v>715</v>
      </c>
      <c r="E3" s="57" t="s">
        <v>706</v>
      </c>
    </row>
    <row r="4" spans="1:5" x14ac:dyDescent="0.25">
      <c r="A4" s="15">
        <v>45597</v>
      </c>
      <c r="B4" t="s">
        <v>144</v>
      </c>
      <c r="C4" t="s">
        <v>723</v>
      </c>
      <c r="D4" t="s">
        <v>765</v>
      </c>
      <c r="E4" t="s">
        <v>710</v>
      </c>
    </row>
    <row r="5" spans="1:5" x14ac:dyDescent="0.25">
      <c r="A5" s="15">
        <v>45597</v>
      </c>
      <c r="B5" t="s">
        <v>21</v>
      </c>
      <c r="C5" t="s">
        <v>719</v>
      </c>
      <c r="D5" t="s">
        <v>716</v>
      </c>
      <c r="E5" t="s">
        <v>709</v>
      </c>
    </row>
    <row r="6" spans="1:5" x14ac:dyDescent="0.25">
      <c r="A6" s="62">
        <v>45597</v>
      </c>
      <c r="B6" s="59" t="s">
        <v>22</v>
      </c>
      <c r="C6" s="59" t="s">
        <v>724</v>
      </c>
      <c r="D6" s="59" t="s">
        <v>716</v>
      </c>
      <c r="E6" s="59" t="s">
        <v>709</v>
      </c>
    </row>
    <row r="7" spans="1:5" x14ac:dyDescent="0.25">
      <c r="A7" s="15">
        <v>45627</v>
      </c>
      <c r="B7" t="s">
        <v>77</v>
      </c>
      <c r="C7" t="s">
        <v>711</v>
      </c>
      <c r="D7" t="s">
        <v>714</v>
      </c>
      <c r="E7" t="s">
        <v>718</v>
      </c>
    </row>
  </sheetData>
  <pageMargins left="0.511811024" right="0.511811024" top="0.78740157499999996" bottom="0.78740157499999996" header="0.31496062000000002" footer="0.31496062000000002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611C2-D9DF-48B7-A6DF-95BB61D608DF}">
  <sheetPr filterMode="1"/>
  <dimension ref="A1:I164"/>
  <sheetViews>
    <sheetView workbookViewId="0">
      <selection activeCell="I1" sqref="I1"/>
    </sheetView>
  </sheetViews>
  <sheetFormatPr defaultRowHeight="15" x14ac:dyDescent="0.25"/>
  <cols>
    <col min="1" max="1" width="16.42578125" customWidth="1"/>
    <col min="2" max="2" width="36.42578125" bestFit="1" customWidth="1"/>
    <col min="3" max="3" width="36.42578125" hidden="1" customWidth="1"/>
    <col min="4" max="5" width="16.42578125" hidden="1" customWidth="1"/>
    <col min="6" max="6" width="16.42578125" customWidth="1"/>
    <col min="7" max="7" width="29.5703125" customWidth="1"/>
  </cols>
  <sheetData>
    <row r="1" spans="1:9" x14ac:dyDescent="0.25">
      <c r="A1" s="35" t="s">
        <v>392</v>
      </c>
      <c r="B1" s="36" t="s">
        <v>393</v>
      </c>
      <c r="C1" s="36" t="s">
        <v>394</v>
      </c>
      <c r="D1" s="37" t="s">
        <v>395</v>
      </c>
      <c r="E1" s="38" t="s">
        <v>396</v>
      </c>
      <c r="F1" s="38" t="s">
        <v>397</v>
      </c>
      <c r="G1" s="38" t="s">
        <v>398</v>
      </c>
      <c r="H1" s="43" t="s">
        <v>481</v>
      </c>
      <c r="I1" s="43" t="s">
        <v>484</v>
      </c>
    </row>
    <row r="2" spans="1:9" x14ac:dyDescent="0.25">
      <c r="A2" s="39">
        <v>37000099</v>
      </c>
      <c r="B2" s="40" t="s">
        <v>101</v>
      </c>
      <c r="C2" s="40" t="s">
        <v>399</v>
      </c>
      <c r="D2" s="40" t="s">
        <v>400</v>
      </c>
      <c r="E2" s="40" t="s">
        <v>401</v>
      </c>
      <c r="F2" s="41" t="s">
        <v>402</v>
      </c>
      <c r="G2" s="40"/>
      <c r="H2">
        <f>VLOOKUP(A2,Tabela2[MATRÍCULA],1,0)</f>
        <v>37000099</v>
      </c>
      <c r="I2" s="44" t="s">
        <v>485</v>
      </c>
    </row>
    <row r="3" spans="1:9" x14ac:dyDescent="0.25">
      <c r="A3" s="39">
        <v>37004359</v>
      </c>
      <c r="B3" s="40" t="s">
        <v>45</v>
      </c>
      <c r="C3" s="40" t="s">
        <v>403</v>
      </c>
      <c r="D3" s="40" t="s">
        <v>400</v>
      </c>
      <c r="E3" s="40" t="s">
        <v>401</v>
      </c>
      <c r="F3" s="41" t="s">
        <v>402</v>
      </c>
      <c r="G3" s="40"/>
      <c r="H3">
        <f>VLOOKUP(A3,Tabela2[MATRÍCULA],1,0)</f>
        <v>37004359</v>
      </c>
      <c r="I3" s="44" t="s">
        <v>485</v>
      </c>
    </row>
    <row r="4" spans="1:9" x14ac:dyDescent="0.25">
      <c r="A4" s="39">
        <v>37014740</v>
      </c>
      <c r="B4" s="40" t="s">
        <v>404</v>
      </c>
      <c r="C4" s="40" t="s">
        <v>405</v>
      </c>
      <c r="D4" s="40" t="s">
        <v>406</v>
      </c>
      <c r="E4" s="40" t="s">
        <v>401</v>
      </c>
      <c r="F4" s="41" t="s">
        <v>402</v>
      </c>
      <c r="G4" s="40"/>
      <c r="H4">
        <f>VLOOKUP(A4,Tabela2[MATRÍCULA],1,0)</f>
        <v>37014740</v>
      </c>
      <c r="I4" s="44" t="s">
        <v>485</v>
      </c>
    </row>
    <row r="5" spans="1:9" x14ac:dyDescent="0.25">
      <c r="A5" s="39">
        <v>37006972</v>
      </c>
      <c r="B5" s="40" t="s">
        <v>31</v>
      </c>
      <c r="C5" s="40" t="s">
        <v>399</v>
      </c>
      <c r="D5" s="40" t="s">
        <v>406</v>
      </c>
      <c r="E5" s="40" t="s">
        <v>401</v>
      </c>
      <c r="F5" s="41" t="s">
        <v>402</v>
      </c>
      <c r="G5" s="40"/>
      <c r="H5">
        <f>VLOOKUP(A5,Tabela2[MATRÍCULA],1,0)</f>
        <v>37006972</v>
      </c>
      <c r="I5" s="44" t="s">
        <v>485</v>
      </c>
    </row>
    <row r="6" spans="1:9" x14ac:dyDescent="0.25">
      <c r="A6" s="39">
        <v>37006971</v>
      </c>
      <c r="B6" s="40" t="s">
        <v>38</v>
      </c>
      <c r="C6" s="40" t="s">
        <v>399</v>
      </c>
      <c r="D6" s="40" t="s">
        <v>406</v>
      </c>
      <c r="E6" s="40" t="s">
        <v>401</v>
      </c>
      <c r="F6" s="41" t="s">
        <v>402</v>
      </c>
      <c r="G6" s="40"/>
      <c r="H6">
        <f>VLOOKUP(A6,Tabela2[MATRÍCULA],1,0)</f>
        <v>37006971</v>
      </c>
      <c r="I6" s="44" t="s">
        <v>485</v>
      </c>
    </row>
    <row r="7" spans="1:9" x14ac:dyDescent="0.25">
      <c r="A7" s="39">
        <v>37006323</v>
      </c>
      <c r="B7" s="40" t="s">
        <v>124</v>
      </c>
      <c r="C7" s="40" t="s">
        <v>399</v>
      </c>
      <c r="D7" s="40" t="s">
        <v>406</v>
      </c>
      <c r="E7" s="40" t="s">
        <v>401</v>
      </c>
      <c r="F7" s="41" t="s">
        <v>402</v>
      </c>
      <c r="G7" s="40"/>
      <c r="H7">
        <f>VLOOKUP(A7,Tabela2[MATRÍCULA],1,0)</f>
        <v>37006323</v>
      </c>
      <c r="I7" s="44" t="s">
        <v>485</v>
      </c>
    </row>
    <row r="8" spans="1:9" x14ac:dyDescent="0.25">
      <c r="A8" s="39">
        <v>37006270</v>
      </c>
      <c r="B8" s="40" t="s">
        <v>52</v>
      </c>
      <c r="C8" s="40" t="s">
        <v>399</v>
      </c>
      <c r="D8" s="40" t="s">
        <v>406</v>
      </c>
      <c r="E8" s="40" t="s">
        <v>401</v>
      </c>
      <c r="F8" s="41" t="s">
        <v>402</v>
      </c>
      <c r="G8" s="40"/>
      <c r="H8">
        <f>VLOOKUP(A8,Tabela2[MATRÍCULA],1,0)</f>
        <v>37006270</v>
      </c>
      <c r="I8" s="44" t="s">
        <v>485</v>
      </c>
    </row>
    <row r="9" spans="1:9" x14ac:dyDescent="0.25">
      <c r="A9" s="39">
        <v>37006901</v>
      </c>
      <c r="B9" s="40" t="s">
        <v>71</v>
      </c>
      <c r="C9" s="40" t="s">
        <v>407</v>
      </c>
      <c r="D9" s="40" t="s">
        <v>408</v>
      </c>
      <c r="E9" s="40" t="s">
        <v>401</v>
      </c>
      <c r="F9" s="41" t="s">
        <v>402</v>
      </c>
      <c r="G9" s="40"/>
      <c r="H9">
        <f>VLOOKUP(A9,Tabela2[MATRÍCULA],1,0)</f>
        <v>37006901</v>
      </c>
      <c r="I9" s="44" t="s">
        <v>485</v>
      </c>
    </row>
    <row r="10" spans="1:9" x14ac:dyDescent="0.25">
      <c r="A10" s="39">
        <v>37015931</v>
      </c>
      <c r="B10" s="40" t="s">
        <v>409</v>
      </c>
      <c r="C10" s="40" t="s">
        <v>410</v>
      </c>
      <c r="D10" s="40" t="s">
        <v>411</v>
      </c>
      <c r="E10" s="40" t="s">
        <v>401</v>
      </c>
      <c r="F10" s="41" t="s">
        <v>402</v>
      </c>
      <c r="G10" s="40"/>
      <c r="H10">
        <f>VLOOKUP(A10,Tabela2[MATRÍCULA],1,0)</f>
        <v>37015931</v>
      </c>
      <c r="I10" s="44" t="s">
        <v>485</v>
      </c>
    </row>
    <row r="11" spans="1:9" x14ac:dyDescent="0.25">
      <c r="A11" s="39">
        <v>37004361</v>
      </c>
      <c r="B11" s="40" t="s">
        <v>110</v>
      </c>
      <c r="C11" s="40" t="s">
        <v>399</v>
      </c>
      <c r="D11" s="40" t="s">
        <v>400</v>
      </c>
      <c r="E11" s="40" t="s">
        <v>401</v>
      </c>
      <c r="F11" s="41" t="s">
        <v>402</v>
      </c>
      <c r="G11" s="40"/>
      <c r="H11">
        <f>VLOOKUP(A11,Tabela2[MATRÍCULA],1,0)</f>
        <v>37004361</v>
      </c>
      <c r="I11" s="44" t="s">
        <v>485</v>
      </c>
    </row>
    <row r="12" spans="1:9" hidden="1" x14ac:dyDescent="0.25">
      <c r="A12" s="39">
        <v>37010202</v>
      </c>
      <c r="B12" s="40" t="s">
        <v>412</v>
      </c>
      <c r="C12" s="40" t="s">
        <v>407</v>
      </c>
      <c r="D12" s="40" t="s">
        <v>408</v>
      </c>
      <c r="E12" s="40" t="s">
        <v>401</v>
      </c>
      <c r="F12" s="41" t="s">
        <v>402</v>
      </c>
      <c r="G12" s="40" t="s">
        <v>413</v>
      </c>
      <c r="H12">
        <f>VLOOKUP(A12,Tabela2[MATRÍCULA],1,0)</f>
        <v>37010202</v>
      </c>
      <c r="I12" s="40" t="s">
        <v>413</v>
      </c>
    </row>
    <row r="13" spans="1:9" x14ac:dyDescent="0.25">
      <c r="A13" s="39">
        <v>37005809</v>
      </c>
      <c r="B13" s="40" t="s">
        <v>22</v>
      </c>
      <c r="C13" s="40" t="s">
        <v>399</v>
      </c>
      <c r="D13" s="40" t="s">
        <v>400</v>
      </c>
      <c r="E13" s="40" t="s">
        <v>401</v>
      </c>
      <c r="F13" s="41" t="s">
        <v>402</v>
      </c>
      <c r="G13" s="40"/>
      <c r="H13">
        <f>VLOOKUP(A13,Tabela2[MATRÍCULA],1,0)</f>
        <v>37005809</v>
      </c>
      <c r="I13" s="44" t="s">
        <v>485</v>
      </c>
    </row>
    <row r="14" spans="1:9" hidden="1" x14ac:dyDescent="0.25">
      <c r="A14" s="39">
        <v>37010556</v>
      </c>
      <c r="B14" s="40" t="s">
        <v>414</v>
      </c>
      <c r="C14" s="40" t="s">
        <v>407</v>
      </c>
      <c r="D14" s="40" t="s">
        <v>408</v>
      </c>
      <c r="E14" s="40" t="s">
        <v>401</v>
      </c>
      <c r="F14" s="41" t="s">
        <v>402</v>
      </c>
      <c r="G14" s="40" t="s">
        <v>413</v>
      </c>
      <c r="H14">
        <f>VLOOKUP(A14,Tabela2[MATRÍCULA],1,0)</f>
        <v>37010556</v>
      </c>
      <c r="I14" s="40" t="s">
        <v>413</v>
      </c>
    </row>
    <row r="15" spans="1:9" x14ac:dyDescent="0.25">
      <c r="A15" s="39">
        <v>37006939</v>
      </c>
      <c r="B15" s="40" t="s">
        <v>415</v>
      </c>
      <c r="C15" s="40" t="s">
        <v>416</v>
      </c>
      <c r="D15" s="40" t="s">
        <v>417</v>
      </c>
      <c r="E15" s="40" t="s">
        <v>401</v>
      </c>
      <c r="F15" s="41" t="s">
        <v>402</v>
      </c>
      <c r="G15" s="40" t="s">
        <v>483</v>
      </c>
      <c r="H15" s="40" t="s">
        <v>483</v>
      </c>
      <c r="I15" s="44" t="s">
        <v>485</v>
      </c>
    </row>
    <row r="16" spans="1:9" x14ac:dyDescent="0.25">
      <c r="A16" s="39"/>
      <c r="B16" s="40"/>
      <c r="C16" s="40"/>
      <c r="D16" s="40" t="s">
        <v>418</v>
      </c>
      <c r="E16" s="40" t="s">
        <v>419</v>
      </c>
      <c r="F16" s="40"/>
      <c r="G16" s="40"/>
      <c r="H16" t="e">
        <f>VLOOKUP(A16,Tabela2[MATRÍCULA],1,0)</f>
        <v>#N/A</v>
      </c>
      <c r="I16" s="44" t="s">
        <v>485</v>
      </c>
    </row>
    <row r="17" spans="1:9" x14ac:dyDescent="0.25">
      <c r="A17" s="39">
        <v>37012181</v>
      </c>
      <c r="B17" s="40" t="s">
        <v>420</v>
      </c>
      <c r="C17" s="40" t="s">
        <v>399</v>
      </c>
      <c r="D17" s="40" t="s">
        <v>406</v>
      </c>
      <c r="E17" s="40" t="s">
        <v>401</v>
      </c>
      <c r="F17" s="41" t="s">
        <v>402</v>
      </c>
      <c r="G17" s="40"/>
      <c r="H17">
        <f>VLOOKUP(A17,Tabela2[MATRÍCULA],1,0)</f>
        <v>37012181</v>
      </c>
      <c r="I17" s="44" t="s">
        <v>485</v>
      </c>
    </row>
    <row r="18" spans="1:9" x14ac:dyDescent="0.25">
      <c r="A18" s="39">
        <v>37007964</v>
      </c>
      <c r="B18" s="40" t="s">
        <v>53</v>
      </c>
      <c r="C18" s="40" t="s">
        <v>403</v>
      </c>
      <c r="D18" s="40" t="s">
        <v>406</v>
      </c>
      <c r="E18" s="40" t="s">
        <v>401</v>
      </c>
      <c r="F18" s="41" t="s">
        <v>402</v>
      </c>
      <c r="G18" s="40"/>
      <c r="H18">
        <f>VLOOKUP(A18,Tabela2[MATRÍCULA],1,0)</f>
        <v>37007964</v>
      </c>
      <c r="I18" s="44" t="s">
        <v>485</v>
      </c>
    </row>
    <row r="19" spans="1:9" x14ac:dyDescent="0.25">
      <c r="A19" s="39">
        <v>37000598</v>
      </c>
      <c r="B19" s="40" t="s">
        <v>104</v>
      </c>
      <c r="C19" s="40" t="s">
        <v>399</v>
      </c>
      <c r="D19" s="40" t="s">
        <v>400</v>
      </c>
      <c r="E19" s="40" t="s">
        <v>401</v>
      </c>
      <c r="F19" s="41" t="s">
        <v>402</v>
      </c>
      <c r="G19" s="40"/>
      <c r="H19">
        <f>VLOOKUP(A19,Tabela2[MATRÍCULA],1,0)</f>
        <v>37000598</v>
      </c>
      <c r="I19" s="44" t="s">
        <v>485</v>
      </c>
    </row>
    <row r="20" spans="1:9" x14ac:dyDescent="0.25">
      <c r="A20" s="39"/>
      <c r="B20" s="40"/>
      <c r="C20" s="40"/>
      <c r="D20" s="40" t="s">
        <v>418</v>
      </c>
      <c r="E20" s="40" t="s">
        <v>419</v>
      </c>
      <c r="F20" s="40"/>
      <c r="G20" s="40"/>
      <c r="H20" t="e">
        <f>VLOOKUP(A20,Tabela2[MATRÍCULA],1,0)</f>
        <v>#N/A</v>
      </c>
      <c r="I20" s="44" t="s">
        <v>485</v>
      </c>
    </row>
    <row r="21" spans="1:9" x14ac:dyDescent="0.25">
      <c r="A21" s="39">
        <v>37006289</v>
      </c>
      <c r="B21" s="40" t="s">
        <v>59</v>
      </c>
      <c r="C21" s="40" t="s">
        <v>421</v>
      </c>
      <c r="D21" s="40" t="s">
        <v>411</v>
      </c>
      <c r="E21" s="40" t="s">
        <v>401</v>
      </c>
      <c r="F21" s="41" t="s">
        <v>402</v>
      </c>
      <c r="G21" s="40"/>
      <c r="H21">
        <f>VLOOKUP(A21,Tabela2[MATRÍCULA],1,0)</f>
        <v>37006289</v>
      </c>
      <c r="I21" s="44" t="s">
        <v>485</v>
      </c>
    </row>
    <row r="22" spans="1:9" hidden="1" x14ac:dyDescent="0.25">
      <c r="A22" s="39">
        <v>37009457</v>
      </c>
      <c r="B22" s="40" t="s">
        <v>98</v>
      </c>
      <c r="C22" s="40" t="s">
        <v>422</v>
      </c>
      <c r="D22" s="40" t="s">
        <v>411</v>
      </c>
      <c r="E22" s="40" t="s">
        <v>401</v>
      </c>
      <c r="F22" s="41" t="s">
        <v>402</v>
      </c>
      <c r="G22" s="40" t="s">
        <v>413</v>
      </c>
      <c r="H22">
        <f>VLOOKUP(A22,Tabela2[MATRÍCULA],1,0)</f>
        <v>37009457</v>
      </c>
      <c r="I22" s="40" t="s">
        <v>413</v>
      </c>
    </row>
    <row r="23" spans="1:9" hidden="1" x14ac:dyDescent="0.25">
      <c r="A23" s="39">
        <v>37009590</v>
      </c>
      <c r="B23" s="40" t="s">
        <v>99</v>
      </c>
      <c r="C23" s="40" t="s">
        <v>422</v>
      </c>
      <c r="D23" s="40" t="s">
        <v>411</v>
      </c>
      <c r="E23" s="40" t="s">
        <v>401</v>
      </c>
      <c r="F23" s="41" t="s">
        <v>402</v>
      </c>
      <c r="G23" s="40" t="s">
        <v>413</v>
      </c>
      <c r="H23">
        <f>VLOOKUP(A23,Tabela2[MATRÍCULA],1,0)</f>
        <v>37009590</v>
      </c>
      <c r="I23" s="40" t="s">
        <v>413</v>
      </c>
    </row>
    <row r="24" spans="1:9" x14ac:dyDescent="0.25">
      <c r="A24" s="39">
        <v>37006365</v>
      </c>
      <c r="B24" s="40" t="s">
        <v>127</v>
      </c>
      <c r="C24" s="40" t="s">
        <v>399</v>
      </c>
      <c r="D24" s="40" t="s">
        <v>400</v>
      </c>
      <c r="E24" s="40" t="s">
        <v>401</v>
      </c>
      <c r="F24" s="41" t="s">
        <v>402</v>
      </c>
      <c r="G24" s="40"/>
      <c r="H24">
        <f>VLOOKUP(A24,Tabela2[MATRÍCULA],1,0)</f>
        <v>37006365</v>
      </c>
      <c r="I24" s="44" t="s">
        <v>485</v>
      </c>
    </row>
    <row r="25" spans="1:9" hidden="1" x14ac:dyDescent="0.25">
      <c r="A25" s="39">
        <v>37008879</v>
      </c>
      <c r="B25" s="40" t="s">
        <v>66</v>
      </c>
      <c r="C25" s="40" t="s">
        <v>407</v>
      </c>
      <c r="D25" s="40" t="s">
        <v>408</v>
      </c>
      <c r="E25" s="40" t="s">
        <v>401</v>
      </c>
      <c r="F25" s="41" t="s">
        <v>402</v>
      </c>
      <c r="G25" s="40" t="s">
        <v>413</v>
      </c>
      <c r="H25">
        <f>VLOOKUP(A25,Tabela2[MATRÍCULA],1,0)</f>
        <v>37008879</v>
      </c>
      <c r="I25" s="40" t="s">
        <v>413</v>
      </c>
    </row>
    <row r="26" spans="1:9" x14ac:dyDescent="0.25">
      <c r="A26" s="39">
        <v>37004365</v>
      </c>
      <c r="B26" s="40" t="s">
        <v>17</v>
      </c>
      <c r="C26" s="40" t="s">
        <v>399</v>
      </c>
      <c r="D26" s="40" t="s">
        <v>406</v>
      </c>
      <c r="E26" s="40" t="s">
        <v>401</v>
      </c>
      <c r="F26" s="41" t="s">
        <v>402</v>
      </c>
      <c r="G26" s="40"/>
      <c r="H26">
        <f>VLOOKUP(A26,Tabela2[MATRÍCULA],1,0)</f>
        <v>37004365</v>
      </c>
      <c r="I26" s="44" t="s">
        <v>485</v>
      </c>
    </row>
    <row r="27" spans="1:9" x14ac:dyDescent="0.25">
      <c r="A27" s="39">
        <v>37003179</v>
      </c>
      <c r="B27" s="40" t="s">
        <v>108</v>
      </c>
      <c r="C27" s="40" t="s">
        <v>399</v>
      </c>
      <c r="D27" s="40" t="s">
        <v>406</v>
      </c>
      <c r="E27" s="40" t="s">
        <v>401</v>
      </c>
      <c r="F27" s="41" t="s">
        <v>402</v>
      </c>
      <c r="G27" s="40"/>
      <c r="H27">
        <f>VLOOKUP(A27,Tabela2[MATRÍCULA],1,0)</f>
        <v>37003179</v>
      </c>
      <c r="I27" s="44" t="s">
        <v>485</v>
      </c>
    </row>
    <row r="28" spans="1:9" x14ac:dyDescent="0.25">
      <c r="A28" s="39">
        <v>37003139</v>
      </c>
      <c r="B28" s="40" t="s">
        <v>46</v>
      </c>
      <c r="C28" s="40" t="s">
        <v>399</v>
      </c>
      <c r="D28" s="40" t="s">
        <v>400</v>
      </c>
      <c r="E28" s="40" t="s">
        <v>401</v>
      </c>
      <c r="F28" s="41" t="s">
        <v>402</v>
      </c>
      <c r="G28" s="40"/>
      <c r="H28">
        <f>VLOOKUP(A28,Tabela2[MATRÍCULA],1,0)</f>
        <v>37003139</v>
      </c>
      <c r="I28" s="44" t="s">
        <v>485</v>
      </c>
    </row>
    <row r="29" spans="1:9" x14ac:dyDescent="0.25">
      <c r="A29" s="39">
        <v>37000103</v>
      </c>
      <c r="B29" s="40" t="s">
        <v>102</v>
      </c>
      <c r="C29" s="40" t="s">
        <v>399</v>
      </c>
      <c r="D29" s="40" t="s">
        <v>400</v>
      </c>
      <c r="E29" s="40" t="s">
        <v>401</v>
      </c>
      <c r="F29" s="41" t="s">
        <v>402</v>
      </c>
      <c r="G29" s="40"/>
      <c r="H29">
        <f>VLOOKUP(A29,Tabela2[MATRÍCULA],1,0)</f>
        <v>37000103</v>
      </c>
      <c r="I29" s="44" t="s">
        <v>485</v>
      </c>
    </row>
    <row r="30" spans="1:9" x14ac:dyDescent="0.25">
      <c r="A30" s="39">
        <v>37001564</v>
      </c>
      <c r="B30" s="40" t="s">
        <v>65</v>
      </c>
      <c r="C30" s="40" t="s">
        <v>410</v>
      </c>
      <c r="D30" s="40" t="s">
        <v>411</v>
      </c>
      <c r="E30" s="40" t="s">
        <v>401</v>
      </c>
      <c r="F30" s="41" t="s">
        <v>402</v>
      </c>
      <c r="G30" s="40"/>
      <c r="H30">
        <f>VLOOKUP(A30,Tabela2[MATRÍCULA],1,0)</f>
        <v>37001564</v>
      </c>
      <c r="I30" s="44" t="s">
        <v>485</v>
      </c>
    </row>
    <row r="31" spans="1:9" x14ac:dyDescent="0.25">
      <c r="A31" s="39">
        <v>37004367</v>
      </c>
      <c r="B31" s="40" t="s">
        <v>111</v>
      </c>
      <c r="C31" s="40" t="s">
        <v>399</v>
      </c>
      <c r="D31" s="40" t="s">
        <v>406</v>
      </c>
      <c r="E31" s="40" t="s">
        <v>401</v>
      </c>
      <c r="F31" s="41" t="s">
        <v>402</v>
      </c>
      <c r="G31" s="40"/>
      <c r="H31">
        <f>VLOOKUP(A31,Tabela2[MATRÍCULA],1,0)</f>
        <v>37004367</v>
      </c>
      <c r="I31" s="44" t="s">
        <v>485</v>
      </c>
    </row>
    <row r="32" spans="1:9" x14ac:dyDescent="0.25">
      <c r="A32" s="39">
        <v>37007801</v>
      </c>
      <c r="B32" s="40" t="s">
        <v>21</v>
      </c>
      <c r="C32" s="40" t="s">
        <v>399</v>
      </c>
      <c r="D32" s="40" t="s">
        <v>406</v>
      </c>
      <c r="E32" s="40" t="s">
        <v>401</v>
      </c>
      <c r="F32" s="41" t="s">
        <v>402</v>
      </c>
      <c r="G32" s="40"/>
      <c r="H32">
        <f>VLOOKUP(A32,Tabela2[MATRÍCULA],1,0)</f>
        <v>37007801</v>
      </c>
      <c r="I32" s="44" t="s">
        <v>485</v>
      </c>
    </row>
    <row r="33" spans="1:9" x14ac:dyDescent="0.25">
      <c r="A33" s="39">
        <v>37001565</v>
      </c>
      <c r="B33" s="40" t="s">
        <v>18</v>
      </c>
      <c r="C33" s="40" t="s">
        <v>399</v>
      </c>
      <c r="D33" s="40" t="s">
        <v>400</v>
      </c>
      <c r="E33" s="40" t="s">
        <v>401</v>
      </c>
      <c r="F33" s="41" t="s">
        <v>402</v>
      </c>
      <c r="G33" s="40"/>
      <c r="H33">
        <f>VLOOKUP(A33,Tabela2[MATRÍCULA],1,0)</f>
        <v>37001565</v>
      </c>
      <c r="I33" s="44" t="s">
        <v>485</v>
      </c>
    </row>
    <row r="34" spans="1:9" x14ac:dyDescent="0.25">
      <c r="A34" s="39">
        <v>37003141</v>
      </c>
      <c r="B34" s="40" t="s">
        <v>106</v>
      </c>
      <c r="C34" s="40" t="s">
        <v>399</v>
      </c>
      <c r="D34" s="40" t="s">
        <v>400</v>
      </c>
      <c r="E34" s="40" t="s">
        <v>401</v>
      </c>
      <c r="F34" s="41" t="s">
        <v>402</v>
      </c>
      <c r="G34" s="40"/>
      <c r="H34">
        <f>VLOOKUP(A34,Tabela2[MATRÍCULA],1,0)</f>
        <v>37003141</v>
      </c>
      <c r="I34" s="44" t="s">
        <v>485</v>
      </c>
    </row>
    <row r="35" spans="1:9" x14ac:dyDescent="0.25">
      <c r="A35" s="39">
        <v>37005687</v>
      </c>
      <c r="B35" s="40" t="s">
        <v>114</v>
      </c>
      <c r="C35" s="40" t="s">
        <v>423</v>
      </c>
      <c r="D35" s="40" t="s">
        <v>411</v>
      </c>
      <c r="E35" s="40" t="s">
        <v>401</v>
      </c>
      <c r="F35" s="41" t="s">
        <v>402</v>
      </c>
      <c r="G35" s="40"/>
      <c r="H35">
        <f>VLOOKUP(A35,Tabela2[MATRÍCULA],1,0)</f>
        <v>37005687</v>
      </c>
      <c r="I35" s="44" t="s">
        <v>485</v>
      </c>
    </row>
    <row r="36" spans="1:9" x14ac:dyDescent="0.25">
      <c r="A36" s="39">
        <v>37006940</v>
      </c>
      <c r="B36" s="40" t="s">
        <v>8</v>
      </c>
      <c r="C36" s="40" t="s">
        <v>424</v>
      </c>
      <c r="D36" s="40" t="s">
        <v>406</v>
      </c>
      <c r="E36" s="40" t="s">
        <v>401</v>
      </c>
      <c r="F36" s="41" t="s">
        <v>402</v>
      </c>
      <c r="G36" s="40"/>
      <c r="H36">
        <f>VLOOKUP(A36,Tabela2[MATRÍCULA],1,0)</f>
        <v>37006940</v>
      </c>
      <c r="I36" s="44" t="s">
        <v>485</v>
      </c>
    </row>
    <row r="37" spans="1:9" x14ac:dyDescent="0.25">
      <c r="A37" s="39">
        <v>37006598</v>
      </c>
      <c r="B37" s="40" t="s">
        <v>30</v>
      </c>
      <c r="C37" s="40" t="s">
        <v>399</v>
      </c>
      <c r="D37" s="40" t="s">
        <v>406</v>
      </c>
      <c r="E37" s="40" t="s">
        <v>401</v>
      </c>
      <c r="F37" s="41" t="s">
        <v>402</v>
      </c>
      <c r="G37" s="40"/>
      <c r="H37">
        <f>VLOOKUP(A37,Tabela2[MATRÍCULA],1,0)</f>
        <v>37006598</v>
      </c>
      <c r="I37" s="44" t="s">
        <v>485</v>
      </c>
    </row>
    <row r="38" spans="1:9" x14ac:dyDescent="0.25">
      <c r="A38" s="39">
        <v>37000129</v>
      </c>
      <c r="B38" s="40" t="s">
        <v>37</v>
      </c>
      <c r="C38" s="40" t="s">
        <v>399</v>
      </c>
      <c r="D38" s="40" t="s">
        <v>400</v>
      </c>
      <c r="E38" s="40" t="s">
        <v>401</v>
      </c>
      <c r="F38" s="41" t="s">
        <v>402</v>
      </c>
      <c r="G38" s="40"/>
      <c r="H38">
        <f>VLOOKUP(A38,Tabela2[MATRÍCULA],1,0)</f>
        <v>37000129</v>
      </c>
      <c r="I38" s="44" t="s">
        <v>485</v>
      </c>
    </row>
    <row r="39" spans="1:9" x14ac:dyDescent="0.25">
      <c r="A39" s="39">
        <v>37006344</v>
      </c>
      <c r="B39" s="40" t="s">
        <v>126</v>
      </c>
      <c r="C39" s="40" t="s">
        <v>399</v>
      </c>
      <c r="D39" s="40" t="s">
        <v>406</v>
      </c>
      <c r="E39" s="40" t="s">
        <v>401</v>
      </c>
      <c r="F39" s="41" t="s">
        <v>402</v>
      </c>
      <c r="G39" s="40"/>
      <c r="H39">
        <f>VLOOKUP(A39,Tabela2[MATRÍCULA],1,0)</f>
        <v>37006344</v>
      </c>
      <c r="I39" s="44" t="s">
        <v>485</v>
      </c>
    </row>
    <row r="40" spans="1:9" x14ac:dyDescent="0.25">
      <c r="A40" s="39">
        <v>37013718</v>
      </c>
      <c r="B40" s="40" t="s">
        <v>425</v>
      </c>
      <c r="C40" s="40" t="s">
        <v>407</v>
      </c>
      <c r="D40" s="40" t="s">
        <v>408</v>
      </c>
      <c r="E40" s="40" t="s">
        <v>401</v>
      </c>
      <c r="F40" s="41" t="s">
        <v>402</v>
      </c>
      <c r="G40" s="40"/>
      <c r="H40">
        <f>VLOOKUP(A40,Tabela2[MATRÍCULA],1,0)</f>
        <v>37013718</v>
      </c>
      <c r="I40" s="44" t="s">
        <v>485</v>
      </c>
    </row>
    <row r="41" spans="1:9" hidden="1" x14ac:dyDescent="0.25">
      <c r="A41" s="39">
        <v>37015278</v>
      </c>
      <c r="B41" s="40" t="s">
        <v>426</v>
      </c>
      <c r="C41" s="40" t="s">
        <v>407</v>
      </c>
      <c r="D41" s="40" t="s">
        <v>408</v>
      </c>
      <c r="E41" s="40" t="s">
        <v>401</v>
      </c>
      <c r="F41" s="41" t="s">
        <v>402</v>
      </c>
      <c r="G41" s="40" t="s">
        <v>413</v>
      </c>
      <c r="H41">
        <f>VLOOKUP(A41,Tabela2[MATRÍCULA],1,0)</f>
        <v>37015278</v>
      </c>
      <c r="I41" s="40" t="s">
        <v>413</v>
      </c>
    </row>
    <row r="42" spans="1:9" hidden="1" x14ac:dyDescent="0.25">
      <c r="A42" s="39">
        <v>37006067</v>
      </c>
      <c r="B42" s="40" t="s">
        <v>61</v>
      </c>
      <c r="C42" s="40" t="s">
        <v>410</v>
      </c>
      <c r="D42" s="40" t="s">
        <v>411</v>
      </c>
      <c r="E42" s="40" t="s">
        <v>401</v>
      </c>
      <c r="F42" s="41" t="s">
        <v>402</v>
      </c>
      <c r="G42" s="40" t="s">
        <v>413</v>
      </c>
      <c r="H42">
        <f>VLOOKUP(A42,Tabela2[MATRÍCULA],1,0)</f>
        <v>37006067</v>
      </c>
      <c r="I42" s="40" t="s">
        <v>413</v>
      </c>
    </row>
    <row r="43" spans="1:9" hidden="1" x14ac:dyDescent="0.25">
      <c r="A43" s="39">
        <v>37018415</v>
      </c>
      <c r="B43" s="40" t="s">
        <v>427</v>
      </c>
      <c r="C43" s="40" t="s">
        <v>407</v>
      </c>
      <c r="D43" s="40" t="s">
        <v>417</v>
      </c>
      <c r="E43" s="40" t="s">
        <v>401</v>
      </c>
      <c r="F43" s="41" t="s">
        <v>402</v>
      </c>
      <c r="G43" s="40" t="s">
        <v>413</v>
      </c>
      <c r="H43">
        <f>VLOOKUP(A43,Tabela2[MATRÍCULA],1,0)</f>
        <v>37018415</v>
      </c>
      <c r="I43" s="40" t="s">
        <v>413</v>
      </c>
    </row>
    <row r="44" spans="1:9" hidden="1" x14ac:dyDescent="0.25">
      <c r="A44" s="39">
        <v>37011077</v>
      </c>
      <c r="B44" s="40" t="s">
        <v>428</v>
      </c>
      <c r="C44" s="40" t="s">
        <v>407</v>
      </c>
      <c r="D44" s="40" t="s">
        <v>408</v>
      </c>
      <c r="E44" s="40" t="s">
        <v>401</v>
      </c>
      <c r="F44" s="41" t="s">
        <v>402</v>
      </c>
      <c r="G44" s="40" t="s">
        <v>413</v>
      </c>
      <c r="H44">
        <f>VLOOKUP(A44,Tabela2[MATRÍCULA],1,0)</f>
        <v>37011077</v>
      </c>
      <c r="I44" s="40" t="s">
        <v>413</v>
      </c>
    </row>
    <row r="45" spans="1:9" x14ac:dyDescent="0.25">
      <c r="A45" s="39">
        <v>37012158</v>
      </c>
      <c r="B45" s="40" t="s">
        <v>429</v>
      </c>
      <c r="C45" s="40" t="s">
        <v>399</v>
      </c>
      <c r="D45" s="40" t="s">
        <v>406</v>
      </c>
      <c r="E45" s="40" t="s">
        <v>401</v>
      </c>
      <c r="F45" s="41" t="s">
        <v>402</v>
      </c>
      <c r="G45" s="40"/>
      <c r="H45">
        <f>VLOOKUP(A45,Tabela2[MATRÍCULA],1,0)</f>
        <v>37012158</v>
      </c>
      <c r="I45" s="44" t="s">
        <v>485</v>
      </c>
    </row>
    <row r="46" spans="1:9" x14ac:dyDescent="0.25">
      <c r="A46" s="39">
        <v>37003195</v>
      </c>
      <c r="B46" s="40" t="s">
        <v>109</v>
      </c>
      <c r="C46" s="40" t="s">
        <v>430</v>
      </c>
      <c r="D46" s="40" t="s">
        <v>411</v>
      </c>
      <c r="E46" s="40" t="s">
        <v>401</v>
      </c>
      <c r="F46" s="41" t="s">
        <v>402</v>
      </c>
      <c r="G46" s="40"/>
      <c r="H46">
        <f>VLOOKUP(A46,Tabela2[MATRÍCULA],1,0)</f>
        <v>37003195</v>
      </c>
      <c r="I46" s="44" t="s">
        <v>485</v>
      </c>
    </row>
    <row r="47" spans="1:9" x14ac:dyDescent="0.25">
      <c r="A47" s="39"/>
      <c r="B47" s="40"/>
      <c r="C47" s="40"/>
      <c r="D47" s="40" t="s">
        <v>418</v>
      </c>
      <c r="E47" s="40" t="s">
        <v>419</v>
      </c>
      <c r="F47" s="40"/>
      <c r="G47" s="40"/>
      <c r="H47" t="e">
        <f>VLOOKUP(A47,Tabela2[MATRÍCULA],1,0)</f>
        <v>#N/A</v>
      </c>
      <c r="I47" s="44" t="s">
        <v>485</v>
      </c>
    </row>
    <row r="48" spans="1:9" x14ac:dyDescent="0.25">
      <c r="A48" s="39">
        <v>37005686</v>
      </c>
      <c r="B48" s="40" t="s">
        <v>57</v>
      </c>
      <c r="C48" s="40" t="s">
        <v>410</v>
      </c>
      <c r="D48" s="40" t="s">
        <v>411</v>
      </c>
      <c r="E48" s="40" t="s">
        <v>401</v>
      </c>
      <c r="F48" s="41" t="s">
        <v>402</v>
      </c>
      <c r="G48" s="40"/>
      <c r="H48">
        <f>VLOOKUP(A48,Tabela2[MATRÍCULA],1,0)</f>
        <v>37005686</v>
      </c>
      <c r="I48" s="44" t="s">
        <v>485</v>
      </c>
    </row>
    <row r="49" spans="1:9" x14ac:dyDescent="0.25">
      <c r="A49" s="39">
        <v>37007016</v>
      </c>
      <c r="B49" s="40" t="s">
        <v>134</v>
      </c>
      <c r="C49" s="40" t="s">
        <v>399</v>
      </c>
      <c r="D49" s="40" t="s">
        <v>406</v>
      </c>
      <c r="E49" s="40" t="s">
        <v>401</v>
      </c>
      <c r="F49" s="41" t="s">
        <v>402</v>
      </c>
      <c r="G49" s="40"/>
      <c r="H49">
        <f>VLOOKUP(A49,Tabela2[MATRÍCULA],1,0)</f>
        <v>37007016</v>
      </c>
      <c r="I49" s="44" t="s">
        <v>485</v>
      </c>
    </row>
    <row r="50" spans="1:9" x14ac:dyDescent="0.25">
      <c r="A50" s="39">
        <v>37005983</v>
      </c>
      <c r="B50" s="40" t="s">
        <v>121</v>
      </c>
      <c r="C50" s="40" t="s">
        <v>399</v>
      </c>
      <c r="D50" s="40" t="s">
        <v>406</v>
      </c>
      <c r="E50" s="40" t="s">
        <v>401</v>
      </c>
      <c r="F50" s="41" t="s">
        <v>402</v>
      </c>
      <c r="G50" s="40"/>
      <c r="H50">
        <f>VLOOKUP(A50,Tabela2[MATRÍCULA],1,0)</f>
        <v>37005983</v>
      </c>
      <c r="I50" s="44" t="s">
        <v>485</v>
      </c>
    </row>
    <row r="51" spans="1:9" x14ac:dyDescent="0.25">
      <c r="A51" s="39">
        <v>37004371</v>
      </c>
      <c r="B51" s="40" t="s">
        <v>14</v>
      </c>
      <c r="C51" s="40" t="s">
        <v>399</v>
      </c>
      <c r="D51" s="40" t="s">
        <v>406</v>
      </c>
      <c r="E51" s="40" t="s">
        <v>401</v>
      </c>
      <c r="F51" s="41" t="s">
        <v>402</v>
      </c>
      <c r="G51" s="40"/>
      <c r="H51">
        <f>VLOOKUP(A51,Tabela2[MATRÍCULA],1,0)</f>
        <v>37004371</v>
      </c>
      <c r="I51" s="44" t="s">
        <v>485</v>
      </c>
    </row>
    <row r="52" spans="1:9" x14ac:dyDescent="0.25">
      <c r="A52" s="39">
        <v>37006068</v>
      </c>
      <c r="B52" s="40" t="s">
        <v>63</v>
      </c>
      <c r="C52" s="40" t="s">
        <v>410</v>
      </c>
      <c r="D52" s="40" t="s">
        <v>411</v>
      </c>
      <c r="E52" s="40" t="s">
        <v>401</v>
      </c>
      <c r="F52" s="41" t="s">
        <v>402</v>
      </c>
      <c r="G52" s="40"/>
      <c r="H52">
        <f>VLOOKUP(A52,Tabela2[MATRÍCULA],1,0)</f>
        <v>37006068</v>
      </c>
      <c r="I52" s="44" t="s">
        <v>485</v>
      </c>
    </row>
    <row r="53" spans="1:9" x14ac:dyDescent="0.25">
      <c r="A53" s="39">
        <v>37010712</v>
      </c>
      <c r="B53" s="40" t="s">
        <v>431</v>
      </c>
      <c r="C53" s="40" t="s">
        <v>399</v>
      </c>
      <c r="D53" s="40" t="s">
        <v>406</v>
      </c>
      <c r="E53" s="40" t="s">
        <v>401</v>
      </c>
      <c r="F53" s="41" t="s">
        <v>402</v>
      </c>
      <c r="G53" s="40"/>
      <c r="H53">
        <f>VLOOKUP(A53,Tabela2[MATRÍCULA],1,0)</f>
        <v>37010712</v>
      </c>
      <c r="I53" s="44" t="s">
        <v>485</v>
      </c>
    </row>
    <row r="54" spans="1:9" x14ac:dyDescent="0.25">
      <c r="A54" s="39">
        <v>37003146</v>
      </c>
      <c r="B54" s="40" t="s">
        <v>107</v>
      </c>
      <c r="C54" s="40" t="s">
        <v>403</v>
      </c>
      <c r="D54" s="40" t="s">
        <v>406</v>
      </c>
      <c r="E54" s="40" t="s">
        <v>401</v>
      </c>
      <c r="F54" s="41" t="s">
        <v>402</v>
      </c>
      <c r="G54" s="40"/>
      <c r="H54">
        <f>VLOOKUP(A54,Tabela2[MATRÍCULA],1,0)</f>
        <v>37003146</v>
      </c>
      <c r="I54" s="44" t="s">
        <v>485</v>
      </c>
    </row>
    <row r="55" spans="1:9" x14ac:dyDescent="0.25">
      <c r="A55" s="39"/>
      <c r="B55" s="40"/>
      <c r="C55" s="40"/>
      <c r="D55" s="40" t="s">
        <v>418</v>
      </c>
      <c r="E55" s="40" t="s">
        <v>419</v>
      </c>
      <c r="F55" s="40"/>
      <c r="G55" s="40"/>
      <c r="H55" t="e">
        <f>VLOOKUP(A55,Tabela2[MATRÍCULA],1,0)</f>
        <v>#N/A</v>
      </c>
      <c r="I55" s="44" t="s">
        <v>485</v>
      </c>
    </row>
    <row r="56" spans="1:9" x14ac:dyDescent="0.25">
      <c r="A56" s="39">
        <v>37006113</v>
      </c>
      <c r="B56" s="40" t="s">
        <v>58</v>
      </c>
      <c r="C56" s="40" t="s">
        <v>410</v>
      </c>
      <c r="D56" s="40" t="s">
        <v>411</v>
      </c>
      <c r="E56" s="40" t="s">
        <v>401</v>
      </c>
      <c r="F56" s="41" t="s">
        <v>402</v>
      </c>
      <c r="G56" s="40"/>
      <c r="H56">
        <f>VLOOKUP(A56,Tabela2[MATRÍCULA],1,0)</f>
        <v>37006113</v>
      </c>
      <c r="I56" s="44" t="s">
        <v>485</v>
      </c>
    </row>
    <row r="57" spans="1:9" x14ac:dyDescent="0.25">
      <c r="A57" s="39">
        <v>37004373</v>
      </c>
      <c r="B57" s="40" t="s">
        <v>432</v>
      </c>
      <c r="C57" s="40" t="s">
        <v>433</v>
      </c>
      <c r="D57" s="40" t="s">
        <v>406</v>
      </c>
      <c r="E57" s="40" t="s">
        <v>401</v>
      </c>
      <c r="F57" s="41" t="s">
        <v>402</v>
      </c>
      <c r="G57" s="40" t="s">
        <v>483</v>
      </c>
      <c r="H57" s="40" t="s">
        <v>483</v>
      </c>
      <c r="I57" s="44" t="s">
        <v>485</v>
      </c>
    </row>
    <row r="58" spans="1:9" x14ac:dyDescent="0.25">
      <c r="A58" s="39">
        <v>37009345</v>
      </c>
      <c r="B58" s="40" t="s">
        <v>136</v>
      </c>
      <c r="C58" s="40" t="s">
        <v>410</v>
      </c>
      <c r="D58" s="40" t="s">
        <v>411</v>
      </c>
      <c r="E58" s="40" t="s">
        <v>401</v>
      </c>
      <c r="F58" s="41" t="s">
        <v>402</v>
      </c>
      <c r="G58" s="40"/>
      <c r="H58">
        <f>VLOOKUP(A58,Tabela2[MATRÍCULA],1,0)</f>
        <v>37009345</v>
      </c>
      <c r="I58" s="44" t="s">
        <v>485</v>
      </c>
    </row>
    <row r="59" spans="1:9" x14ac:dyDescent="0.25">
      <c r="A59" s="39">
        <v>37004375</v>
      </c>
      <c r="B59" s="40" t="s">
        <v>88</v>
      </c>
      <c r="C59" s="40" t="s">
        <v>423</v>
      </c>
      <c r="D59" s="40" t="s">
        <v>411</v>
      </c>
      <c r="E59" s="40" t="s">
        <v>401</v>
      </c>
      <c r="F59" s="41" t="s">
        <v>402</v>
      </c>
      <c r="G59" s="40"/>
      <c r="H59">
        <f>VLOOKUP(A59,Tabela2[MATRÍCULA],1,0)</f>
        <v>37004375</v>
      </c>
      <c r="I59" s="44" t="s">
        <v>485</v>
      </c>
    </row>
    <row r="60" spans="1:9" x14ac:dyDescent="0.25">
      <c r="A60" s="39">
        <v>37004376</v>
      </c>
      <c r="B60" s="40" t="s">
        <v>112</v>
      </c>
      <c r="C60" s="40" t="s">
        <v>410</v>
      </c>
      <c r="D60" s="40" t="s">
        <v>411</v>
      </c>
      <c r="E60" s="40" t="s">
        <v>401</v>
      </c>
      <c r="F60" s="41" t="s">
        <v>402</v>
      </c>
      <c r="G60" s="40"/>
      <c r="H60">
        <f>VLOOKUP(A60,Tabela2[MATRÍCULA],1,0)</f>
        <v>37004376</v>
      </c>
      <c r="I60" s="44" t="s">
        <v>485</v>
      </c>
    </row>
    <row r="61" spans="1:9" x14ac:dyDescent="0.25">
      <c r="A61" s="39">
        <v>37005830</v>
      </c>
      <c r="B61" s="40" t="s">
        <v>120</v>
      </c>
      <c r="C61" s="40" t="s">
        <v>399</v>
      </c>
      <c r="D61" s="40" t="s">
        <v>406</v>
      </c>
      <c r="E61" s="40" t="s">
        <v>401</v>
      </c>
      <c r="F61" s="41" t="s">
        <v>402</v>
      </c>
      <c r="G61" s="40"/>
      <c r="H61">
        <f>VLOOKUP(A61,Tabela2[MATRÍCULA],1,0)</f>
        <v>37005830</v>
      </c>
      <c r="I61" s="44" t="s">
        <v>485</v>
      </c>
    </row>
    <row r="62" spans="1:9" x14ac:dyDescent="0.25">
      <c r="A62" s="39">
        <v>37011307</v>
      </c>
      <c r="B62" s="40" t="s">
        <v>434</v>
      </c>
      <c r="C62" s="40" t="s">
        <v>399</v>
      </c>
      <c r="D62" s="40" t="s">
        <v>406</v>
      </c>
      <c r="E62" s="40" t="s">
        <v>401</v>
      </c>
      <c r="F62" s="41" t="s">
        <v>402</v>
      </c>
      <c r="G62" s="40"/>
      <c r="H62">
        <f>VLOOKUP(A62,Tabela2[MATRÍCULA],1,0)</f>
        <v>37011307</v>
      </c>
      <c r="I62" s="44" t="s">
        <v>485</v>
      </c>
    </row>
    <row r="63" spans="1:9" x14ac:dyDescent="0.25">
      <c r="A63" s="39">
        <v>37006321</v>
      </c>
      <c r="B63" s="40" t="s">
        <v>28</v>
      </c>
      <c r="C63" s="40" t="s">
        <v>399</v>
      </c>
      <c r="D63" s="40" t="s">
        <v>400</v>
      </c>
      <c r="E63" s="40" t="s">
        <v>401</v>
      </c>
      <c r="F63" s="41" t="s">
        <v>402</v>
      </c>
      <c r="G63" s="40"/>
      <c r="H63">
        <f>VLOOKUP(A63,Tabela2[MATRÍCULA],1,0)</f>
        <v>37006321</v>
      </c>
      <c r="I63" s="44" t="s">
        <v>485</v>
      </c>
    </row>
    <row r="64" spans="1:9" x14ac:dyDescent="0.25">
      <c r="A64" s="39">
        <v>37000183</v>
      </c>
      <c r="B64" s="40" t="s">
        <v>25</v>
      </c>
      <c r="C64" s="40" t="s">
        <v>399</v>
      </c>
      <c r="D64" s="40" t="s">
        <v>400</v>
      </c>
      <c r="E64" s="40" t="s">
        <v>401</v>
      </c>
      <c r="F64" s="41" t="s">
        <v>402</v>
      </c>
      <c r="G64" s="40"/>
      <c r="H64">
        <f>VLOOKUP(A64,Tabela2[MATRÍCULA],1,0)</f>
        <v>37000183</v>
      </c>
      <c r="I64" s="44" t="s">
        <v>485</v>
      </c>
    </row>
    <row r="65" spans="1:9" x14ac:dyDescent="0.25">
      <c r="A65" s="39">
        <v>37006071</v>
      </c>
      <c r="B65" s="40" t="s">
        <v>154</v>
      </c>
      <c r="C65" s="40" t="s">
        <v>410</v>
      </c>
      <c r="D65" s="40" t="s">
        <v>411</v>
      </c>
      <c r="E65" s="40" t="s">
        <v>401</v>
      </c>
      <c r="F65" s="41" t="s">
        <v>402</v>
      </c>
      <c r="G65" s="40"/>
      <c r="H65">
        <f>VLOOKUP(A65,Tabela2[MATRÍCULA],1,0)</f>
        <v>37006071</v>
      </c>
      <c r="I65" s="44" t="s">
        <v>485</v>
      </c>
    </row>
    <row r="66" spans="1:9" x14ac:dyDescent="0.25">
      <c r="A66" s="39">
        <v>37004382</v>
      </c>
      <c r="B66" s="40" t="s">
        <v>64</v>
      </c>
      <c r="C66" s="40" t="s">
        <v>410</v>
      </c>
      <c r="D66" s="40" t="s">
        <v>411</v>
      </c>
      <c r="E66" s="40" t="s">
        <v>401</v>
      </c>
      <c r="F66" s="41" t="s">
        <v>402</v>
      </c>
      <c r="G66" s="40"/>
      <c r="H66">
        <f>VLOOKUP(A66,Tabela2[MATRÍCULA],1,0)</f>
        <v>37004382</v>
      </c>
      <c r="I66" s="44" t="s">
        <v>485</v>
      </c>
    </row>
    <row r="67" spans="1:9" hidden="1" x14ac:dyDescent="0.25">
      <c r="A67" s="39">
        <v>37009290</v>
      </c>
      <c r="B67" s="40" t="s">
        <v>135</v>
      </c>
      <c r="C67" s="40" t="s">
        <v>407</v>
      </c>
      <c r="D67" s="40" t="s">
        <v>408</v>
      </c>
      <c r="E67" s="40" t="s">
        <v>401</v>
      </c>
      <c r="F67" s="41" t="s">
        <v>402</v>
      </c>
      <c r="G67" s="40" t="s">
        <v>413</v>
      </c>
      <c r="H67">
        <f>VLOOKUP(A67,Tabela2[MATRÍCULA],1,0)</f>
        <v>37009290</v>
      </c>
      <c r="I67" s="40" t="s">
        <v>413</v>
      </c>
    </row>
    <row r="68" spans="1:9" x14ac:dyDescent="0.25">
      <c r="A68" s="39">
        <v>37005816</v>
      </c>
      <c r="B68" s="40" t="s">
        <v>117</v>
      </c>
      <c r="C68" s="40" t="s">
        <v>399</v>
      </c>
      <c r="D68" s="40" t="s">
        <v>400</v>
      </c>
      <c r="E68" s="40" t="s">
        <v>401</v>
      </c>
      <c r="F68" s="41" t="s">
        <v>402</v>
      </c>
      <c r="G68" s="40"/>
      <c r="H68">
        <f>VLOOKUP(A68,Tabela2[MATRÍCULA],1,0)</f>
        <v>37005816</v>
      </c>
      <c r="I68" s="44" t="s">
        <v>485</v>
      </c>
    </row>
    <row r="69" spans="1:9" x14ac:dyDescent="0.25">
      <c r="A69" s="39">
        <v>37004384</v>
      </c>
      <c r="B69" s="40" t="s">
        <v>435</v>
      </c>
      <c r="C69" s="40" t="s">
        <v>436</v>
      </c>
      <c r="D69" s="40" t="s">
        <v>406</v>
      </c>
      <c r="E69" s="40" t="s">
        <v>401</v>
      </c>
      <c r="F69" s="41" t="s">
        <v>402</v>
      </c>
      <c r="G69" s="40" t="s">
        <v>483</v>
      </c>
      <c r="H69" s="40" t="s">
        <v>483</v>
      </c>
      <c r="I69" s="44" t="s">
        <v>485</v>
      </c>
    </row>
    <row r="70" spans="1:9" x14ac:dyDescent="0.25">
      <c r="A70" s="39"/>
      <c r="B70" s="40"/>
      <c r="C70" s="40"/>
      <c r="D70" s="40" t="s">
        <v>437</v>
      </c>
      <c r="E70" s="40" t="s">
        <v>419</v>
      </c>
      <c r="F70" s="40"/>
      <c r="G70" s="40"/>
      <c r="H70" t="e">
        <f>VLOOKUP(A70,Tabela2[MATRÍCULA],1,0)</f>
        <v>#N/A</v>
      </c>
      <c r="I70" s="44" t="s">
        <v>485</v>
      </c>
    </row>
    <row r="71" spans="1:9" x14ac:dyDescent="0.25">
      <c r="A71" s="39">
        <v>37006691</v>
      </c>
      <c r="B71" s="40" t="s">
        <v>11</v>
      </c>
      <c r="C71" s="40" t="s">
        <v>407</v>
      </c>
      <c r="D71" s="40" t="s">
        <v>408</v>
      </c>
      <c r="E71" s="40" t="s">
        <v>401</v>
      </c>
      <c r="F71" s="41" t="s">
        <v>402</v>
      </c>
      <c r="G71" s="40"/>
      <c r="H71">
        <f>VLOOKUP(A71,Tabela2[MATRÍCULA],1,0)</f>
        <v>37006691</v>
      </c>
      <c r="I71" s="44" t="s">
        <v>485</v>
      </c>
    </row>
    <row r="72" spans="1:9" x14ac:dyDescent="0.25">
      <c r="A72" s="39">
        <v>37005688</v>
      </c>
      <c r="B72" s="40" t="s">
        <v>115</v>
      </c>
      <c r="C72" s="40" t="s">
        <v>410</v>
      </c>
      <c r="D72" s="40" t="s">
        <v>411</v>
      </c>
      <c r="E72" s="40" t="s">
        <v>401</v>
      </c>
      <c r="F72" s="41" t="s">
        <v>402</v>
      </c>
      <c r="G72" s="40"/>
      <c r="H72">
        <f>VLOOKUP(A72,Tabela2[MATRÍCULA],1,0)</f>
        <v>37005688</v>
      </c>
      <c r="I72" s="44" t="s">
        <v>485</v>
      </c>
    </row>
    <row r="73" spans="1:9" x14ac:dyDescent="0.25">
      <c r="A73" s="39">
        <v>37009403</v>
      </c>
      <c r="B73" s="40" t="s">
        <v>137</v>
      </c>
      <c r="C73" s="40" t="s">
        <v>399</v>
      </c>
      <c r="D73" s="40" t="s">
        <v>406</v>
      </c>
      <c r="E73" s="40" t="s">
        <v>401</v>
      </c>
      <c r="F73" s="41" t="s">
        <v>402</v>
      </c>
      <c r="G73" s="40"/>
      <c r="H73">
        <f>VLOOKUP(A73,Tabela2[MATRÍCULA],1,0)</f>
        <v>37009403</v>
      </c>
      <c r="I73" s="44" t="s">
        <v>485</v>
      </c>
    </row>
    <row r="74" spans="1:9" x14ac:dyDescent="0.25">
      <c r="A74" s="39">
        <v>37004386</v>
      </c>
      <c r="B74" s="40" t="s">
        <v>26</v>
      </c>
      <c r="C74" s="40" t="s">
        <v>403</v>
      </c>
      <c r="D74" s="40" t="s">
        <v>400</v>
      </c>
      <c r="E74" s="40" t="s">
        <v>401</v>
      </c>
      <c r="F74" s="41" t="s">
        <v>402</v>
      </c>
      <c r="G74" s="40"/>
      <c r="H74">
        <f>VLOOKUP(A74,Tabela2[MATRÍCULA],1,0)</f>
        <v>37004386</v>
      </c>
      <c r="I74" s="44" t="s">
        <v>485</v>
      </c>
    </row>
    <row r="75" spans="1:9" x14ac:dyDescent="0.25">
      <c r="A75" s="39">
        <v>37006883</v>
      </c>
      <c r="B75" s="40" t="s">
        <v>72</v>
      </c>
      <c r="C75" s="40" t="s">
        <v>407</v>
      </c>
      <c r="D75" s="40" t="s">
        <v>408</v>
      </c>
      <c r="E75" s="40" t="s">
        <v>401</v>
      </c>
      <c r="F75" s="41" t="s">
        <v>402</v>
      </c>
      <c r="G75" s="40"/>
      <c r="H75">
        <f>VLOOKUP(A75,Tabela2[MATRÍCULA],1,0)</f>
        <v>37006883</v>
      </c>
      <c r="I75" s="44" t="s">
        <v>485</v>
      </c>
    </row>
    <row r="76" spans="1:9" x14ac:dyDescent="0.25">
      <c r="A76" s="39">
        <v>37006969</v>
      </c>
      <c r="B76" s="40" t="s">
        <v>132</v>
      </c>
      <c r="C76" s="40" t="s">
        <v>399</v>
      </c>
      <c r="D76" s="40" t="s">
        <v>406</v>
      </c>
      <c r="E76" s="40" t="s">
        <v>401</v>
      </c>
      <c r="F76" s="41" t="s">
        <v>402</v>
      </c>
      <c r="G76" s="40"/>
      <c r="H76">
        <f>VLOOKUP(A76,Tabela2[MATRÍCULA],1,0)</f>
        <v>37006969</v>
      </c>
      <c r="I76" s="44" t="s">
        <v>485</v>
      </c>
    </row>
    <row r="77" spans="1:9" x14ac:dyDescent="0.25">
      <c r="A77" s="39">
        <v>37007637</v>
      </c>
      <c r="B77" s="40" t="s">
        <v>67</v>
      </c>
      <c r="C77" s="40" t="s">
        <v>407</v>
      </c>
      <c r="D77" s="40" t="s">
        <v>408</v>
      </c>
      <c r="E77" s="40" t="s">
        <v>401</v>
      </c>
      <c r="F77" s="41" t="s">
        <v>402</v>
      </c>
      <c r="G77" s="40"/>
      <c r="H77" t="e">
        <f>VLOOKUP(A77,Tabela2[MATRÍCULA],1,0)</f>
        <v>#N/A</v>
      </c>
      <c r="I77" s="44" t="s">
        <v>485</v>
      </c>
    </row>
    <row r="78" spans="1:9" x14ac:dyDescent="0.25">
      <c r="A78" s="39">
        <v>37004387</v>
      </c>
      <c r="B78" s="40" t="s">
        <v>20</v>
      </c>
      <c r="C78" s="40" t="s">
        <v>399</v>
      </c>
      <c r="D78" s="40" t="s">
        <v>400</v>
      </c>
      <c r="E78" s="40" t="s">
        <v>401</v>
      </c>
      <c r="F78" s="41" t="s">
        <v>402</v>
      </c>
      <c r="G78" s="40"/>
      <c r="H78">
        <f>VLOOKUP(A78,Tabela2[MATRÍCULA],1,0)</f>
        <v>37004387</v>
      </c>
      <c r="I78" s="44" t="s">
        <v>485</v>
      </c>
    </row>
    <row r="79" spans="1:9" x14ac:dyDescent="0.25">
      <c r="A79" s="39">
        <v>37006338</v>
      </c>
      <c r="B79" s="40" t="s">
        <v>50</v>
      </c>
      <c r="C79" s="40" t="s">
        <v>399</v>
      </c>
      <c r="D79" s="40" t="s">
        <v>406</v>
      </c>
      <c r="E79" s="40" t="s">
        <v>401</v>
      </c>
      <c r="F79" s="41" t="s">
        <v>402</v>
      </c>
      <c r="G79" s="40"/>
      <c r="H79">
        <f>VLOOKUP(A79,Tabela2[MATRÍCULA],1,0)</f>
        <v>37006338</v>
      </c>
      <c r="I79" s="44" t="s">
        <v>485</v>
      </c>
    </row>
    <row r="80" spans="1:9" x14ac:dyDescent="0.25">
      <c r="A80" s="39">
        <v>37000616</v>
      </c>
      <c r="B80" s="40" t="s">
        <v>15</v>
      </c>
      <c r="C80" s="40" t="s">
        <v>399</v>
      </c>
      <c r="D80" s="40" t="s">
        <v>400</v>
      </c>
      <c r="E80" s="40" t="s">
        <v>401</v>
      </c>
      <c r="F80" s="41" t="s">
        <v>402</v>
      </c>
      <c r="G80" s="40"/>
      <c r="H80">
        <f>VLOOKUP(A80,Tabela2[MATRÍCULA],1,0)</f>
        <v>37000616</v>
      </c>
      <c r="I80" s="44" t="s">
        <v>485</v>
      </c>
    </row>
    <row r="81" spans="1:9" x14ac:dyDescent="0.25">
      <c r="A81" s="39">
        <v>37006861</v>
      </c>
      <c r="B81" s="40" t="s">
        <v>130</v>
      </c>
      <c r="C81" s="40" t="s">
        <v>407</v>
      </c>
      <c r="D81" s="40" t="s">
        <v>408</v>
      </c>
      <c r="E81" s="40" t="s">
        <v>401</v>
      </c>
      <c r="F81" s="41" t="s">
        <v>402</v>
      </c>
      <c r="G81" s="40"/>
      <c r="H81">
        <f>VLOOKUP(A81,Tabela2[MATRÍCULA],1,0)</f>
        <v>37006861</v>
      </c>
      <c r="I81" s="44" t="s">
        <v>485</v>
      </c>
    </row>
    <row r="82" spans="1:9" x14ac:dyDescent="0.25">
      <c r="A82" s="39"/>
      <c r="B82" s="40"/>
      <c r="C82" s="40"/>
      <c r="D82" s="40" t="s">
        <v>418</v>
      </c>
      <c r="E82" s="40" t="s">
        <v>419</v>
      </c>
      <c r="F82" s="40"/>
      <c r="G82" s="40"/>
      <c r="H82" t="e">
        <f>VLOOKUP(A82,Tabela2[MATRÍCULA],1,0)</f>
        <v>#N/A</v>
      </c>
      <c r="I82" s="44" t="s">
        <v>485</v>
      </c>
    </row>
    <row r="83" spans="1:9" x14ac:dyDescent="0.25">
      <c r="A83" s="39"/>
      <c r="B83" s="40"/>
      <c r="C83" s="40"/>
      <c r="D83" s="40" t="s">
        <v>437</v>
      </c>
      <c r="E83" s="40" t="s">
        <v>419</v>
      </c>
      <c r="F83" s="40"/>
      <c r="G83" s="40"/>
      <c r="H83" t="e">
        <f>VLOOKUP(A83,Tabela2[MATRÍCULA],1,0)</f>
        <v>#N/A</v>
      </c>
      <c r="I83" s="44" t="s">
        <v>485</v>
      </c>
    </row>
    <row r="84" spans="1:9" hidden="1" x14ac:dyDescent="0.25">
      <c r="A84" s="39">
        <v>37005825</v>
      </c>
      <c r="B84" s="40" t="s">
        <v>119</v>
      </c>
      <c r="C84" s="40" t="s">
        <v>399</v>
      </c>
      <c r="D84" s="40" t="s">
        <v>406</v>
      </c>
      <c r="E84" s="40" t="s">
        <v>401</v>
      </c>
      <c r="F84" s="41" t="s">
        <v>402</v>
      </c>
      <c r="G84" s="40" t="s">
        <v>413</v>
      </c>
      <c r="H84">
        <f>VLOOKUP(A84,Tabela2[MATRÍCULA],1,0)</f>
        <v>37005825</v>
      </c>
      <c r="I84" s="40" t="s">
        <v>413</v>
      </c>
    </row>
    <row r="85" spans="1:9" x14ac:dyDescent="0.25">
      <c r="A85" s="39"/>
      <c r="B85" s="40"/>
      <c r="C85" s="40"/>
      <c r="D85" s="40" t="s">
        <v>437</v>
      </c>
      <c r="E85" s="40" t="s">
        <v>419</v>
      </c>
      <c r="F85" s="40"/>
      <c r="G85" s="40"/>
      <c r="H85" t="e">
        <f>VLOOKUP(A85,Tabela2[MATRÍCULA],1,0)</f>
        <v>#N/A</v>
      </c>
      <c r="I85" s="44" t="s">
        <v>485</v>
      </c>
    </row>
    <row r="86" spans="1:9" hidden="1" x14ac:dyDescent="0.25">
      <c r="A86" s="39">
        <v>37005794</v>
      </c>
      <c r="B86" s="40" t="s">
        <v>96</v>
      </c>
      <c r="C86" s="40" t="s">
        <v>422</v>
      </c>
      <c r="D86" s="40" t="s">
        <v>411</v>
      </c>
      <c r="E86" s="40" t="s">
        <v>401</v>
      </c>
      <c r="F86" s="41" t="s">
        <v>402</v>
      </c>
      <c r="G86" s="40" t="s">
        <v>413</v>
      </c>
      <c r="H86">
        <f>VLOOKUP(A86,Tabela2[MATRÍCULA],1,0)</f>
        <v>37005794</v>
      </c>
      <c r="I86" s="40" t="s">
        <v>413</v>
      </c>
    </row>
    <row r="87" spans="1:9" x14ac:dyDescent="0.25">
      <c r="A87" s="39">
        <v>37000212</v>
      </c>
      <c r="B87" s="40" t="s">
        <v>103</v>
      </c>
      <c r="C87" s="40" t="s">
        <v>399</v>
      </c>
      <c r="D87" s="40" t="s">
        <v>400</v>
      </c>
      <c r="E87" s="40" t="s">
        <v>401</v>
      </c>
      <c r="F87" s="41" t="s">
        <v>402</v>
      </c>
      <c r="G87" s="40"/>
      <c r="H87">
        <f>VLOOKUP(A87,Tabela2[MATRÍCULA],1,0)</f>
        <v>37000212</v>
      </c>
      <c r="I87" s="44" t="s">
        <v>485</v>
      </c>
    </row>
    <row r="88" spans="1:9" x14ac:dyDescent="0.25">
      <c r="A88" s="39">
        <v>37016663</v>
      </c>
      <c r="B88" s="40" t="s">
        <v>438</v>
      </c>
      <c r="C88" s="40" t="s">
        <v>407</v>
      </c>
      <c r="D88" s="40" t="s">
        <v>408</v>
      </c>
      <c r="E88" s="40" t="s">
        <v>401</v>
      </c>
      <c r="F88" s="41" t="s">
        <v>402</v>
      </c>
      <c r="G88" s="40"/>
      <c r="H88">
        <f>VLOOKUP(A88,Tabela2[MATRÍCULA],1,0)</f>
        <v>37016663</v>
      </c>
      <c r="I88" s="44" t="s">
        <v>485</v>
      </c>
    </row>
    <row r="89" spans="1:9" x14ac:dyDescent="0.25">
      <c r="A89" s="39">
        <v>37007011</v>
      </c>
      <c r="B89" s="40" t="s">
        <v>133</v>
      </c>
      <c r="C89" s="40" t="s">
        <v>399</v>
      </c>
      <c r="D89" s="40" t="s">
        <v>406</v>
      </c>
      <c r="E89" s="40" t="s">
        <v>401</v>
      </c>
      <c r="F89" s="41" t="s">
        <v>402</v>
      </c>
      <c r="G89" s="40"/>
      <c r="H89">
        <f>VLOOKUP(A89,Tabela2[MATRÍCULA],1,0)</f>
        <v>37007011</v>
      </c>
      <c r="I89" s="44" t="s">
        <v>485</v>
      </c>
    </row>
    <row r="90" spans="1:9" hidden="1" x14ac:dyDescent="0.25">
      <c r="A90" s="39">
        <v>37015292</v>
      </c>
      <c r="B90" s="40" t="s">
        <v>439</v>
      </c>
      <c r="C90" s="40" t="s">
        <v>407</v>
      </c>
      <c r="D90" s="40" t="s">
        <v>417</v>
      </c>
      <c r="E90" s="40" t="s">
        <v>401</v>
      </c>
      <c r="F90" s="41" t="s">
        <v>402</v>
      </c>
      <c r="G90" s="40" t="s">
        <v>413</v>
      </c>
      <c r="H90">
        <f>VLOOKUP(A90,Tabela2[MATRÍCULA],1,0)</f>
        <v>37015292</v>
      </c>
      <c r="I90" s="40" t="s">
        <v>413</v>
      </c>
    </row>
    <row r="91" spans="1:9" x14ac:dyDescent="0.25">
      <c r="A91" s="39">
        <v>37006079</v>
      </c>
      <c r="B91" s="40" t="s">
        <v>89</v>
      </c>
      <c r="C91" s="40" t="s">
        <v>440</v>
      </c>
      <c r="D91" s="40" t="s">
        <v>411</v>
      </c>
      <c r="E91" s="40" t="s">
        <v>401</v>
      </c>
      <c r="F91" s="41" t="s">
        <v>402</v>
      </c>
      <c r="G91" s="40"/>
      <c r="H91">
        <f>VLOOKUP(A91,Tabela2[MATRÍCULA],1,0)</f>
        <v>37006079</v>
      </c>
      <c r="I91" s="44" t="s">
        <v>485</v>
      </c>
    </row>
    <row r="92" spans="1:9" x14ac:dyDescent="0.25">
      <c r="A92" s="39">
        <v>37006730</v>
      </c>
      <c r="B92" s="40" t="s">
        <v>128</v>
      </c>
      <c r="C92" s="40" t="s">
        <v>424</v>
      </c>
      <c r="D92" s="40" t="s">
        <v>406</v>
      </c>
      <c r="E92" s="40" t="s">
        <v>401</v>
      </c>
      <c r="F92" s="41" t="s">
        <v>402</v>
      </c>
      <c r="G92" s="40"/>
      <c r="H92">
        <f>VLOOKUP(A92,Tabela2[MATRÍCULA],1,0)</f>
        <v>37006730</v>
      </c>
      <c r="I92" s="44" t="s">
        <v>485</v>
      </c>
    </row>
    <row r="93" spans="1:9" hidden="1" x14ac:dyDescent="0.25">
      <c r="A93" s="39">
        <v>37007056</v>
      </c>
      <c r="B93" s="40" t="s">
        <v>68</v>
      </c>
      <c r="C93" s="40" t="s">
        <v>407</v>
      </c>
      <c r="D93" s="40" t="s">
        <v>417</v>
      </c>
      <c r="E93" s="40" t="s">
        <v>401</v>
      </c>
      <c r="F93" s="41" t="s">
        <v>402</v>
      </c>
      <c r="G93" s="40" t="s">
        <v>413</v>
      </c>
      <c r="H93">
        <f>VLOOKUP(A93,Tabela2[MATRÍCULA],1,0)</f>
        <v>37007056</v>
      </c>
      <c r="I93" s="40" t="s">
        <v>413</v>
      </c>
    </row>
    <row r="94" spans="1:9" hidden="1" x14ac:dyDescent="0.25">
      <c r="A94" s="39">
        <v>37012243</v>
      </c>
      <c r="B94" s="40" t="s">
        <v>441</v>
      </c>
      <c r="C94" s="40" t="s">
        <v>407</v>
      </c>
      <c r="D94" s="40" t="s">
        <v>417</v>
      </c>
      <c r="E94" s="40" t="s">
        <v>401</v>
      </c>
      <c r="F94" s="41" t="s">
        <v>402</v>
      </c>
      <c r="G94" s="40" t="s">
        <v>413</v>
      </c>
      <c r="H94">
        <f>VLOOKUP(A94,Tabela2[MATRÍCULA],1,0)</f>
        <v>37012243</v>
      </c>
      <c r="I94" s="40" t="s">
        <v>413</v>
      </c>
    </row>
    <row r="95" spans="1:9" x14ac:dyDescent="0.25">
      <c r="A95" s="39">
        <v>37018284</v>
      </c>
      <c r="B95" s="40" t="s">
        <v>322</v>
      </c>
      <c r="C95" s="40" t="s">
        <v>410</v>
      </c>
      <c r="D95" s="40" t="s">
        <v>411</v>
      </c>
      <c r="E95" s="40" t="s">
        <v>401</v>
      </c>
      <c r="F95" s="41" t="s">
        <v>402</v>
      </c>
      <c r="G95" s="40"/>
      <c r="H95">
        <f>VLOOKUP(A95,Tabela2[MATRÍCULA],1,0)</f>
        <v>37018284</v>
      </c>
      <c r="I95" s="44" t="s">
        <v>485</v>
      </c>
    </row>
    <row r="96" spans="1:9" x14ac:dyDescent="0.25">
      <c r="A96" s="39">
        <v>37011014</v>
      </c>
      <c r="B96" s="40" t="s">
        <v>442</v>
      </c>
      <c r="C96" s="40" t="s">
        <v>410</v>
      </c>
      <c r="D96" s="40" t="s">
        <v>411</v>
      </c>
      <c r="E96" s="40" t="s">
        <v>401</v>
      </c>
      <c r="F96" s="41" t="s">
        <v>402</v>
      </c>
      <c r="G96" s="40"/>
      <c r="H96">
        <f>VLOOKUP(A96,Tabela2[MATRÍCULA],1,0)</f>
        <v>37011014</v>
      </c>
      <c r="I96" s="44" t="s">
        <v>485</v>
      </c>
    </row>
    <row r="97" spans="1:9" x14ac:dyDescent="0.25">
      <c r="A97" s="39">
        <v>37001589</v>
      </c>
      <c r="B97" s="40" t="s">
        <v>41</v>
      </c>
      <c r="C97" s="40" t="s">
        <v>403</v>
      </c>
      <c r="D97" s="40" t="s">
        <v>406</v>
      </c>
      <c r="E97" s="40" t="s">
        <v>401</v>
      </c>
      <c r="F97" s="41" t="s">
        <v>402</v>
      </c>
      <c r="G97" s="40"/>
      <c r="H97">
        <f>VLOOKUP(A97,Tabela2[MATRÍCULA],1,0)</f>
        <v>37001589</v>
      </c>
      <c r="I97" s="44" t="s">
        <v>485</v>
      </c>
    </row>
    <row r="98" spans="1:9" hidden="1" x14ac:dyDescent="0.25">
      <c r="A98" s="39">
        <v>37007655</v>
      </c>
      <c r="B98" s="40" t="s">
        <v>79</v>
      </c>
      <c r="C98" s="40" t="s">
        <v>407</v>
      </c>
      <c r="D98" s="40" t="s">
        <v>408</v>
      </c>
      <c r="E98" s="40" t="s">
        <v>401</v>
      </c>
      <c r="F98" s="41" t="s">
        <v>402</v>
      </c>
      <c r="G98" s="40" t="s">
        <v>443</v>
      </c>
      <c r="H98">
        <f>VLOOKUP(A98,Tabela2[MATRÍCULA],1,0)</f>
        <v>37007655</v>
      </c>
      <c r="I98" s="40" t="s">
        <v>413</v>
      </c>
    </row>
    <row r="99" spans="1:9" x14ac:dyDescent="0.25">
      <c r="A99" s="39">
        <v>37005232</v>
      </c>
      <c r="B99" s="40" t="s">
        <v>444</v>
      </c>
      <c r="C99" s="40" t="s">
        <v>410</v>
      </c>
      <c r="D99" s="40" t="s">
        <v>411</v>
      </c>
      <c r="E99" s="40" t="s">
        <v>401</v>
      </c>
      <c r="F99" s="41" t="s">
        <v>402</v>
      </c>
      <c r="G99" s="40"/>
      <c r="H99">
        <f>VLOOKUP(A99,Tabela2[MATRÍCULA],1,0)</f>
        <v>37005232</v>
      </c>
      <c r="I99" s="44" t="s">
        <v>485</v>
      </c>
    </row>
    <row r="100" spans="1:9" hidden="1" x14ac:dyDescent="0.25">
      <c r="A100" s="39">
        <v>37010214</v>
      </c>
      <c r="B100" s="40" t="s">
        <v>85</v>
      </c>
      <c r="C100" s="40" t="s">
        <v>407</v>
      </c>
      <c r="D100" s="40" t="s">
        <v>408</v>
      </c>
      <c r="E100" s="40" t="s">
        <v>401</v>
      </c>
      <c r="F100" s="41" t="s">
        <v>402</v>
      </c>
      <c r="G100" s="40" t="s">
        <v>413</v>
      </c>
      <c r="H100">
        <f>VLOOKUP(A100,Tabela2[MATRÍCULA],1,0)</f>
        <v>37010214</v>
      </c>
      <c r="I100" s="40" t="s">
        <v>413</v>
      </c>
    </row>
    <row r="101" spans="1:9" x14ac:dyDescent="0.25">
      <c r="A101" s="39">
        <v>37006322</v>
      </c>
      <c r="B101" s="40" t="s">
        <v>123</v>
      </c>
      <c r="C101" s="40" t="s">
        <v>399</v>
      </c>
      <c r="D101" s="40" t="s">
        <v>406</v>
      </c>
      <c r="E101" s="40" t="s">
        <v>401</v>
      </c>
      <c r="F101" s="41" t="s">
        <v>402</v>
      </c>
      <c r="G101" s="40"/>
      <c r="H101">
        <f>VLOOKUP(A101,Tabela2[MATRÍCULA],1,0)</f>
        <v>37006322</v>
      </c>
      <c r="I101" s="44" t="s">
        <v>485</v>
      </c>
    </row>
    <row r="102" spans="1:9" x14ac:dyDescent="0.25">
      <c r="A102" s="39">
        <v>37000093</v>
      </c>
      <c r="B102" s="40" t="s">
        <v>445</v>
      </c>
      <c r="C102" s="40" t="s">
        <v>399</v>
      </c>
      <c r="D102" s="40" t="s">
        <v>400</v>
      </c>
      <c r="E102" s="40" t="s">
        <v>401</v>
      </c>
      <c r="F102" s="41" t="s">
        <v>402</v>
      </c>
      <c r="G102" s="40"/>
      <c r="H102">
        <f>VLOOKUP(A102,Tabela2[MATRÍCULA],1,0)</f>
        <v>37000093</v>
      </c>
      <c r="I102" s="44" t="s">
        <v>485</v>
      </c>
    </row>
    <row r="103" spans="1:9" x14ac:dyDescent="0.25">
      <c r="A103" s="39">
        <v>37006718</v>
      </c>
      <c r="B103" s="40" t="s">
        <v>86</v>
      </c>
      <c r="C103" s="40" t="s">
        <v>407</v>
      </c>
      <c r="D103" s="40" t="s">
        <v>408</v>
      </c>
      <c r="E103" s="40" t="s">
        <v>401</v>
      </c>
      <c r="F103" s="41" t="s">
        <v>402</v>
      </c>
      <c r="G103" s="40"/>
      <c r="H103">
        <f>VLOOKUP(A103,Tabela2[MATRÍCULA],1,0)</f>
        <v>37006718</v>
      </c>
      <c r="I103" s="44" t="s">
        <v>485</v>
      </c>
    </row>
    <row r="104" spans="1:9" x14ac:dyDescent="0.25">
      <c r="A104" s="39">
        <v>37007493</v>
      </c>
      <c r="B104" s="40" t="s">
        <v>80</v>
      </c>
      <c r="C104" s="40" t="s">
        <v>407</v>
      </c>
      <c r="D104" s="40" t="s">
        <v>417</v>
      </c>
      <c r="E104" s="40" t="s">
        <v>401</v>
      </c>
      <c r="F104" s="41" t="s">
        <v>402</v>
      </c>
      <c r="G104" s="40"/>
      <c r="H104">
        <f>VLOOKUP(A104,Tabela2[MATRÍCULA],1,0)</f>
        <v>37007493</v>
      </c>
      <c r="I104" s="44" t="s">
        <v>485</v>
      </c>
    </row>
    <row r="105" spans="1:9" hidden="1" x14ac:dyDescent="0.25">
      <c r="A105" s="39">
        <v>37003287</v>
      </c>
      <c r="B105" s="40" t="s">
        <v>60</v>
      </c>
      <c r="C105" s="40" t="s">
        <v>410</v>
      </c>
      <c r="D105" s="40" t="s">
        <v>411</v>
      </c>
      <c r="E105" s="40" t="s">
        <v>401</v>
      </c>
      <c r="F105" s="41" t="s">
        <v>402</v>
      </c>
      <c r="G105" s="40" t="s">
        <v>413</v>
      </c>
      <c r="H105">
        <f>VLOOKUP(A105,Tabela2[MATRÍCULA],1,0)</f>
        <v>37003287</v>
      </c>
      <c r="I105" s="40" t="s">
        <v>413</v>
      </c>
    </row>
    <row r="106" spans="1:9" x14ac:dyDescent="0.25">
      <c r="A106" s="39">
        <v>37014815</v>
      </c>
      <c r="B106" s="40" t="s">
        <v>446</v>
      </c>
      <c r="C106" s="40" t="s">
        <v>447</v>
      </c>
      <c r="D106" s="40" t="s">
        <v>411</v>
      </c>
      <c r="E106" s="40" t="s">
        <v>401</v>
      </c>
      <c r="F106" s="41" t="s">
        <v>402</v>
      </c>
      <c r="G106" s="40"/>
      <c r="H106">
        <f>VLOOKUP(A106,Tabela2[MATRÍCULA],1,0)</f>
        <v>37014815</v>
      </c>
      <c r="I106" s="44" t="s">
        <v>485</v>
      </c>
    </row>
    <row r="107" spans="1:9" x14ac:dyDescent="0.25">
      <c r="A107" s="39">
        <v>37006330</v>
      </c>
      <c r="B107" s="40" t="s">
        <v>125</v>
      </c>
      <c r="C107" s="40" t="s">
        <v>399</v>
      </c>
      <c r="D107" s="40" t="s">
        <v>406</v>
      </c>
      <c r="E107" s="40" t="s">
        <v>401</v>
      </c>
      <c r="F107" s="41" t="s">
        <v>402</v>
      </c>
      <c r="G107" s="40"/>
      <c r="H107">
        <f>VLOOKUP(A107,Tabela2[MATRÍCULA],1,0)</f>
        <v>37006330</v>
      </c>
      <c r="I107" s="44" t="s">
        <v>485</v>
      </c>
    </row>
    <row r="108" spans="1:9" hidden="1" x14ac:dyDescent="0.25">
      <c r="A108" s="39">
        <v>37007023</v>
      </c>
      <c r="B108" s="40" t="s">
        <v>87</v>
      </c>
      <c r="C108" s="40" t="s">
        <v>407</v>
      </c>
      <c r="D108" s="40" t="s">
        <v>417</v>
      </c>
      <c r="E108" s="40" t="s">
        <v>401</v>
      </c>
      <c r="F108" s="41" t="s">
        <v>402</v>
      </c>
      <c r="G108" s="40" t="s">
        <v>413</v>
      </c>
      <c r="H108">
        <f>VLOOKUP(A108,Tabela2[MATRÍCULA],1,0)</f>
        <v>37007023</v>
      </c>
      <c r="I108" s="40" t="s">
        <v>413</v>
      </c>
    </row>
    <row r="109" spans="1:9" x14ac:dyDescent="0.25">
      <c r="A109" s="39"/>
      <c r="B109" s="40"/>
      <c r="C109" s="40"/>
      <c r="D109" s="40" t="s">
        <v>418</v>
      </c>
      <c r="E109" s="40" t="s">
        <v>419</v>
      </c>
      <c r="F109" s="40"/>
      <c r="G109" s="40"/>
      <c r="H109" t="e">
        <f>VLOOKUP(A109,Tabela2[MATRÍCULA],1,0)</f>
        <v>#N/A</v>
      </c>
      <c r="I109" s="44" t="s">
        <v>485</v>
      </c>
    </row>
    <row r="110" spans="1:9" hidden="1" x14ac:dyDescent="0.25">
      <c r="A110" s="39">
        <v>37006069</v>
      </c>
      <c r="B110" s="40" t="s">
        <v>122</v>
      </c>
      <c r="C110" s="40" t="s">
        <v>410</v>
      </c>
      <c r="D110" s="40" t="s">
        <v>411</v>
      </c>
      <c r="E110" s="40" t="s">
        <v>401</v>
      </c>
      <c r="F110" s="41" t="s">
        <v>402</v>
      </c>
      <c r="G110" s="40" t="s">
        <v>413</v>
      </c>
      <c r="H110">
        <f>VLOOKUP(A110,Tabela2[MATRÍCULA],1,0)</f>
        <v>37006069</v>
      </c>
      <c r="I110" s="40" t="s">
        <v>413</v>
      </c>
    </row>
    <row r="111" spans="1:9" x14ac:dyDescent="0.25">
      <c r="A111" s="39">
        <v>37002939</v>
      </c>
      <c r="B111" s="40" t="s">
        <v>16</v>
      </c>
      <c r="C111" s="40" t="s">
        <v>403</v>
      </c>
      <c r="D111" s="40" t="s">
        <v>400</v>
      </c>
      <c r="E111" s="40" t="s">
        <v>401</v>
      </c>
      <c r="F111" s="41" t="s">
        <v>402</v>
      </c>
      <c r="G111" s="40"/>
      <c r="H111">
        <f>VLOOKUP(A111,Tabela2[MATRÍCULA],1,0)</f>
        <v>37002939</v>
      </c>
      <c r="I111" s="44" t="s">
        <v>485</v>
      </c>
    </row>
    <row r="112" spans="1:9" x14ac:dyDescent="0.25">
      <c r="A112" s="39">
        <v>37007925</v>
      </c>
      <c r="B112" s="40" t="s">
        <v>24</v>
      </c>
      <c r="C112" s="40" t="s">
        <v>448</v>
      </c>
      <c r="D112" s="40" t="s">
        <v>406</v>
      </c>
      <c r="E112" s="40" t="s">
        <v>401</v>
      </c>
      <c r="F112" s="41" t="s">
        <v>402</v>
      </c>
      <c r="G112" s="40"/>
      <c r="H112">
        <f>VLOOKUP(A112,Tabela2[MATRÍCULA],1,0)</f>
        <v>37007925</v>
      </c>
      <c r="I112" s="44" t="s">
        <v>485</v>
      </c>
    </row>
    <row r="113" spans="1:9" hidden="1" x14ac:dyDescent="0.25">
      <c r="A113" s="39">
        <v>37014096</v>
      </c>
      <c r="B113" s="40" t="s">
        <v>449</v>
      </c>
      <c r="C113" s="40" t="s">
        <v>450</v>
      </c>
      <c r="D113" s="40" t="s">
        <v>406</v>
      </c>
      <c r="E113" s="40" t="s">
        <v>401</v>
      </c>
      <c r="F113" s="41" t="s">
        <v>402</v>
      </c>
      <c r="G113" s="40" t="s">
        <v>413</v>
      </c>
      <c r="H113">
        <f>VLOOKUP(A113,Tabela2[MATRÍCULA],1,0)</f>
        <v>37014096</v>
      </c>
      <c r="I113" s="40" t="s">
        <v>413</v>
      </c>
    </row>
    <row r="114" spans="1:9" x14ac:dyDescent="0.25">
      <c r="A114" s="39">
        <v>37011398</v>
      </c>
      <c r="B114" s="40" t="s">
        <v>451</v>
      </c>
      <c r="C114" s="40" t="s">
        <v>399</v>
      </c>
      <c r="D114" s="40" t="s">
        <v>406</v>
      </c>
      <c r="E114" s="40" t="s">
        <v>401</v>
      </c>
      <c r="F114" s="41" t="s">
        <v>402</v>
      </c>
      <c r="G114" s="40"/>
      <c r="H114">
        <f>VLOOKUP(A114,Tabela2[MATRÍCULA],1,0)</f>
        <v>37011398</v>
      </c>
      <c r="I114" s="44" t="s">
        <v>485</v>
      </c>
    </row>
    <row r="115" spans="1:9" hidden="1" x14ac:dyDescent="0.25">
      <c r="A115" s="39">
        <v>37006600</v>
      </c>
      <c r="B115" s="40" t="s">
        <v>42</v>
      </c>
      <c r="C115" s="40" t="s">
        <v>399</v>
      </c>
      <c r="D115" s="40" t="s">
        <v>406</v>
      </c>
      <c r="E115" s="40" t="s">
        <v>401</v>
      </c>
      <c r="F115" s="41" t="s">
        <v>402</v>
      </c>
      <c r="G115" s="40" t="s">
        <v>413</v>
      </c>
      <c r="H115">
        <f>VLOOKUP(A115,Tabela2[MATRÍCULA],1,0)</f>
        <v>37006600</v>
      </c>
      <c r="I115" s="40" t="s">
        <v>413</v>
      </c>
    </row>
    <row r="116" spans="1:9" x14ac:dyDescent="0.25">
      <c r="A116" s="39">
        <v>37006903</v>
      </c>
      <c r="B116" s="40" t="s">
        <v>452</v>
      </c>
      <c r="C116" s="40" t="s">
        <v>453</v>
      </c>
      <c r="D116" s="40" t="s">
        <v>408</v>
      </c>
      <c r="E116" s="40" t="s">
        <v>401</v>
      </c>
      <c r="F116" s="41" t="s">
        <v>402</v>
      </c>
      <c r="G116" s="40" t="s">
        <v>483</v>
      </c>
      <c r="H116" s="40" t="s">
        <v>483</v>
      </c>
      <c r="I116" s="44" t="s">
        <v>485</v>
      </c>
    </row>
    <row r="117" spans="1:9" hidden="1" x14ac:dyDescent="0.25">
      <c r="A117" s="39">
        <v>37011088</v>
      </c>
      <c r="B117" s="40" t="s">
        <v>454</v>
      </c>
      <c r="C117" s="40" t="s">
        <v>407</v>
      </c>
      <c r="D117" s="40" t="s">
        <v>408</v>
      </c>
      <c r="E117" s="40" t="s">
        <v>401</v>
      </c>
      <c r="F117" s="41" t="s">
        <v>402</v>
      </c>
      <c r="G117" s="40" t="s">
        <v>413</v>
      </c>
      <c r="H117">
        <f>VLOOKUP(A117,Tabela2[MATRÍCULA],1,0)</f>
        <v>37011088</v>
      </c>
      <c r="I117" s="40" t="s">
        <v>413</v>
      </c>
    </row>
    <row r="118" spans="1:9" hidden="1" x14ac:dyDescent="0.25">
      <c r="A118" s="39">
        <v>37006680</v>
      </c>
      <c r="B118" s="40" t="s">
        <v>73</v>
      </c>
      <c r="C118" s="40" t="s">
        <v>407</v>
      </c>
      <c r="D118" s="40" t="s">
        <v>408</v>
      </c>
      <c r="E118" s="40" t="s">
        <v>401</v>
      </c>
      <c r="F118" s="41" t="s">
        <v>402</v>
      </c>
      <c r="G118" s="40" t="s">
        <v>413</v>
      </c>
      <c r="H118">
        <f>VLOOKUP(A118,Tabela2[MATRÍCULA],1,0)</f>
        <v>37006680</v>
      </c>
      <c r="I118" s="40" t="s">
        <v>413</v>
      </c>
    </row>
    <row r="119" spans="1:9" hidden="1" x14ac:dyDescent="0.25">
      <c r="A119" s="39">
        <v>37006849</v>
      </c>
      <c r="B119" s="42" t="s">
        <v>129</v>
      </c>
      <c r="C119" s="40" t="s">
        <v>407</v>
      </c>
      <c r="D119" s="40" t="s">
        <v>408</v>
      </c>
      <c r="E119" s="40" t="s">
        <v>401</v>
      </c>
      <c r="F119" s="41" t="s">
        <v>402</v>
      </c>
      <c r="G119" s="40" t="s">
        <v>413</v>
      </c>
      <c r="H119">
        <f>VLOOKUP(A119,Tabela2[MATRÍCULA],1,0)</f>
        <v>37006849</v>
      </c>
      <c r="I119" s="40" t="s">
        <v>413</v>
      </c>
    </row>
    <row r="120" spans="1:9" x14ac:dyDescent="0.25">
      <c r="A120" s="39">
        <v>37004391</v>
      </c>
      <c r="B120" s="40" t="s">
        <v>40</v>
      </c>
      <c r="C120" s="40" t="s">
        <v>399</v>
      </c>
      <c r="D120" s="40" t="s">
        <v>406</v>
      </c>
      <c r="E120" s="40" t="s">
        <v>401</v>
      </c>
      <c r="F120" s="41" t="s">
        <v>402</v>
      </c>
      <c r="G120" s="40"/>
      <c r="H120">
        <f>VLOOKUP(A120,Tabela2[MATRÍCULA],1,0)</f>
        <v>37004391</v>
      </c>
      <c r="I120" s="44" t="s">
        <v>485</v>
      </c>
    </row>
    <row r="121" spans="1:9" x14ac:dyDescent="0.25">
      <c r="A121" s="39">
        <v>37001613</v>
      </c>
      <c r="B121" s="40" t="s">
        <v>56</v>
      </c>
      <c r="C121" s="40" t="s">
        <v>410</v>
      </c>
      <c r="D121" s="40" t="s">
        <v>411</v>
      </c>
      <c r="E121" s="40" t="s">
        <v>401</v>
      </c>
      <c r="F121" s="41" t="s">
        <v>402</v>
      </c>
      <c r="G121" s="40"/>
      <c r="H121">
        <f>VLOOKUP(A121,Tabela2[MATRÍCULA],1,0)</f>
        <v>37001613</v>
      </c>
      <c r="I121" s="44" t="s">
        <v>485</v>
      </c>
    </row>
    <row r="122" spans="1:9" x14ac:dyDescent="0.25">
      <c r="A122" s="39">
        <v>37013969</v>
      </c>
      <c r="B122" s="40" t="s">
        <v>455</v>
      </c>
      <c r="C122" s="40" t="s">
        <v>456</v>
      </c>
      <c r="D122" s="40" t="s">
        <v>457</v>
      </c>
      <c r="E122" s="40" t="s">
        <v>401</v>
      </c>
      <c r="F122" s="41" t="s">
        <v>402</v>
      </c>
      <c r="G122" s="40" t="s">
        <v>483</v>
      </c>
      <c r="H122" s="40" t="s">
        <v>483</v>
      </c>
      <c r="I122" s="44" t="s">
        <v>485</v>
      </c>
    </row>
    <row r="123" spans="1:9" x14ac:dyDescent="0.25">
      <c r="A123" s="39">
        <v>37014126</v>
      </c>
      <c r="B123" s="40" t="s">
        <v>458</v>
      </c>
      <c r="C123" s="40" t="s">
        <v>459</v>
      </c>
      <c r="D123" s="40" t="s">
        <v>411</v>
      </c>
      <c r="E123" s="40" t="s">
        <v>401</v>
      </c>
      <c r="F123" s="41" t="s">
        <v>402</v>
      </c>
      <c r="G123" s="40"/>
      <c r="H123">
        <f>VLOOKUP(A123,Tabela2[MATRÍCULA],1,0)</f>
        <v>37014126</v>
      </c>
      <c r="I123" s="44" t="s">
        <v>485</v>
      </c>
    </row>
    <row r="124" spans="1:9" x14ac:dyDescent="0.25">
      <c r="A124" s="39">
        <v>37003128</v>
      </c>
      <c r="B124" s="40" t="s">
        <v>105</v>
      </c>
      <c r="C124" s="40" t="s">
        <v>399</v>
      </c>
      <c r="D124" s="40" t="s">
        <v>406</v>
      </c>
      <c r="E124" s="40" t="s">
        <v>401</v>
      </c>
      <c r="F124" s="41" t="s">
        <v>402</v>
      </c>
      <c r="G124" s="40"/>
      <c r="H124">
        <f>VLOOKUP(A124,Tabela2[MATRÍCULA],1,0)</f>
        <v>37003128</v>
      </c>
      <c r="I124" s="44" t="s">
        <v>485</v>
      </c>
    </row>
    <row r="125" spans="1:9" x14ac:dyDescent="0.25">
      <c r="A125" s="39">
        <v>37000143</v>
      </c>
      <c r="B125" s="40" t="s">
        <v>39</v>
      </c>
      <c r="C125" s="40" t="s">
        <v>403</v>
      </c>
      <c r="D125" s="40" t="s">
        <v>406</v>
      </c>
      <c r="E125" s="40" t="s">
        <v>401</v>
      </c>
      <c r="F125" s="41" t="s">
        <v>402</v>
      </c>
      <c r="G125" s="40"/>
      <c r="H125">
        <f>VLOOKUP(A125,Tabela2[MATRÍCULA],1,0)</f>
        <v>37000143</v>
      </c>
      <c r="I125" s="44" t="s">
        <v>485</v>
      </c>
    </row>
    <row r="126" spans="1:9" x14ac:dyDescent="0.25">
      <c r="A126" s="39">
        <v>37011013</v>
      </c>
      <c r="B126" s="40" t="s">
        <v>460</v>
      </c>
      <c r="C126" s="40" t="s">
        <v>410</v>
      </c>
      <c r="D126" s="40" t="s">
        <v>411</v>
      </c>
      <c r="E126" s="40" t="s">
        <v>401</v>
      </c>
      <c r="F126" s="41" t="s">
        <v>402</v>
      </c>
      <c r="G126" s="40"/>
      <c r="H126">
        <f>VLOOKUP(A126,Tabela2[MATRÍCULA],1,0)</f>
        <v>37011013</v>
      </c>
      <c r="I126" s="44" t="s">
        <v>485</v>
      </c>
    </row>
    <row r="127" spans="1:9" hidden="1" x14ac:dyDescent="0.25">
      <c r="A127" s="39">
        <v>37006877</v>
      </c>
      <c r="B127" s="40" t="s">
        <v>131</v>
      </c>
      <c r="C127" s="40" t="s">
        <v>407</v>
      </c>
      <c r="D127" s="40" t="s">
        <v>408</v>
      </c>
      <c r="E127" s="40" t="s">
        <v>401</v>
      </c>
      <c r="F127" s="41" t="s">
        <v>402</v>
      </c>
      <c r="G127" s="40" t="s">
        <v>413</v>
      </c>
      <c r="H127">
        <f>VLOOKUP(A127,Tabela2[MATRÍCULA],1,0)</f>
        <v>37006877</v>
      </c>
      <c r="I127" s="40" t="s">
        <v>413</v>
      </c>
    </row>
    <row r="128" spans="1:9" x14ac:dyDescent="0.25">
      <c r="A128" s="39">
        <v>37014595</v>
      </c>
      <c r="B128" s="40" t="s">
        <v>461</v>
      </c>
      <c r="C128" s="40" t="s">
        <v>405</v>
      </c>
      <c r="D128" s="40" t="s">
        <v>406</v>
      </c>
      <c r="E128" s="40" t="s">
        <v>401</v>
      </c>
      <c r="F128" s="41" t="s">
        <v>402</v>
      </c>
      <c r="G128" s="40"/>
      <c r="H128">
        <f>VLOOKUP(A128,Tabela2[MATRÍCULA],1,0)</f>
        <v>37014595</v>
      </c>
      <c r="I128" s="44" t="s">
        <v>485</v>
      </c>
    </row>
    <row r="129" spans="1:9" x14ac:dyDescent="0.25">
      <c r="A129" s="39">
        <v>37004394</v>
      </c>
      <c r="B129" s="40" t="s">
        <v>462</v>
      </c>
      <c r="C129" s="40" t="s">
        <v>399</v>
      </c>
      <c r="D129" s="40" t="s">
        <v>400</v>
      </c>
      <c r="E129" s="40" t="s">
        <v>401</v>
      </c>
      <c r="F129" s="41" t="s">
        <v>402</v>
      </c>
      <c r="G129" s="40"/>
      <c r="H129">
        <f>VLOOKUP(A129,Tabela2[MATRÍCULA],1,0)</f>
        <v>37004394</v>
      </c>
      <c r="I129" s="44" t="s">
        <v>485</v>
      </c>
    </row>
    <row r="130" spans="1:9" x14ac:dyDescent="0.25">
      <c r="A130" s="39">
        <v>37006821</v>
      </c>
      <c r="B130" s="40" t="s">
        <v>463</v>
      </c>
      <c r="C130" s="40" t="s">
        <v>453</v>
      </c>
      <c r="D130" s="40" t="s">
        <v>408</v>
      </c>
      <c r="E130" s="40" t="s">
        <v>401</v>
      </c>
      <c r="F130" s="41" t="s">
        <v>402</v>
      </c>
      <c r="G130" s="40" t="s">
        <v>483</v>
      </c>
      <c r="H130" s="40" t="s">
        <v>483</v>
      </c>
      <c r="I130" s="44" t="s">
        <v>485</v>
      </c>
    </row>
    <row r="131" spans="1:9" hidden="1" x14ac:dyDescent="0.25">
      <c r="A131" s="39">
        <v>37005812</v>
      </c>
      <c r="B131" s="40" t="s">
        <v>13</v>
      </c>
      <c r="C131" s="40" t="s">
        <v>399</v>
      </c>
      <c r="D131" s="40" t="s">
        <v>406</v>
      </c>
      <c r="E131" s="40" t="s">
        <v>401</v>
      </c>
      <c r="F131" s="41" t="s">
        <v>402</v>
      </c>
      <c r="G131" s="40" t="s">
        <v>413</v>
      </c>
      <c r="H131">
        <f>VLOOKUP(A131,Tabela2[MATRÍCULA],1,0)</f>
        <v>37005812</v>
      </c>
      <c r="I131" s="40" t="s">
        <v>413</v>
      </c>
    </row>
    <row r="132" spans="1:9" hidden="1" x14ac:dyDescent="0.25">
      <c r="A132" s="39">
        <v>37006922</v>
      </c>
      <c r="B132" s="40" t="s">
        <v>82</v>
      </c>
      <c r="C132" s="40" t="s">
        <v>407</v>
      </c>
      <c r="D132" s="40" t="s">
        <v>417</v>
      </c>
      <c r="E132" s="40" t="s">
        <v>401</v>
      </c>
      <c r="F132" s="41" t="s">
        <v>402</v>
      </c>
      <c r="G132" s="40" t="s">
        <v>443</v>
      </c>
      <c r="H132">
        <f>VLOOKUP(A132,Tabela2[MATRÍCULA],1,0)</f>
        <v>37006922</v>
      </c>
      <c r="I132" s="40" t="s">
        <v>413</v>
      </c>
    </row>
    <row r="133" spans="1:9" x14ac:dyDescent="0.25">
      <c r="A133" s="39">
        <v>37006696</v>
      </c>
      <c r="B133" s="40" t="s">
        <v>77</v>
      </c>
      <c r="C133" s="40" t="s">
        <v>407</v>
      </c>
      <c r="D133" s="40" t="s">
        <v>408</v>
      </c>
      <c r="E133" s="40" t="s">
        <v>401</v>
      </c>
      <c r="F133" s="41" t="s">
        <v>402</v>
      </c>
      <c r="G133" s="40"/>
      <c r="H133">
        <f>VLOOKUP(A133,Tabela2[MATRÍCULA],1,0)</f>
        <v>37006696</v>
      </c>
      <c r="I133" s="44" t="s">
        <v>485</v>
      </c>
    </row>
    <row r="134" spans="1:9" x14ac:dyDescent="0.25">
      <c r="A134" s="39">
        <v>37001213</v>
      </c>
      <c r="B134" s="40" t="s">
        <v>49</v>
      </c>
      <c r="C134" s="40" t="s">
        <v>399</v>
      </c>
      <c r="D134" s="40" t="s">
        <v>406</v>
      </c>
      <c r="E134" s="40" t="s">
        <v>401</v>
      </c>
      <c r="F134" s="41" t="s">
        <v>402</v>
      </c>
      <c r="G134" s="40"/>
      <c r="H134">
        <f>VLOOKUP(A134,Tabela2[MATRÍCULA],1,0)</f>
        <v>37001213</v>
      </c>
      <c r="I134" s="44" t="s">
        <v>485</v>
      </c>
    </row>
    <row r="135" spans="1:9" x14ac:dyDescent="0.25">
      <c r="A135" s="39">
        <v>37005818</v>
      </c>
      <c r="B135" s="40" t="s">
        <v>118</v>
      </c>
      <c r="C135" s="40" t="s">
        <v>399</v>
      </c>
      <c r="D135" s="40" t="s">
        <v>400</v>
      </c>
      <c r="E135" s="40" t="s">
        <v>401</v>
      </c>
      <c r="F135" s="41" t="s">
        <v>402</v>
      </c>
      <c r="G135" s="40"/>
      <c r="H135">
        <f>VLOOKUP(A135,Tabela2[MATRÍCULA],1,0)</f>
        <v>37005818</v>
      </c>
      <c r="I135" s="44" t="s">
        <v>485</v>
      </c>
    </row>
    <row r="136" spans="1:9" x14ac:dyDescent="0.25">
      <c r="A136" s="39">
        <v>37005807</v>
      </c>
      <c r="B136" s="40" t="s">
        <v>116</v>
      </c>
      <c r="C136" s="40" t="s">
        <v>399</v>
      </c>
      <c r="D136" s="40" t="s">
        <v>406</v>
      </c>
      <c r="E136" s="40" t="s">
        <v>401</v>
      </c>
      <c r="F136" s="41" t="s">
        <v>402</v>
      </c>
      <c r="G136" s="40"/>
      <c r="H136">
        <f>VLOOKUP(A136,Tabela2[MATRÍCULA],1,0)</f>
        <v>37005807</v>
      </c>
      <c r="I136" s="44" t="s">
        <v>485</v>
      </c>
    </row>
    <row r="137" spans="1:9" x14ac:dyDescent="0.25">
      <c r="A137" s="39">
        <v>37011000</v>
      </c>
      <c r="B137" s="40" t="s">
        <v>464</v>
      </c>
      <c r="C137" s="40" t="s">
        <v>410</v>
      </c>
      <c r="D137" s="40" t="s">
        <v>411</v>
      </c>
      <c r="E137" s="40" t="s">
        <v>401</v>
      </c>
      <c r="F137" s="41" t="s">
        <v>402</v>
      </c>
      <c r="G137" s="40"/>
      <c r="H137">
        <f>VLOOKUP(A137,Tabela2[MATRÍCULA],1,0)</f>
        <v>37011000</v>
      </c>
      <c r="I137" s="44" t="s">
        <v>485</v>
      </c>
    </row>
    <row r="138" spans="1:9" x14ac:dyDescent="0.25">
      <c r="A138" s="39">
        <v>37007831</v>
      </c>
      <c r="B138" s="40" t="s">
        <v>32</v>
      </c>
      <c r="C138" s="40" t="s">
        <v>399</v>
      </c>
      <c r="D138" s="40" t="s">
        <v>406</v>
      </c>
      <c r="E138" s="40" t="s">
        <v>401</v>
      </c>
      <c r="F138" s="41" t="s">
        <v>402</v>
      </c>
      <c r="G138" s="40"/>
      <c r="H138">
        <f>VLOOKUP(A138,Tabela2[MATRÍCULA],1,0)</f>
        <v>37007831</v>
      </c>
      <c r="I138" s="44" t="s">
        <v>485</v>
      </c>
    </row>
    <row r="139" spans="1:9" x14ac:dyDescent="0.25">
      <c r="A139" s="39">
        <v>37004398</v>
      </c>
      <c r="B139" s="40" t="s">
        <v>113</v>
      </c>
      <c r="C139" s="40" t="s">
        <v>399</v>
      </c>
      <c r="D139" s="40" t="s">
        <v>406</v>
      </c>
      <c r="E139" s="40" t="s">
        <v>401</v>
      </c>
      <c r="F139" s="41" t="s">
        <v>402</v>
      </c>
      <c r="G139" s="40"/>
      <c r="H139">
        <f>VLOOKUP(A139,Tabela2[MATRÍCULA],1,0)</f>
        <v>37004398</v>
      </c>
      <c r="I139" s="44" t="s">
        <v>485</v>
      </c>
    </row>
    <row r="140" spans="1:9" x14ac:dyDescent="0.25">
      <c r="A140" s="39">
        <v>37016528</v>
      </c>
      <c r="B140" s="40" t="s">
        <v>465</v>
      </c>
      <c r="C140" s="40" t="s">
        <v>466</v>
      </c>
      <c r="D140" s="40" t="s">
        <v>408</v>
      </c>
      <c r="E140" s="40" t="s">
        <v>401</v>
      </c>
      <c r="F140" s="41" t="s">
        <v>402</v>
      </c>
      <c r="G140" s="40" t="s">
        <v>483</v>
      </c>
      <c r="H140" s="40" t="s">
        <v>483</v>
      </c>
      <c r="I140" s="44" t="s">
        <v>485</v>
      </c>
    </row>
    <row r="141" spans="1:9" hidden="1" x14ac:dyDescent="0.25">
      <c r="A141" s="39">
        <v>37006711</v>
      </c>
      <c r="B141" s="40" t="s">
        <v>70</v>
      </c>
      <c r="C141" s="40" t="s">
        <v>407</v>
      </c>
      <c r="D141" s="40" t="s">
        <v>408</v>
      </c>
      <c r="E141" s="40" t="s">
        <v>401</v>
      </c>
      <c r="F141" s="41" t="s">
        <v>402</v>
      </c>
      <c r="G141" s="40" t="s">
        <v>413</v>
      </c>
      <c r="H141" t="e">
        <f>VLOOKUP(A141,Tabela2[MATRÍCULA],1,0)</f>
        <v>#N/A</v>
      </c>
      <c r="I141" s="40" t="s">
        <v>413</v>
      </c>
    </row>
    <row r="142" spans="1:9" x14ac:dyDescent="0.25">
      <c r="A142" s="39">
        <v>37000130</v>
      </c>
      <c r="B142" s="40" t="s">
        <v>19</v>
      </c>
      <c r="C142" s="40" t="s">
        <v>399</v>
      </c>
      <c r="D142" s="40" t="s">
        <v>400</v>
      </c>
      <c r="E142" s="40" t="s">
        <v>401</v>
      </c>
      <c r="F142" s="41" t="s">
        <v>402</v>
      </c>
      <c r="G142" s="40"/>
      <c r="H142">
        <f>VLOOKUP(A142,Tabela2[MATRÍCULA],1,0)</f>
        <v>37000130</v>
      </c>
      <c r="I142" s="44" t="s">
        <v>485</v>
      </c>
    </row>
    <row r="143" spans="1:9" hidden="1" x14ac:dyDescent="0.25">
      <c r="A143" s="39">
        <v>37017342</v>
      </c>
      <c r="B143" s="40" t="s">
        <v>309</v>
      </c>
      <c r="C143" s="40" t="s">
        <v>407</v>
      </c>
      <c r="D143" s="40" t="s">
        <v>408</v>
      </c>
      <c r="E143" s="40" t="s">
        <v>401</v>
      </c>
      <c r="F143" s="41" t="s">
        <v>402</v>
      </c>
      <c r="G143" s="40" t="s">
        <v>413</v>
      </c>
      <c r="H143">
        <f>VLOOKUP(A143,Tabela2[MATRÍCULA],1,0)</f>
        <v>37017342</v>
      </c>
      <c r="I143" s="40" t="s">
        <v>413</v>
      </c>
    </row>
    <row r="144" spans="1:9" x14ac:dyDescent="0.25">
      <c r="A144" s="39">
        <v>37006973</v>
      </c>
      <c r="B144" s="40" t="s">
        <v>51</v>
      </c>
      <c r="C144" s="40" t="s">
        <v>399</v>
      </c>
      <c r="D144" s="40" t="s">
        <v>406</v>
      </c>
      <c r="E144" s="40" t="s">
        <v>401</v>
      </c>
      <c r="F144" s="41" t="s">
        <v>402</v>
      </c>
      <c r="G144" s="40"/>
      <c r="H144">
        <f>VLOOKUP(A144,Tabela2[MATRÍCULA],1,0)</f>
        <v>37006973</v>
      </c>
      <c r="I144" s="44" t="s">
        <v>485</v>
      </c>
    </row>
    <row r="145" spans="1:9" hidden="1" x14ac:dyDescent="0.25">
      <c r="A145" s="39">
        <v>37005681</v>
      </c>
      <c r="B145" s="40" t="s">
        <v>90</v>
      </c>
      <c r="C145" s="40" t="s">
        <v>423</v>
      </c>
      <c r="D145" s="40" t="s">
        <v>411</v>
      </c>
      <c r="E145" s="40" t="s">
        <v>401</v>
      </c>
      <c r="F145" s="41" t="s">
        <v>402</v>
      </c>
      <c r="G145" s="40" t="s">
        <v>443</v>
      </c>
      <c r="H145">
        <f>VLOOKUP(A145,Tabela2[MATRÍCULA],1,0)</f>
        <v>37005681</v>
      </c>
      <c r="I145" s="40" t="s">
        <v>413</v>
      </c>
    </row>
    <row r="146" spans="1:9" hidden="1" x14ac:dyDescent="0.25">
      <c r="A146" s="39">
        <v>37013349</v>
      </c>
      <c r="B146" s="40" t="s">
        <v>467</v>
      </c>
      <c r="C146" s="40" t="s">
        <v>407</v>
      </c>
      <c r="D146" s="40" t="s">
        <v>408</v>
      </c>
      <c r="E146" s="40" t="s">
        <v>401</v>
      </c>
      <c r="F146" s="41" t="s">
        <v>402</v>
      </c>
      <c r="G146" s="40" t="s">
        <v>413</v>
      </c>
      <c r="H146">
        <f>VLOOKUP(A146,Tabela2[MATRÍCULA],1,0)</f>
        <v>37013349</v>
      </c>
      <c r="I146" s="40" t="s">
        <v>413</v>
      </c>
    </row>
    <row r="147" spans="1:9" x14ac:dyDescent="0.25">
      <c r="A147" s="39">
        <v>37013986</v>
      </c>
      <c r="B147" s="40" t="s">
        <v>468</v>
      </c>
      <c r="C147" s="40" t="s">
        <v>407</v>
      </c>
      <c r="D147" s="40" t="s">
        <v>408</v>
      </c>
      <c r="E147" s="40" t="s">
        <v>401</v>
      </c>
      <c r="F147" s="41" t="s">
        <v>402</v>
      </c>
      <c r="G147" s="40" t="s">
        <v>483</v>
      </c>
      <c r="H147" s="40" t="s">
        <v>483</v>
      </c>
      <c r="I147" s="44" t="s">
        <v>485</v>
      </c>
    </row>
    <row r="148" spans="1:9" x14ac:dyDescent="0.25">
      <c r="A148" s="39">
        <v>37002863</v>
      </c>
      <c r="B148" s="40" t="s">
        <v>47</v>
      </c>
      <c r="C148" s="40" t="s">
        <v>399</v>
      </c>
      <c r="D148" s="40" t="s">
        <v>406</v>
      </c>
      <c r="E148" s="40" t="s">
        <v>401</v>
      </c>
      <c r="F148" s="41" t="s">
        <v>402</v>
      </c>
      <c r="G148" s="40"/>
      <c r="H148">
        <f>VLOOKUP(A148,Tabela2[MATRÍCULA],1,0)</f>
        <v>37002863</v>
      </c>
      <c r="I148" s="44" t="s">
        <v>485</v>
      </c>
    </row>
    <row r="149" spans="1:9" hidden="1" x14ac:dyDescent="0.25">
      <c r="A149" s="39">
        <v>37006902</v>
      </c>
      <c r="B149" s="42" t="s">
        <v>74</v>
      </c>
      <c r="C149" s="40" t="s">
        <v>407</v>
      </c>
      <c r="D149" s="40" t="s">
        <v>408</v>
      </c>
      <c r="E149" s="40" t="s">
        <v>401</v>
      </c>
      <c r="F149" s="41" t="s">
        <v>402</v>
      </c>
      <c r="G149" s="40" t="s">
        <v>413</v>
      </c>
      <c r="H149">
        <f>VLOOKUP(A149,Tabela2[MATRÍCULA],1,0)</f>
        <v>37006902</v>
      </c>
      <c r="I149" s="40" t="s">
        <v>413</v>
      </c>
    </row>
    <row r="150" spans="1:9" x14ac:dyDescent="0.25">
      <c r="A150" s="39">
        <v>37014016</v>
      </c>
      <c r="B150" s="40" t="s">
        <v>469</v>
      </c>
      <c r="C150" s="40" t="s">
        <v>405</v>
      </c>
      <c r="D150" s="40" t="s">
        <v>406</v>
      </c>
      <c r="E150" s="40" t="s">
        <v>401</v>
      </c>
      <c r="F150" s="41" t="s">
        <v>402</v>
      </c>
      <c r="G150" s="40"/>
      <c r="H150">
        <f>VLOOKUP(A150,Tabela2[MATRÍCULA],1,0)</f>
        <v>37014016</v>
      </c>
      <c r="I150" s="44" t="s">
        <v>485</v>
      </c>
    </row>
    <row r="151" spans="1:9" x14ac:dyDescent="0.25">
      <c r="A151" s="39">
        <v>37004401</v>
      </c>
      <c r="B151" s="40" t="s">
        <v>470</v>
      </c>
      <c r="C151" s="40" t="s">
        <v>410</v>
      </c>
      <c r="D151" s="40" t="s">
        <v>411</v>
      </c>
      <c r="E151" s="40" t="s">
        <v>401</v>
      </c>
      <c r="F151" s="41" t="s">
        <v>402</v>
      </c>
      <c r="G151" s="40" t="s">
        <v>482</v>
      </c>
      <c r="H151" s="40" t="s">
        <v>482</v>
      </c>
      <c r="I151" s="44" t="s">
        <v>485</v>
      </c>
    </row>
    <row r="152" spans="1:9" x14ac:dyDescent="0.25">
      <c r="A152" s="39">
        <v>37016639</v>
      </c>
      <c r="B152" s="40" t="s">
        <v>471</v>
      </c>
      <c r="C152" s="40" t="s">
        <v>407</v>
      </c>
      <c r="D152" s="40" t="s">
        <v>417</v>
      </c>
      <c r="E152" s="40" t="s">
        <v>401</v>
      </c>
      <c r="F152" s="41" t="s">
        <v>402</v>
      </c>
      <c r="G152" s="40"/>
      <c r="H152">
        <f>VLOOKUP(A152,Tabela2[MATRÍCULA],1,0)</f>
        <v>37016639</v>
      </c>
      <c r="I152" s="44" t="s">
        <v>485</v>
      </c>
    </row>
    <row r="153" spans="1:9" x14ac:dyDescent="0.25">
      <c r="A153" s="39">
        <v>37000359</v>
      </c>
      <c r="B153" s="40" t="s">
        <v>97</v>
      </c>
      <c r="C153" s="40" t="s">
        <v>422</v>
      </c>
      <c r="D153" s="40" t="s">
        <v>411</v>
      </c>
      <c r="E153" s="40" t="s">
        <v>401</v>
      </c>
      <c r="F153" s="41" t="s">
        <v>402</v>
      </c>
      <c r="G153" s="40"/>
      <c r="H153">
        <f>VLOOKUP(A153,Tabela2[MATRÍCULA],1,0)</f>
        <v>37000359</v>
      </c>
      <c r="I153" s="44" t="s">
        <v>485</v>
      </c>
    </row>
    <row r="154" spans="1:9" hidden="1" x14ac:dyDescent="0.25">
      <c r="A154" s="39">
        <v>37008795</v>
      </c>
      <c r="B154" s="40" t="s">
        <v>62</v>
      </c>
      <c r="C154" s="40" t="s">
        <v>410</v>
      </c>
      <c r="D154" s="40" t="s">
        <v>411</v>
      </c>
      <c r="E154" s="40" t="s">
        <v>401</v>
      </c>
      <c r="F154" s="41" t="s">
        <v>402</v>
      </c>
      <c r="G154" s="40" t="s">
        <v>443</v>
      </c>
      <c r="H154">
        <f>VLOOKUP(A154,Tabela2[MATRÍCULA],1,0)</f>
        <v>37008795</v>
      </c>
      <c r="I154" s="40" t="s">
        <v>413</v>
      </c>
    </row>
    <row r="155" spans="1:9" x14ac:dyDescent="0.25">
      <c r="A155" s="39">
        <v>37006015</v>
      </c>
      <c r="B155" s="40" t="s">
        <v>472</v>
      </c>
      <c r="C155" s="40" t="s">
        <v>473</v>
      </c>
      <c r="D155" s="40" t="s">
        <v>411</v>
      </c>
      <c r="E155" s="40" t="s">
        <v>401</v>
      </c>
      <c r="F155" s="41" t="s">
        <v>402</v>
      </c>
      <c r="G155" s="40" t="s">
        <v>413</v>
      </c>
      <c r="H155" t="s">
        <v>482</v>
      </c>
      <c r="I155" s="44" t="s">
        <v>485</v>
      </c>
    </row>
    <row r="156" spans="1:9" hidden="1" x14ac:dyDescent="0.25">
      <c r="A156" s="39">
        <v>37011165</v>
      </c>
      <c r="B156" s="40" t="s">
        <v>474</v>
      </c>
      <c r="C156" s="40" t="s">
        <v>407</v>
      </c>
      <c r="D156" s="40" t="s">
        <v>408</v>
      </c>
      <c r="E156" s="40" t="s">
        <v>401</v>
      </c>
      <c r="F156" s="41" t="s">
        <v>402</v>
      </c>
      <c r="G156" s="40" t="s">
        <v>413</v>
      </c>
      <c r="H156">
        <f>VLOOKUP(A156,Tabela2[MATRÍCULA],1,0)</f>
        <v>37011165</v>
      </c>
      <c r="I156" s="40" t="s">
        <v>413</v>
      </c>
    </row>
    <row r="157" spans="1:9" x14ac:dyDescent="0.25">
      <c r="A157" s="39">
        <v>37005989</v>
      </c>
      <c r="B157" s="40" t="s">
        <v>48</v>
      </c>
      <c r="C157" s="40" t="s">
        <v>399</v>
      </c>
      <c r="D157" s="40" t="s">
        <v>406</v>
      </c>
      <c r="E157" s="40" t="s">
        <v>401</v>
      </c>
      <c r="F157" s="41" t="s">
        <v>402</v>
      </c>
      <c r="G157" s="40"/>
      <c r="H157">
        <f>VLOOKUP(A157,Tabela2[MATRÍCULA],1,0)</f>
        <v>37005989</v>
      </c>
      <c r="I157" s="44" t="s">
        <v>485</v>
      </c>
    </row>
    <row r="158" spans="1:9" x14ac:dyDescent="0.25">
      <c r="A158" s="39">
        <v>37006303</v>
      </c>
      <c r="B158" s="40" t="s">
        <v>43</v>
      </c>
      <c r="C158" s="40" t="s">
        <v>399</v>
      </c>
      <c r="D158" s="40" t="s">
        <v>406</v>
      </c>
      <c r="E158" s="40" t="s">
        <v>401</v>
      </c>
      <c r="F158" s="41" t="s">
        <v>402</v>
      </c>
      <c r="G158" s="40"/>
      <c r="H158">
        <f>VLOOKUP(A158,Tabela2[MATRÍCULA],1,0)</f>
        <v>37006303</v>
      </c>
      <c r="I158" s="44" t="s">
        <v>485</v>
      </c>
    </row>
    <row r="159" spans="1:9" x14ac:dyDescent="0.25">
      <c r="A159" s="39">
        <v>37004410</v>
      </c>
      <c r="B159" s="40" t="s">
        <v>12</v>
      </c>
      <c r="C159" s="40" t="s">
        <v>399</v>
      </c>
      <c r="D159" s="40" t="s">
        <v>406</v>
      </c>
      <c r="E159" s="40" t="s">
        <v>401</v>
      </c>
      <c r="F159" s="41" t="s">
        <v>402</v>
      </c>
      <c r="G159" s="40"/>
      <c r="H159">
        <f>VLOOKUP(A159,Tabela2[MATRÍCULA],1,0)</f>
        <v>37004410</v>
      </c>
      <c r="I159" s="44" t="s">
        <v>485</v>
      </c>
    </row>
    <row r="160" spans="1:9" x14ac:dyDescent="0.25">
      <c r="A160" s="39">
        <v>37004438</v>
      </c>
      <c r="B160" s="40" t="s">
        <v>475</v>
      </c>
      <c r="C160" s="40" t="s">
        <v>399</v>
      </c>
      <c r="D160" s="40" t="s">
        <v>406</v>
      </c>
      <c r="E160" s="40" t="s">
        <v>401</v>
      </c>
      <c r="F160" s="41" t="s">
        <v>402</v>
      </c>
      <c r="G160" s="40"/>
      <c r="H160">
        <f>VLOOKUP(A160,Tabela2[MATRÍCULA],1,0)</f>
        <v>37004438</v>
      </c>
      <c r="I160" s="44" t="s">
        <v>485</v>
      </c>
    </row>
    <row r="161" spans="1:9" hidden="1" x14ac:dyDescent="0.25">
      <c r="A161" s="39">
        <v>37004411</v>
      </c>
      <c r="B161" s="40" t="s">
        <v>29</v>
      </c>
      <c r="C161" s="40" t="s">
        <v>399</v>
      </c>
      <c r="D161" s="40" t="s">
        <v>406</v>
      </c>
      <c r="E161" s="40" t="s">
        <v>401</v>
      </c>
      <c r="F161" s="41" t="s">
        <v>402</v>
      </c>
      <c r="G161" s="40" t="s">
        <v>413</v>
      </c>
      <c r="H161">
        <f>VLOOKUP(A161,Tabela2[MATRÍCULA],1,0)</f>
        <v>37004411</v>
      </c>
      <c r="I161" s="40" t="s">
        <v>413</v>
      </c>
    </row>
    <row r="162" spans="1:9" x14ac:dyDescent="0.25">
      <c r="A162" s="39">
        <v>37011015</v>
      </c>
      <c r="B162" s="40" t="s">
        <v>476</v>
      </c>
      <c r="C162" s="40" t="s">
        <v>477</v>
      </c>
      <c r="D162" s="40" t="s">
        <v>478</v>
      </c>
      <c r="E162" s="40" t="s">
        <v>401</v>
      </c>
      <c r="F162" s="41" t="s">
        <v>402</v>
      </c>
      <c r="G162" s="40"/>
      <c r="H162">
        <f>VLOOKUP(A162,Tabela2[MATRÍCULA],1,0)</f>
        <v>37011015</v>
      </c>
      <c r="I162" s="44" t="s">
        <v>485</v>
      </c>
    </row>
    <row r="163" spans="1:9" x14ac:dyDescent="0.25">
      <c r="A163" s="39">
        <v>37012262</v>
      </c>
      <c r="B163" s="40" t="s">
        <v>479</v>
      </c>
      <c r="C163" s="40" t="s">
        <v>407</v>
      </c>
      <c r="D163" s="40" t="s">
        <v>408</v>
      </c>
      <c r="E163" s="40" t="s">
        <v>401</v>
      </c>
      <c r="F163" s="41" t="s">
        <v>402</v>
      </c>
      <c r="G163" s="40"/>
      <c r="H163">
        <f>VLOOKUP(A163,Tabela2[MATRÍCULA],1,0)</f>
        <v>37012262</v>
      </c>
      <c r="I163" s="44" t="s">
        <v>485</v>
      </c>
    </row>
    <row r="164" spans="1:9" hidden="1" x14ac:dyDescent="0.25">
      <c r="A164" s="39">
        <v>37016453</v>
      </c>
      <c r="B164" s="40" t="s">
        <v>480</v>
      </c>
      <c r="C164" s="40" t="s">
        <v>407</v>
      </c>
      <c r="D164" s="40" t="s">
        <v>408</v>
      </c>
      <c r="E164" s="40" t="s">
        <v>401</v>
      </c>
      <c r="F164" s="41" t="s">
        <v>402</v>
      </c>
      <c r="G164" s="40" t="s">
        <v>413</v>
      </c>
      <c r="H164">
        <f>VLOOKUP(A164,Tabela2[MATRÍCULA],1,0)</f>
        <v>37016453</v>
      </c>
      <c r="I164" s="40" t="s">
        <v>413</v>
      </c>
    </row>
  </sheetData>
  <autoFilter ref="A1:I164" xr:uid="{8D72285A-6806-4D11-80DD-F628C7A46000}">
    <filterColumn colId="8">
      <filters blank="1"/>
    </filterColumn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F1B20A-BAB3-428C-A470-9B21A22506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BD</vt:lpstr>
      <vt:lpstr>ESCALA 2025</vt:lpstr>
      <vt:lpstr>Planilha2</vt:lpstr>
      <vt:lpstr>Turnos</vt:lpstr>
      <vt:lpstr>Afastamentos</vt:lpstr>
      <vt:lpstr>Cartilha 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de Oliveira Marciano</dc:creator>
  <cp:lastModifiedBy>Socrates Luis dos Santos</cp:lastModifiedBy>
  <cp:lastPrinted>2025-02-21T19:54:22Z</cp:lastPrinted>
  <dcterms:created xsi:type="dcterms:W3CDTF">2015-06-05T18:19:34Z</dcterms:created>
  <dcterms:modified xsi:type="dcterms:W3CDTF">2025-05-19T13:47:09Z</dcterms:modified>
</cp:coreProperties>
</file>