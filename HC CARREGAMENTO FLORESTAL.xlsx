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F:\Logistica_Florestal\CARREGAMENTO\7. DIVISÃO CC\HC Carregamento\"/>
    </mc:Choice>
  </mc:AlternateContent>
  <xr:revisionPtr revIDLastSave="0" documentId="13_ncr:1_{8DC5F4FC-5539-4C5A-8854-3A95D83E1E58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DINAMICS1" sheetId="6" r:id="rId1"/>
    <sheet name="ASSISTENTES E OPERADORES" sheetId="1" r:id="rId2"/>
    <sheet name="Planilha1" sheetId="7" state="hidden" r:id="rId3"/>
    <sheet name="SUPERVISORES E TECNICOS" sheetId="2" r:id="rId4"/>
    <sheet name="APOIO_TRANSPORTE" sheetId="3" r:id="rId5"/>
    <sheet name="ESCOPO-VAGAS" sheetId="10" r:id="rId6"/>
    <sheet name="MAPEAMENTO" sheetId="11" r:id="rId7"/>
    <sheet name="Planilha2" sheetId="8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'ASSISTENTES E OPERADORES'!$A$1:$K$166</definedName>
  </definedNames>
  <calcPr calcId="191029"/>
  <pivotCaches>
    <pivotCache cacheId="2" r:id="rId12"/>
    <pivotCache cacheId="8" r:id="rId13"/>
    <pivotCache cacheId="13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9" i="3"/>
  <c r="H11" i="3"/>
  <c r="H12" i="3"/>
  <c r="H23" i="3"/>
  <c r="H25" i="3"/>
  <c r="H26" i="3"/>
  <c r="H15" i="3"/>
  <c r="H27" i="3"/>
  <c r="H47" i="3"/>
  <c r="H56" i="3"/>
  <c r="H58" i="3"/>
  <c r="H66" i="3"/>
  <c r="J61" i="1"/>
  <c r="C104" i="1" l="1"/>
  <c r="J104" i="1" l="1"/>
  <c r="C2" i="1"/>
  <c r="C3" i="1"/>
  <c r="C31" i="1" l="1"/>
  <c r="C162" i="1" l="1"/>
  <c r="J162" i="1"/>
  <c r="C158" i="1"/>
  <c r="J158" i="1"/>
  <c r="C166" i="1"/>
  <c r="C148" i="1" l="1"/>
  <c r="J148" i="1"/>
  <c r="C52" i="1" l="1"/>
  <c r="J52" i="1"/>
  <c r="J31" i="1"/>
  <c r="C56" i="1" l="1"/>
  <c r="J56" i="1"/>
  <c r="C46" i="1"/>
  <c r="J46" i="1"/>
  <c r="C127" i="1" l="1"/>
  <c r="J127" i="1"/>
  <c r="C41" i="1" l="1"/>
  <c r="J41" i="1"/>
  <c r="C63" i="1" l="1"/>
  <c r="J63" i="1"/>
  <c r="C40" i="1" l="1"/>
  <c r="C60" i="1"/>
  <c r="J40" i="1"/>
  <c r="C150" i="1" l="1"/>
  <c r="J150" i="1"/>
  <c r="C87" i="1"/>
  <c r="J87" i="1"/>
  <c r="C13" i="1" l="1"/>
  <c r="J13" i="1"/>
  <c r="D46" i="3" l="1"/>
  <c r="I66" i="1"/>
  <c r="N10" i="10" l="1"/>
  <c r="C100" i="1" l="1"/>
  <c r="C120" i="1"/>
  <c r="C128" i="1"/>
  <c r="C156" i="1"/>
  <c r="J100" i="1" l="1"/>
  <c r="J156" i="1" l="1"/>
  <c r="J128" i="1" l="1"/>
  <c r="J120" i="1" l="1"/>
  <c r="N13" i="10" l="1"/>
  <c r="O13" i="10" s="1"/>
  <c r="N14" i="10"/>
  <c r="O14" i="10" s="1"/>
  <c r="N15" i="10"/>
  <c r="O15" i="10" s="1"/>
  <c r="N16" i="10"/>
  <c r="O16" i="10" s="1"/>
  <c r="N17" i="10"/>
  <c r="M17" i="10" s="1"/>
  <c r="N18" i="10"/>
  <c r="M18" i="10" s="1"/>
  <c r="N19" i="10"/>
  <c r="M19" i="10" s="1"/>
  <c r="N12" i="10"/>
  <c r="M12" i="10" s="1"/>
  <c r="N4" i="10"/>
  <c r="O4" i="10" s="1"/>
  <c r="N5" i="10"/>
  <c r="O5" i="10" s="1"/>
  <c r="N6" i="10"/>
  <c r="O6" i="10" s="1"/>
  <c r="N7" i="10"/>
  <c r="O7" i="10" s="1"/>
  <c r="N8" i="10"/>
  <c r="M8" i="10" s="1"/>
  <c r="N9" i="10"/>
  <c r="M9" i="10" s="1"/>
  <c r="M10" i="10"/>
  <c r="N3" i="10"/>
  <c r="M3" i="10" s="1"/>
  <c r="H9" i="10"/>
  <c r="I9" i="10"/>
  <c r="H8" i="10"/>
  <c r="H3" i="10"/>
  <c r="I3" i="10"/>
  <c r="I8" i="10"/>
  <c r="H12" i="10"/>
  <c r="I5" i="10"/>
  <c r="H4" i="10"/>
  <c r="I16" i="10"/>
  <c r="H16" i="10"/>
  <c r="H14" i="10"/>
  <c r="I12" i="10"/>
  <c r="I19" i="10"/>
  <c r="H13" i="10"/>
  <c r="I7" i="10"/>
  <c r="I14" i="10"/>
  <c r="I4" i="10"/>
  <c r="H10" i="10"/>
  <c r="I17" i="10"/>
  <c r="H5" i="10"/>
  <c r="H18" i="10"/>
  <c r="I13" i="10"/>
  <c r="H17" i="10"/>
  <c r="H15" i="10"/>
  <c r="H6" i="10"/>
  <c r="I6" i="10"/>
  <c r="I18" i="10"/>
  <c r="H19" i="10"/>
  <c r="I10" i="10"/>
  <c r="I15" i="10"/>
  <c r="H7" i="10"/>
  <c r="M14" i="10" l="1"/>
  <c r="M7" i="10"/>
  <c r="M16" i="10"/>
  <c r="M6" i="10"/>
  <c r="M15" i="10"/>
  <c r="M5" i="10"/>
  <c r="M4" i="10"/>
  <c r="M13" i="10"/>
  <c r="O3" i="10"/>
  <c r="O12" i="10"/>
  <c r="O10" i="10"/>
  <c r="O19" i="10"/>
  <c r="O9" i="10"/>
  <c r="O18" i="10"/>
  <c r="O8" i="10"/>
  <c r="O17" i="10"/>
  <c r="J3" i="10"/>
  <c r="J6" i="10"/>
  <c r="J18" i="10"/>
  <c r="J19" i="10"/>
  <c r="J5" i="10"/>
  <c r="J7" i="10"/>
  <c r="J12" i="10"/>
  <c r="J8" i="10"/>
  <c r="J13" i="10"/>
  <c r="J9" i="10"/>
  <c r="J14" i="10"/>
  <c r="J10" i="10"/>
  <c r="J15" i="10"/>
  <c r="J4" i="10"/>
  <c r="J16" i="10"/>
  <c r="J17" i="10"/>
  <c r="E56" i="3" l="1"/>
  <c r="C86" i="1" l="1"/>
  <c r="J86" i="1"/>
  <c r="C6" i="1" l="1"/>
  <c r="C74" i="1"/>
  <c r="C151" i="1"/>
  <c r="J151" i="1" l="1"/>
  <c r="C112" i="1" l="1"/>
  <c r="C154" i="1"/>
  <c r="C45" i="1"/>
  <c r="C51" i="1"/>
  <c r="C88" i="1"/>
  <c r="C110" i="1"/>
  <c r="C9" i="1"/>
  <c r="C23" i="1"/>
  <c r="C47" i="1"/>
  <c r="C48" i="1"/>
  <c r="C24" i="1"/>
  <c r="C25" i="1"/>
  <c r="C62" i="1"/>
  <c r="C130" i="1"/>
  <c r="C111" i="1"/>
  <c r="C15" i="1"/>
  <c r="C26" i="1"/>
  <c r="C81" i="1"/>
  <c r="C113" i="1"/>
  <c r="C155" i="1"/>
  <c r="C114" i="1"/>
  <c r="C27" i="1"/>
  <c r="C131" i="1"/>
  <c r="C115" i="1"/>
  <c r="C116" i="1"/>
  <c r="C132" i="1"/>
  <c r="C57" i="1"/>
  <c r="C117" i="1"/>
  <c r="C50" i="1"/>
  <c r="C157" i="1"/>
  <c r="C134" i="1"/>
  <c r="C28" i="1"/>
  <c r="C64" i="1"/>
  <c r="C29" i="1"/>
  <c r="C90" i="1"/>
  <c r="C65" i="1"/>
  <c r="C77" i="1"/>
  <c r="C124" i="1"/>
  <c r="C136" i="1"/>
  <c r="C55" i="1"/>
  <c r="C30" i="1"/>
  <c r="C10" i="1"/>
  <c r="C53" i="1"/>
  <c r="C94" i="1"/>
  <c r="C118" i="1"/>
  <c r="C95" i="1"/>
  <c r="C96" i="1"/>
  <c r="C16" i="1"/>
  <c r="C22" i="1"/>
  <c r="C11" i="1"/>
  <c r="C119" i="1"/>
  <c r="C35" i="1"/>
  <c r="C126" i="1"/>
  <c r="C137" i="1"/>
  <c r="C67" i="1"/>
  <c r="C66" i="1"/>
  <c r="C97" i="1"/>
  <c r="C12" i="1"/>
  <c r="C159" i="1"/>
  <c r="C160" i="1"/>
  <c r="C14" i="1"/>
  <c r="C32" i="1"/>
  <c r="C54" i="1"/>
  <c r="C78" i="1"/>
  <c r="C161" i="1"/>
  <c r="C99" i="1"/>
  <c r="C121" i="1"/>
  <c r="C84" i="1"/>
  <c r="C33" i="1"/>
  <c r="C68" i="1"/>
  <c r="C34" i="1"/>
  <c r="C69" i="1"/>
  <c r="C135" i="1"/>
  <c r="C17" i="1"/>
  <c r="C122" i="1"/>
  <c r="C138" i="1"/>
  <c r="C91" i="1"/>
  <c r="C70" i="1"/>
  <c r="C18" i="1"/>
  <c r="C101" i="1"/>
  <c r="C59" i="1"/>
  <c r="C140" i="1"/>
  <c r="C141" i="1"/>
  <c r="C143" i="1"/>
  <c r="C79" i="1"/>
  <c r="C102" i="1"/>
  <c r="C71" i="1"/>
  <c r="C144" i="1"/>
  <c r="C73" i="1"/>
  <c r="C72" i="1"/>
  <c r="C145" i="1"/>
  <c r="C146" i="1"/>
  <c r="C92" i="1"/>
  <c r="C37" i="1"/>
  <c r="C125" i="1"/>
  <c r="C75" i="1"/>
  <c r="C98" i="1"/>
  <c r="C76" i="1"/>
  <c r="C139" i="1"/>
  <c r="C142" i="1"/>
  <c r="C163" i="1"/>
  <c r="C38" i="1"/>
  <c r="C19" i="1"/>
  <c r="C164" i="1"/>
  <c r="C103" i="1"/>
  <c r="C165" i="1"/>
  <c r="C93" i="1"/>
  <c r="C36" i="1"/>
  <c r="C20" i="1"/>
  <c r="C129" i="1"/>
  <c r="C147" i="1"/>
  <c r="C149" i="1"/>
  <c r="C61" i="1"/>
  <c r="C58" i="1"/>
  <c r="C39" i="1"/>
  <c r="C105" i="1"/>
  <c r="C82" i="1"/>
  <c r="C4" i="1"/>
  <c r="C83" i="1"/>
  <c r="C123" i="1"/>
  <c r="C106" i="1"/>
  <c r="C107" i="1"/>
  <c r="C152" i="1"/>
  <c r="C153" i="1"/>
  <c r="C85" i="1"/>
  <c r="C49" i="1"/>
  <c r="C5" i="1"/>
  <c r="C108" i="1"/>
  <c r="C42" i="1"/>
  <c r="C7" i="1"/>
  <c r="C109" i="1"/>
  <c r="C21" i="1"/>
  <c r="C8" i="1"/>
  <c r="C133" i="1"/>
  <c r="C43" i="1"/>
  <c r="C89" i="1"/>
  <c r="C44" i="1"/>
  <c r="C80" i="1"/>
  <c r="J80" i="1"/>
  <c r="J147" i="1"/>
  <c r="J2" i="1"/>
  <c r="J149" i="1"/>
  <c r="J58" i="1"/>
  <c r="J39" i="1"/>
  <c r="J3" i="1"/>
  <c r="J105" i="1"/>
  <c r="J82" i="1"/>
  <c r="J4" i="1"/>
  <c r="J83" i="1"/>
  <c r="J123" i="1"/>
  <c r="J106" i="1"/>
  <c r="J107" i="1"/>
  <c r="J152" i="1"/>
  <c r="J153" i="1"/>
  <c r="J85" i="1"/>
  <c r="J49" i="1"/>
  <c r="J5" i="1"/>
  <c r="J108" i="1"/>
  <c r="J6" i="1"/>
  <c r="J42" i="1"/>
  <c r="J7" i="1"/>
  <c r="J109" i="1"/>
  <c r="J21" i="1"/>
  <c r="J8" i="1"/>
  <c r="J133" i="1"/>
  <c r="J43" i="1"/>
  <c r="J89" i="1"/>
  <c r="J44" i="1"/>
  <c r="J129" i="1"/>
  <c r="J112" i="1"/>
  <c r="J154" i="1"/>
  <c r="J45" i="1"/>
  <c r="J51" i="1"/>
  <c r="J88" i="1"/>
  <c r="J110" i="1"/>
  <c r="J9" i="1"/>
  <c r="J23" i="1"/>
  <c r="J47" i="1"/>
  <c r="J48" i="1"/>
  <c r="J24" i="1"/>
  <c r="J25" i="1"/>
  <c r="J62" i="1"/>
  <c r="J130" i="1"/>
  <c r="J111" i="1"/>
  <c r="J15" i="1"/>
  <c r="J26" i="1"/>
  <c r="J81" i="1"/>
  <c r="J113" i="1"/>
  <c r="J155" i="1"/>
  <c r="J114" i="1"/>
  <c r="J27" i="1"/>
  <c r="J131" i="1"/>
  <c r="J115" i="1"/>
  <c r="J116" i="1"/>
  <c r="J132" i="1"/>
  <c r="J57" i="1"/>
  <c r="J117" i="1"/>
  <c r="J50" i="1"/>
  <c r="J157" i="1"/>
  <c r="J134" i="1"/>
  <c r="J28" i="1"/>
  <c r="J64" i="1"/>
  <c r="J29" i="1"/>
  <c r="J90" i="1"/>
  <c r="J65" i="1"/>
  <c r="J77" i="1"/>
  <c r="J124" i="1"/>
  <c r="J136" i="1"/>
  <c r="J55" i="1"/>
  <c r="J30" i="1"/>
  <c r="J10" i="1"/>
  <c r="J53" i="1"/>
  <c r="J94" i="1"/>
  <c r="J118" i="1"/>
  <c r="J95" i="1"/>
  <c r="J96" i="1"/>
  <c r="J16" i="1"/>
  <c r="J22" i="1"/>
  <c r="J11" i="1"/>
  <c r="J119" i="1"/>
  <c r="J35" i="1"/>
  <c r="J126" i="1"/>
  <c r="J137" i="1"/>
  <c r="J67" i="1"/>
  <c r="J66" i="1"/>
  <c r="J97" i="1"/>
  <c r="J12" i="1"/>
  <c r="J159" i="1"/>
  <c r="J160" i="1"/>
  <c r="J14" i="1"/>
  <c r="J32" i="1"/>
  <c r="J54" i="1"/>
  <c r="J78" i="1"/>
  <c r="J161" i="1"/>
  <c r="J99" i="1"/>
  <c r="J121" i="1"/>
  <c r="J84" i="1"/>
  <c r="J33" i="1"/>
  <c r="J68" i="1"/>
  <c r="J34" i="1"/>
  <c r="J69" i="1"/>
  <c r="J135" i="1"/>
  <c r="J17" i="1"/>
  <c r="J122" i="1"/>
  <c r="J138" i="1"/>
  <c r="J91" i="1"/>
  <c r="J70" i="1"/>
  <c r="J18" i="1"/>
  <c r="J101" i="1"/>
  <c r="J59" i="1"/>
  <c r="J140" i="1"/>
  <c r="J141" i="1"/>
  <c r="J143" i="1"/>
  <c r="J79" i="1"/>
  <c r="J102" i="1"/>
  <c r="J71" i="1"/>
  <c r="J144" i="1"/>
  <c r="J73" i="1"/>
  <c r="J72" i="1"/>
  <c r="J145" i="1"/>
  <c r="J74" i="1"/>
  <c r="J146" i="1"/>
  <c r="J60" i="1"/>
  <c r="J92" i="1"/>
  <c r="J37" i="1"/>
  <c r="J125" i="1"/>
  <c r="J75" i="1"/>
  <c r="J98" i="1"/>
  <c r="J76" i="1"/>
  <c r="J139" i="1"/>
  <c r="J142" i="1"/>
  <c r="J163" i="1"/>
  <c r="J38" i="1"/>
  <c r="J19" i="1"/>
  <c r="J164" i="1"/>
  <c r="J103" i="1"/>
  <c r="J165" i="1"/>
  <c r="J93" i="1"/>
  <c r="J166" i="1"/>
  <c r="J36" i="1"/>
  <c r="J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Andressa Rosa Martins</author>
    <author>Bianca De Lima Nunes</author>
    <author>Ana Laura Da Silva Pontes</author>
  </authors>
  <commentList>
    <comment ref="I4" authorId="0" shapeId="0" xr:uid="{3E934412-7781-47E2-8B86-C2CE796254AC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Verificar essa data de entrada
ANA: data está correta
</t>
        </r>
      </text>
    </comment>
    <comment ref="I10" authorId="0" shapeId="0" xr:uid="{7DD8C09F-054D-4DED-A721-427562EADAA6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Verificar essa data de entrada
Ana: está em correto</t>
        </r>
      </text>
    </comment>
    <comment ref="I19" authorId="0" shapeId="0" xr:uid="{38FA0DEA-3E4E-4894-92B0-94EA4EE184FE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Verificar essa data de entrada
Ana: está correto
</t>
        </r>
      </text>
    </comment>
    <comment ref="B28" authorId="1" shapeId="0" xr:uid="{A0A56C52-CEE6-4A5C-B910-8CD13B5C0201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assistente 11/04</t>
        </r>
      </text>
    </comment>
    <comment ref="B38" authorId="1" shapeId="0" xr:uid="{26474366-9818-41E1-BD39-1E13210E9D3B}">
      <text>
        <r>
          <rPr>
            <b/>
            <sz val="9"/>
            <color indexed="81"/>
            <rFont val="Segoe UI"/>
            <family val="2"/>
          </rPr>
          <t>Bianca De Lima Nunes:</t>
        </r>
        <r>
          <rPr>
            <sz val="9"/>
            <color indexed="81"/>
            <rFont val="Segoe UI"/>
            <family val="2"/>
          </rPr>
          <t xml:space="preserve">
virou assistente dia 11/03
</t>
        </r>
      </text>
    </comment>
    <comment ref="B44" authorId="1" shapeId="0" xr:uid="{2354EAA7-3B27-4C9B-8278-DD51ACE09D6B}">
      <text>
        <r>
          <rPr>
            <b/>
            <sz val="9"/>
            <color indexed="81"/>
            <rFont val="Segoe UI"/>
            <family val="2"/>
          </rPr>
          <t>Bianca De Lima Nunes:</t>
        </r>
        <r>
          <rPr>
            <sz val="9"/>
            <color indexed="81"/>
            <rFont val="Segoe UI"/>
            <family val="2"/>
          </rPr>
          <t xml:space="preserve">
Virou assistente dia 17/03
</t>
        </r>
      </text>
    </comment>
    <comment ref="K51" authorId="1" shapeId="0" xr:uid="{AC842EF6-563C-4592-AA85-4C633F6B46CE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tecnico</t>
        </r>
      </text>
    </comment>
    <comment ref="K54" authorId="1" shapeId="0" xr:uid="{809F3E84-CE55-48E5-89B2-4EA88B475AAF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operador de estradas</t>
        </r>
      </text>
    </comment>
    <comment ref="B61" authorId="1" shapeId="0" xr:uid="{6353B16C-3D63-4936-94D5-A309552CBD01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assistente ( confirmar data)</t>
        </r>
      </text>
    </comment>
    <comment ref="K88" authorId="1" shapeId="0" xr:uid="{8AD46D4D-43A2-4AAB-8670-3C6BC32BBEAB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tecnico</t>
        </r>
      </text>
    </comment>
    <comment ref="B121" authorId="1" shapeId="0" xr:uid="{93CF8436-4684-43A2-8FB8-2D41E948BFA1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vai virar tecnico (verificar a data)
</t>
        </r>
      </text>
    </comment>
    <comment ref="K125" authorId="0" shapeId="0" xr:uid="{9ED3329C-BE47-41CA-828F-12F69EB19491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verificar data correta de desligamento</t>
        </r>
      </text>
    </comment>
    <comment ref="G146" authorId="2" shapeId="0" xr:uid="{3EBAF1C9-64BD-4B3E-8B6D-370F061629F3}">
      <text>
        <r>
          <rPr>
            <b/>
            <sz val="9"/>
            <color indexed="81"/>
            <rFont val="Segoe UI"/>
            <family val="2"/>
          </rPr>
          <t>Ana Laura Da Silva Pontes: Era do Jhon, passou para o cássio na ultima semana de fevereiro/25</t>
        </r>
      </text>
    </comment>
    <comment ref="A152" authorId="1" shapeId="0" xr:uid="{DAACA4CE-D7FD-48BA-9692-B9867AB1C857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assistente dia 01/05</t>
        </r>
      </text>
    </comment>
    <comment ref="B161" authorId="1" shapeId="0" xr:uid="{70797FF8-361E-49E5-A18B-981242910905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assistente 01/05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De Lima Nunes</author>
    <author>Andressa Rosa Martins</author>
    <author>Ana Laura Da Silva Pontes</author>
  </authors>
  <commentList>
    <comment ref="K11" authorId="0" shapeId="0" xr:uid="{86BCB972-C1F3-4E19-99E8-02A3A440F76C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01/04 virou tecnico</t>
        </r>
      </text>
    </comment>
    <comment ref="B12" authorId="0" shapeId="0" xr:uid="{000B60B9-15AD-4CC8-BD85-B94E341967F1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MÊS DE MAIO ATUANDO COMO ASSISTENTE</t>
        </r>
      </text>
    </comment>
    <comment ref="K12" authorId="0" shapeId="0" xr:uid="{2A2D5258-14F2-4025-9033-31B5EAFAAEBE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virou tecnico 01/05</t>
        </r>
      </text>
    </comment>
    <comment ref="B13" authorId="0" shapeId="0" xr:uid="{890731CD-DBEB-4D5B-8864-66860BF06ECA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ta atuando como tecnico desde abril</t>
        </r>
      </text>
    </comment>
    <comment ref="K13" authorId="0" shapeId="0" xr:uid="{683C2F50-A165-4548-B3AC-4190B0D267CD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01/06 vai virar tecnico</t>
        </r>
      </text>
    </comment>
    <comment ref="A27" authorId="1" shapeId="0" xr:uid="{00000000-0006-0000-0200-000003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Entrou recente, era de estradas</t>
        </r>
      </text>
    </comment>
    <comment ref="B28" authorId="0" shapeId="0" xr:uid="{4ED1A00D-78A0-4D3D-B4A4-2B5632CB2FC8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APENAS MÊS DE MAIO ATUOU COMO TECNICO </t>
        </r>
      </text>
    </comment>
    <comment ref="K28" authorId="0" shapeId="0" xr:uid="{9601ACF4-48D5-48AF-887F-62A176EE48E5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01/05 virou tecnico</t>
        </r>
      </text>
    </comment>
    <comment ref="N29" authorId="0" shapeId="0" xr:uid="{4D449652-476A-4200-86A0-BE5A0253D1CA}">
      <text>
        <r>
          <rPr>
            <b/>
            <sz val="9"/>
            <color indexed="81"/>
            <rFont val="Segoe UI"/>
            <family val="2"/>
          </rPr>
          <t>Bianca De Lima Nunes:</t>
        </r>
        <r>
          <rPr>
            <sz val="9"/>
            <color indexed="81"/>
            <rFont val="Segoe UI"/>
            <family val="2"/>
          </rPr>
          <t xml:space="preserve">
ainda n recebeu o cel corporativo
</t>
        </r>
      </text>
    </comment>
    <comment ref="L33" authorId="2" shapeId="0" xr:uid="{573AF35A-2823-4E21-8949-B18D05E27A3F}">
      <text>
        <r>
          <rPr>
            <b/>
            <sz val="9"/>
            <color indexed="81"/>
            <rFont val="Segoe UI"/>
            <family val="2"/>
          </rPr>
          <t>Ana Laura Da Silva Pontes:</t>
        </r>
        <r>
          <rPr>
            <sz val="9"/>
            <color indexed="81"/>
            <rFont val="Segoe UI"/>
            <family val="2"/>
          </rPr>
          <t xml:space="preserve">
VERIFICAR DATA DE SAIDA</t>
        </r>
      </text>
    </comment>
    <comment ref="B41" authorId="1" shapeId="0" xr:uid="{00000000-0006-0000-0200-000002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Virou técnico agosto</t>
        </r>
      </text>
    </comment>
    <comment ref="B45" authorId="0" shapeId="0" xr:uid="{052845FF-AC85-454B-B289-56667CF2AC3D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vai virar tecnico iii do vanderlei 01/06</t>
        </r>
      </text>
    </comment>
    <comment ref="K45" authorId="0" shapeId="0" xr:uid="{686DE556-6C71-4887-A215-0025CA3A75BC}">
      <text>
        <r>
          <rPr>
            <b/>
            <sz val="9"/>
            <color indexed="81"/>
            <rFont val="Segoe UI"/>
            <charset val="1"/>
          </rPr>
          <t>Bianca De Lima Nunes:
era operador de estradas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De Lima Nunes</author>
    <author>Andressa Rosa Martins</author>
    <author>Ana Laura Da Silva Pontes</author>
  </authors>
  <commentList>
    <comment ref="A5" authorId="0" shapeId="0" xr:uid="{4F2D1526-A928-48FF-A283-02A68D6D413D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promovido motorista II 
</t>
        </r>
      </text>
    </comment>
    <comment ref="E10" authorId="1" shapeId="0" xr:uid="{00000000-0006-0000-0300-000002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@ana verificar essa data de admissão</t>
        </r>
      </text>
    </comment>
    <comment ref="E13" authorId="1" shapeId="0" xr:uid="{00000000-0006-0000-0300-000001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@ana verificar essa data de admissão</t>
        </r>
      </text>
    </comment>
    <comment ref="B15" authorId="1" shapeId="0" xr:uid="{00000000-0006-0000-0300-000005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Zerar prêmio (6 faltas injustificada) em junho
Não pagar prêmio em julho</t>
        </r>
      </text>
    </comment>
    <comment ref="E23" authorId="1" shapeId="0" xr:uid="{00000000-0006-0000-0300-000006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@ana verificar a data de admissão
Ana: ta certo</t>
        </r>
      </text>
    </comment>
    <comment ref="K26" authorId="2" shapeId="0" xr:uid="{D1AAEB00-9CB6-4257-A548-8B6C146FC672}">
      <text>
        <r>
          <rPr>
            <b/>
            <sz val="9"/>
            <color indexed="81"/>
            <rFont val="Segoe UI"/>
            <family val="2"/>
          </rPr>
          <t>Ana Laura Da Silva Pontes:</t>
        </r>
        <r>
          <rPr>
            <sz val="9"/>
            <color indexed="81"/>
            <rFont val="Segoe UI"/>
            <family val="2"/>
          </rPr>
          <t xml:space="preserve">
Verificar</t>
        </r>
      </text>
    </comment>
    <comment ref="B39" authorId="0" shapeId="0" xr:uid="{26C868DC-A767-494B-9781-68132CA51B4A}">
      <text>
        <r>
          <rPr>
            <b/>
            <sz val="9"/>
            <color indexed="81"/>
            <rFont val="Segoe UI"/>
            <charset val="1"/>
          </rPr>
          <t>Bianca De Lima Nunes:</t>
        </r>
        <r>
          <rPr>
            <sz val="9"/>
            <color indexed="81"/>
            <rFont val="Segoe UI"/>
            <charset val="1"/>
          </rPr>
          <t xml:space="preserve">
vai virar tecnico iii do vanderlei 01/06</t>
        </r>
      </text>
    </comment>
    <comment ref="E40" authorId="1" shapeId="0" xr:uid="{00000000-0006-0000-0300-000003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@ana verificar a data de entrada</t>
        </r>
      </text>
    </comment>
    <comment ref="E43" authorId="1" shapeId="0" xr:uid="{00000000-0006-0000-0300-000004000000}">
      <text>
        <r>
          <rPr>
            <b/>
            <sz val="9"/>
            <color indexed="81"/>
            <rFont val="Segoe UI"/>
            <family val="2"/>
          </rPr>
          <t>Andressa Rosa Martins:</t>
        </r>
        <r>
          <rPr>
            <sz val="9"/>
            <color indexed="81"/>
            <rFont val="Segoe UI"/>
            <family val="2"/>
          </rPr>
          <t xml:space="preserve">
@ana verificar a data de entrada</t>
        </r>
      </text>
    </comment>
  </commentList>
</comments>
</file>

<file path=xl/sharedStrings.xml><?xml version="1.0" encoding="utf-8"?>
<sst xmlns="http://schemas.openxmlformats.org/spreadsheetml/2006/main" count="2254" uniqueCount="570">
  <si>
    <t>MATRÍCULA</t>
  </si>
  <si>
    <t>COLABORADOR</t>
  </si>
  <si>
    <t>MÓDULO</t>
  </si>
  <si>
    <t>CARGO</t>
  </si>
  <si>
    <t>CC</t>
  </si>
  <si>
    <t>GESTOR IMEDIATO</t>
  </si>
  <si>
    <t>MÓDULO2</t>
  </si>
  <si>
    <t>ID COLABORADOR</t>
  </si>
  <si>
    <t>DATA ADMISSÃO</t>
  </si>
  <si>
    <t>SITUACAO</t>
  </si>
  <si>
    <t>DESLIGAMENTO</t>
  </si>
  <si>
    <t>CARLOS REINAN PEREIRA TAVARES</t>
  </si>
  <si>
    <t>Assistente Operador Carregamento Grua</t>
  </si>
  <si>
    <t>THIAGO MARIA PROENCA ALMEIDA</t>
  </si>
  <si>
    <t>MOD.05</t>
  </si>
  <si>
    <t>JUAN SANTOS DO CARMO</t>
  </si>
  <si>
    <t>MOD.08</t>
  </si>
  <si>
    <t>ANDERSON ANTONIO HENRIQUE DE OLIVEIRA</t>
  </si>
  <si>
    <t>MARCIO APARECIDO CAVALHEIRO</t>
  </si>
  <si>
    <t>MOD.01</t>
  </si>
  <si>
    <t>EVERTON LOPES ALVES</t>
  </si>
  <si>
    <t>MOD.04</t>
  </si>
  <si>
    <t>ALEX RIBEIRO DA SILVA</t>
  </si>
  <si>
    <t>AMARILDO RODRIGUES DE PAULA</t>
  </si>
  <si>
    <t>JHON FELIPE SENOSKI</t>
  </si>
  <si>
    <t>MOD.03</t>
  </si>
  <si>
    <t>DORIVAL FOGACA</t>
  </si>
  <si>
    <t>APARECIDO RODRIGUES DE SOUZA</t>
  </si>
  <si>
    <t>CRISTIAN NUNES DA SILVA</t>
  </si>
  <si>
    <t>CASSIO THOMAS DA SILVEIRA</t>
  </si>
  <si>
    <t>MOD.06</t>
  </si>
  <si>
    <t>EDER BERNARDES DA SILVA</t>
  </si>
  <si>
    <t>CRISTIAN APARECIDO DE MELO</t>
  </si>
  <si>
    <t>JOSE HENRIQUE DE SOUSA DA SILVA</t>
  </si>
  <si>
    <t>ARY ROBERTO ANDRADE LELIS</t>
  </si>
  <si>
    <t>MOD.07</t>
  </si>
  <si>
    <t>FRANCISCO RODRIGUES DA MOTA</t>
  </si>
  <si>
    <t xml:space="preserve"> </t>
  </si>
  <si>
    <t>GUSTAVO GRACIOLI</t>
  </si>
  <si>
    <t>MANOEL CARLOS OLIVEIRA</t>
  </si>
  <si>
    <t>WAGNER ALEXANDRE DOS SANTOS SILVA</t>
  </si>
  <si>
    <t>MARCIO ADRIANO DA SILVA</t>
  </si>
  <si>
    <t>EDENILSON ADEMIR PEREIRA</t>
  </si>
  <si>
    <t>CUSTODIO XAVIER</t>
  </si>
  <si>
    <t>KELLY FABIANI DA SILVA MACHADO</t>
  </si>
  <si>
    <t>JOAO BATISTA BARBOSA BRITO</t>
  </si>
  <si>
    <t>JOSE DOS SANTOS SILVA</t>
  </si>
  <si>
    <t>MAURICIO FERNANDES TEIXEIRA</t>
  </si>
  <si>
    <t>CRISTIANO FERREIRA SANTOS</t>
  </si>
  <si>
    <t>MOD.02</t>
  </si>
  <si>
    <t>MAGAIVER MOREIRA</t>
  </si>
  <si>
    <t>JOEL SANTIAGO DA SILVA</t>
  </si>
  <si>
    <t>ELISEU MARCOLINO DOS SANTOS</t>
  </si>
  <si>
    <t>DANIEL RICARDO PARDIM RIBEIRO</t>
  </si>
  <si>
    <t>Oper Maqs Florestais I Grua</t>
  </si>
  <si>
    <t>GUILHERME AFONSO MASSAGLI</t>
  </si>
  <si>
    <t>OLAZIEL GONCALVES FERREIRA</t>
  </si>
  <si>
    <t>ADEMILSON DA SILVA</t>
  </si>
  <si>
    <t>HUBALDO GUILHERME VITORIANO LIMA</t>
  </si>
  <si>
    <t>MARCO ANTONIO DE OLIVEIRA SILVA</t>
  </si>
  <si>
    <t>MAYCO MARQUES OLIVEIRA</t>
  </si>
  <si>
    <t>EDUARDO ANTONIO MARTINS</t>
  </si>
  <si>
    <t>ODAIR DONIZETTI IZIDORO DA SILVA</t>
  </si>
  <si>
    <t>LUCIANO SILVESTRE</t>
  </si>
  <si>
    <t>DANIEL CORREA DE LIMA</t>
  </si>
  <si>
    <t>ALISON GUSTAVO DE REZENDE</t>
  </si>
  <si>
    <t>FABRICIO SANTOS PEREIRA</t>
  </si>
  <si>
    <t>LINDEMBERG HERMOGENES SANTANA</t>
  </si>
  <si>
    <t>FABIANO KECZEVEY</t>
  </si>
  <si>
    <t>FABRICIO RODRIGUES PONTES</t>
  </si>
  <si>
    <t>FRANCISCO HENRIQUE PEREIRA DE LIMA</t>
  </si>
  <si>
    <t>SIDNEY MARTINS BUENO</t>
  </si>
  <si>
    <t>ANDERSON AVILA VAZ</t>
  </si>
  <si>
    <t>FRANCISCO ASSIS GOMES DOS SANTOS</t>
  </si>
  <si>
    <t>BENTO DE SOUZA MONTEIRO</t>
  </si>
  <si>
    <t>JEFERSON DE PAULA SILVA</t>
  </si>
  <si>
    <t>LUCAS DE SOUZA DA COSTA</t>
  </si>
  <si>
    <t>BRUNO GRACIOLI DA SILVA</t>
  </si>
  <si>
    <t>CARLOS ROBERTO SOUZA PAIXAO</t>
  </si>
  <si>
    <t>CLAUDIO RODRIGO GRACIOLI</t>
  </si>
  <si>
    <t>DEIVID FRANCISCO TEIXEIRA</t>
  </si>
  <si>
    <t>IVANILDO MORAES RIBEIRO</t>
  </si>
  <si>
    <t>RAFAEL MACHADO DA SILVA</t>
  </si>
  <si>
    <t>REGINALDO APARECIDO VAZ</t>
  </si>
  <si>
    <t>JAZIEL DOS SANTOS ARAUJO</t>
  </si>
  <si>
    <t>JORGE FLEXA BARBOSA</t>
  </si>
  <si>
    <t>FELIPE ARTUR DOS SANTOS RODRIGUES</t>
  </si>
  <si>
    <t>RICARDO NEVES FERREIRA</t>
  </si>
  <si>
    <t>JOAO BATISTA LIMA</t>
  </si>
  <si>
    <t>JOAO LUIS DOS SANTOS FAUSTINO</t>
  </si>
  <si>
    <t>Operador Trainee Pátio</t>
  </si>
  <si>
    <t>SAMUEL DE SOUSA DUARTE</t>
  </si>
  <si>
    <t>ELITON DE PONTES</t>
  </si>
  <si>
    <t>SAVIO AUGUSTO DA SILVA</t>
  </si>
  <si>
    <t>VAGNER PEREIRA DOS SANTOS</t>
  </si>
  <si>
    <t>JORGE DANIEL TEIXEIRA</t>
  </si>
  <si>
    <t>ACACIO DAMAZIO</t>
  </si>
  <si>
    <t>DEYBISON XAVIER PEREIRA</t>
  </si>
  <si>
    <t>CARLOS DANIEL COSTA ROCHA</t>
  </si>
  <si>
    <t>JEFFERSON SOARES DA LUZ</t>
  </si>
  <si>
    <t>JULIO CESAR CORREA DA SILVA</t>
  </si>
  <si>
    <t>MARCIO ROGERIO BARREIROS</t>
  </si>
  <si>
    <t>AIRTON LOPES DA SILVA</t>
  </si>
  <si>
    <t>FRANCISCO DAS CHAGAS DOS SANTOS SOUSA</t>
  </si>
  <si>
    <t>LEANDRO FERREIRA DE ALMEIDA</t>
  </si>
  <si>
    <t>FRANCISCO LAILSON CARVALHO SILVA</t>
  </si>
  <si>
    <t>JACSON MARQUES FONTENELES DOS SANTOS</t>
  </si>
  <si>
    <t>ELISEU BUENO DE PAULO</t>
  </si>
  <si>
    <t>JAIR MARQUES DA SILVA FILHO</t>
  </si>
  <si>
    <t>DONIZETE DO NASCIMENTO</t>
  </si>
  <si>
    <t>CELIO ALVES DOS SANTOS</t>
  </si>
  <si>
    <t>LUSIANO DA CONCEICAO LOPES</t>
  </si>
  <si>
    <t>JUCELINO DA CONCEICAO</t>
  </si>
  <si>
    <t>ELIELSON ANGELO DE OLIVEIRA</t>
  </si>
  <si>
    <t>JULIO CESAR OLIVEIRA SANTOS</t>
  </si>
  <si>
    <t>JOSE EDUARDO DE SOUZA PAIXAO</t>
  </si>
  <si>
    <t>MARCOS RIBEIRO FREIRE</t>
  </si>
  <si>
    <t>MARCOS VINICIUS SOUZA DOS SANTOS</t>
  </si>
  <si>
    <t>MARIANA DE OLIVEIRA MARTINS</t>
  </si>
  <si>
    <t>JOSE JOCIMAR RUY PINTO</t>
  </si>
  <si>
    <t>REINALDO RODRIGUES DOS SANTOS</t>
  </si>
  <si>
    <t>MAYCON COTA LOPES</t>
  </si>
  <si>
    <t>LUIZ CARLOS LOPES CRUZ</t>
  </si>
  <si>
    <t>MOIZES RODRIGUES FERREIRA</t>
  </si>
  <si>
    <t>MILANDIA VICENTE COSTA</t>
  </si>
  <si>
    <t>NERITON PETESOL DOS SANTOS</t>
  </si>
  <si>
    <t>JURANDIR APARECIDO CRISOSTOMO</t>
  </si>
  <si>
    <t>FLAVIO RAYMUNDO LACERDA</t>
  </si>
  <si>
    <t>PAULO AUGUSTO DA SILVA</t>
  </si>
  <si>
    <t>Operador Trainee Campo</t>
  </si>
  <si>
    <t>NATALYA MARIANO CLARO</t>
  </si>
  <si>
    <t>MARCIO ANDRE DOS SANTOS</t>
  </si>
  <si>
    <t>PAULO SERGIO ZANELLA</t>
  </si>
  <si>
    <t>RAFAEL ARQUIMEDES GONZALEZ SERRANO</t>
  </si>
  <si>
    <t>RENATO DEODATA DOS SANTOS</t>
  </si>
  <si>
    <t>THAMIRIS BORGES DA SILVA</t>
  </si>
  <si>
    <t>PAULO CESAR GARCIA</t>
  </si>
  <si>
    <t>VICENTE DE PAULA MOREIRA</t>
  </si>
  <si>
    <t>RENATO DE MELLO MARQUES</t>
  </si>
  <si>
    <t>DANIEL APARECIDO STENDER</t>
  </si>
  <si>
    <t>RICARDO PISANI DA SILVA</t>
  </si>
  <si>
    <t>RODRIGO DOS SANTOS RIBEIRO</t>
  </si>
  <si>
    <t>EVERTON TIAGO DA SILVA</t>
  </si>
  <si>
    <t>CLEVER TORCINELLI PRUDENCIO</t>
  </si>
  <si>
    <t>ROGELIO SIQUEIRA</t>
  </si>
  <si>
    <t>ROGERIO APARECIDO DE OLIVEIRA</t>
  </si>
  <si>
    <t>SALATIEL FRANCO BOACHAQUES</t>
  </si>
  <si>
    <t>ROBERTO ANTONIO DA SILVA JUNIOR</t>
  </si>
  <si>
    <t>THIAGO VINICIUS DE MOURA DUARTE</t>
  </si>
  <si>
    <t>ARIANA SANTOS NAVARRO</t>
  </si>
  <si>
    <t>Alex Varanda Da Silva</t>
  </si>
  <si>
    <t>RAFAEL EDUARDO PADILHA DA SILVA</t>
  </si>
  <si>
    <t>THIAGO ALVES DOMINGUES</t>
  </si>
  <si>
    <t>THIAGO DA SILVA DOS REIS</t>
  </si>
  <si>
    <t>TEYLOR FELIPE LOPES ARAUJO</t>
  </si>
  <si>
    <t>PAULO RODRIGUES DOS ANJOS</t>
  </si>
  <si>
    <t>ANTONIO MARCOS GOMES FERNANDES</t>
  </si>
  <si>
    <t>Wellington Lopes Cordeiro Enoque</t>
  </si>
  <si>
    <t>WANDERLEY RODRIGUES DA SILVA JUNIOR</t>
  </si>
  <si>
    <t>PAULO SERGIO APARECIDO DE FREITAS</t>
  </si>
  <si>
    <t>WELLINGTON DO ROSARIO ALBINO</t>
  </si>
  <si>
    <t>WESLEY AMARAL CAMARGO</t>
  </si>
  <si>
    <t>WESLEY ROBSON FERREIRA DA SILVA</t>
  </si>
  <si>
    <t>CARLOS ERVINO ZILLMER JUNIOR</t>
  </si>
  <si>
    <t>CLAUDIVAN APARECIDO SOARES DE GOES</t>
  </si>
  <si>
    <t>ENOQUE VIEIRA DE PAULO</t>
  </si>
  <si>
    <t>ESAU VIEIRA DE PAULO</t>
  </si>
  <si>
    <t>GILENO DOS SANTOS OLIVEIRA</t>
  </si>
  <si>
    <t>GIULIANO CARILO PÓVOAS</t>
  </si>
  <si>
    <t>ORTIDES MENEZES SOUZA</t>
  </si>
  <si>
    <t>RODRIGO DA COSTA VASCONCELLOS</t>
  </si>
  <si>
    <t>GESTOR</t>
  </si>
  <si>
    <t>MODULO</t>
  </si>
  <si>
    <t>CENTRO DE CUSTO</t>
  </si>
  <si>
    <t>SUPERVISOR</t>
  </si>
  <si>
    <t>MARIO FRAIZ COELHO MAIA DE ANDRADE</t>
  </si>
  <si>
    <t>371145 - CARREG TERC CEL</t>
  </si>
  <si>
    <t>371150 - CARREG TERC ENE</t>
  </si>
  <si>
    <t>371171 - CARREG PROP MOD 1</t>
  </si>
  <si>
    <t>371172 - CARREG PROP MOD 2</t>
  </si>
  <si>
    <t>371173 - CARREG PROP MOD 3</t>
  </si>
  <si>
    <t>371174 - CARREG PROP MOD 4</t>
  </si>
  <si>
    <t>371175 - CARREG PROP MOD 5</t>
  </si>
  <si>
    <t>371176 - CARREG PROP MOD 6</t>
  </si>
  <si>
    <t>371177 - CARREG PROP MOD 7</t>
  </si>
  <si>
    <t>371178 - CARREG PROP MOD 8</t>
  </si>
  <si>
    <t>373105 - COORD CARREGAMENTO</t>
  </si>
  <si>
    <t>TELEFONE</t>
  </si>
  <si>
    <t>COD. CARGO</t>
  </si>
  <si>
    <t>DATA SAÍDA</t>
  </si>
  <si>
    <t>-</t>
  </si>
  <si>
    <t>Coordenador Logistica Florestal</t>
  </si>
  <si>
    <t>(14) 99667-5441</t>
  </si>
  <si>
    <t>Supervisor Logistica Florestal</t>
  </si>
  <si>
    <t>(14) 99608-6640</t>
  </si>
  <si>
    <t>(14) 99653-3705</t>
  </si>
  <si>
    <t>(14) 99694-2943</t>
  </si>
  <si>
    <t>GILLIARD LEPINSCK</t>
  </si>
  <si>
    <t>TECN OPERACOES FLORESTAIS II</t>
  </si>
  <si>
    <t>MARCIANO BATISTA FERREIRA</t>
  </si>
  <si>
    <t>MOD.06/MOD.07</t>
  </si>
  <si>
    <t>(14) 99850-9970</t>
  </si>
  <si>
    <t>RAFAEL HENRIQUE DE LIMA</t>
  </si>
  <si>
    <t>(14) 99884-3590</t>
  </si>
  <si>
    <t>JULYGLEIBER BARBOSA SOUTO</t>
  </si>
  <si>
    <t>WANDERLEY RODRIGUES DA SILVA</t>
  </si>
  <si>
    <t>(14) 99614-4396</t>
  </si>
  <si>
    <t>EZEQUIEL MERCADANTE</t>
  </si>
  <si>
    <t>MOD.NOTURNO</t>
  </si>
  <si>
    <t>VANDERLEI JOSE HONORIO</t>
  </si>
  <si>
    <t>(14) 99864-0475</t>
  </si>
  <si>
    <t>JOSE DONIZETTE LUIZ</t>
  </si>
  <si>
    <t>(14) 99898-4562</t>
  </si>
  <si>
    <t>VITOR HUGO DOS SANTOS</t>
  </si>
  <si>
    <t>(14) 99834-9289</t>
  </si>
  <si>
    <t>ANTONIO JOSE FERNANDES</t>
  </si>
  <si>
    <t>EVERTON GEREMIAS LUCHINI</t>
  </si>
  <si>
    <t>(14) 99719-3303</t>
  </si>
  <si>
    <t>RICARDO MONZANI</t>
  </si>
  <si>
    <t>TECN OPERACOES FLORESTAIS III</t>
  </si>
  <si>
    <t>(14) 99839-2618</t>
  </si>
  <si>
    <t>LAERCIO DOS SANTOS CAMARGO</t>
  </si>
  <si>
    <t>(15) 99708-7870</t>
  </si>
  <si>
    <t>JORGE LUIS FERNANDES</t>
  </si>
  <si>
    <t>JULIO CRISTINO MORENO</t>
  </si>
  <si>
    <t>(14) 99707-5435</t>
  </si>
  <si>
    <t>CAIO DE OLIVEIRA SILVA</t>
  </si>
  <si>
    <t>MARCIO RODRIGUES</t>
  </si>
  <si>
    <t>KELVIN CORDEIRO DE LIMA</t>
  </si>
  <si>
    <t>FRANK CEL DE SOUZA LIRA</t>
  </si>
  <si>
    <t>JOSE ROBERTO DE OLIVEIRA II</t>
  </si>
  <si>
    <t>MOTORISTA II</t>
  </si>
  <si>
    <t>ALEX CRISTIANO MENDES</t>
  </si>
  <si>
    <t>DANIEL MIRANDA</t>
  </si>
  <si>
    <t>DANIEL RODRIGUES FOGACA</t>
  </si>
  <si>
    <t>LAUDELINO RIBAS DE OLIVEIRA MATOS</t>
  </si>
  <si>
    <t>OPERADOR DE ESTRADAS III</t>
  </si>
  <si>
    <t>JESUS NAZARENO DE MOURA</t>
  </si>
  <si>
    <t>JULIANO HELIO DA SILVA</t>
  </si>
  <si>
    <t>FERNANDO ALVES DE OLIVEIRA</t>
  </si>
  <si>
    <t>RODRIGO ALVES DE MELLO</t>
  </si>
  <si>
    <t>MARCOS ROBERTO DE REZENDE</t>
  </si>
  <si>
    <t>Silvio Roberto dos Santos</t>
  </si>
  <si>
    <t>Deoclecio Antonio Ribeiro</t>
  </si>
  <si>
    <t>JOAO VICTOR MAMUD FRANCO CALACO</t>
  </si>
  <si>
    <t>ADILSON JOSE DIAS DOS SANTOS</t>
  </si>
  <si>
    <t>DIEGO ALENCAR FERREIRA</t>
  </si>
  <si>
    <t>Andre Jacinto</t>
  </si>
  <si>
    <t>MOTORISTA I</t>
  </si>
  <si>
    <t>EDSON JOSE DE SOUZA</t>
  </si>
  <si>
    <t>Tiago Batista De Souza</t>
  </si>
  <si>
    <t>ALAN DA CRUZ GONCALVES</t>
  </si>
  <si>
    <t>ROBERTO OLIVEIRA SANTOS</t>
  </si>
  <si>
    <t>RODRIGO ANTONIO DE SOUSA</t>
  </si>
  <si>
    <t>ALMIR RODRIGUES ALMEIDA</t>
  </si>
  <si>
    <t>ELIAS CASTRO DA SILVA</t>
  </si>
  <si>
    <t>FABIANO VIEIRA</t>
  </si>
  <si>
    <t>DANILO TEIXEIRA DO LIVRAMENTO</t>
  </si>
  <si>
    <t>JOAO KLEBER ANTONIO LOPES</t>
  </si>
  <si>
    <t>OPERADOR DE ESTRADAS II</t>
  </si>
  <si>
    <t>EDSON EDVALDO CAMILLO</t>
  </si>
  <si>
    <t>Estradas</t>
  </si>
  <si>
    <t>JESUS FERNANDO FERREIRA DE OLIVEIRA</t>
  </si>
  <si>
    <t>MARCOS VINICIUS SOARES DA SILVA</t>
  </si>
  <si>
    <t>Edson Martins</t>
  </si>
  <si>
    <t>OSMAR BERTOLUCCI</t>
  </si>
  <si>
    <t>EDERVANDSON BRITO FERREIRA</t>
  </si>
  <si>
    <t>JOSE NIVALDO DE OLIVEIRA</t>
  </si>
  <si>
    <t>LEONARDO DE MELO ARF</t>
  </si>
  <si>
    <t>Paulo Sergio Anzolin</t>
  </si>
  <si>
    <t>ANTONIO MARCIO AGUILERA</t>
  </si>
  <si>
    <t>JOSE ADALBERTO BISPO</t>
  </si>
  <si>
    <t>JOSE MARIANO</t>
  </si>
  <si>
    <t>FABIO DIAS CARLOS</t>
  </si>
  <si>
    <t>CRISTIANO SILVA</t>
  </si>
  <si>
    <t>Cleberson Roberto Peres Lopes</t>
  </si>
  <si>
    <t>Carlos Rodrigues De Oliveira Souza</t>
  </si>
  <si>
    <t>VICENTE ELIAS FELICIANO</t>
  </si>
  <si>
    <t>SANTOS GLAUCIO DA SILVA</t>
  </si>
  <si>
    <t>MARCIO VICENTE MENDES</t>
  </si>
  <si>
    <t>PEDRO AUGUSTO PINI</t>
  </si>
  <si>
    <t>CARLOS ALEX DE GODOI PAINO</t>
  </si>
  <si>
    <t>PAULO SERGIO MARTINS JUNIOR</t>
  </si>
  <si>
    <t>PAULO HENRIQUE DE LIMA VIEIRA</t>
  </si>
  <si>
    <t>DOUGLAS OLIVEIRA DOS SANTOS</t>
  </si>
  <si>
    <t>JOSE HERMANO DO CARMO</t>
  </si>
  <si>
    <t>Contagem de COLABORADOR</t>
  </si>
  <si>
    <t>Rótulos de Linha</t>
  </si>
  <si>
    <t>Total Geral</t>
  </si>
  <si>
    <t>Rótulos de Coluna</t>
  </si>
  <si>
    <t>(vazio)</t>
  </si>
  <si>
    <t>ok</t>
  </si>
  <si>
    <t>373403 cc de pipa verificar</t>
  </si>
  <si>
    <t>verifcar urgente (esta em vaga de motorista), downgrade de III para II</t>
  </si>
  <si>
    <t>verifcar urgente (esta em vaga de motorista), passar para vaga aberta de III</t>
  </si>
  <si>
    <t>verifcar urgente temos uma vaga aberta de operador I (devolver a vaga)</t>
  </si>
  <si>
    <t>ok, alocar na nossa vaga em aberto</t>
  </si>
  <si>
    <t>CC Operadores Estradas próprio dar downgrade nas vagas que temos (7vagas)</t>
  </si>
  <si>
    <t>É nosso mas adequar no CC 373116</t>
  </si>
  <si>
    <t>Thiago abrir o desligamento dele no Worday</t>
  </si>
  <si>
    <t>MOD.09</t>
  </si>
  <si>
    <t>MOD.11</t>
  </si>
  <si>
    <t>Adriano Sanabria Flores Monte Serrat</t>
  </si>
  <si>
    <t>(67) 99857-6011</t>
  </si>
  <si>
    <t>Marcio Nogueira Dos Santos</t>
  </si>
  <si>
    <t>Elias Paulo da Silva</t>
  </si>
  <si>
    <t>(14) 996673610</t>
  </si>
  <si>
    <t>Denis Visael Guerra Valdiviezo</t>
  </si>
  <si>
    <t>(67) 9818-2935</t>
  </si>
  <si>
    <t>(67) 9681-4609</t>
  </si>
  <si>
    <t>(67) 96759876</t>
  </si>
  <si>
    <t>(14) 99697-3304</t>
  </si>
  <si>
    <t>(14) 99652-4282</t>
  </si>
  <si>
    <t>Oper maqs Florestais I Grua</t>
  </si>
  <si>
    <t>ADEILTON MARCOS DE SOUSA</t>
  </si>
  <si>
    <t>Nome atual</t>
  </si>
  <si>
    <t>Nome correto</t>
  </si>
  <si>
    <t>Claudivan Goes</t>
  </si>
  <si>
    <t>Wellingto Cordeiro Enoque</t>
  </si>
  <si>
    <t>Carlos Junior</t>
  </si>
  <si>
    <t>Gileno Santos De Oliveira</t>
  </si>
  <si>
    <t>Anderson Ávila Vaz</t>
  </si>
  <si>
    <t>Alex Da Silva</t>
  </si>
  <si>
    <t>Giuliano Povoas</t>
  </si>
  <si>
    <t>Jaziel Araujo Ee3478525387</t>
  </si>
  <si>
    <t>Esau Paulo</t>
  </si>
  <si>
    <t>Denis Valdiviezo</t>
  </si>
  <si>
    <t>Enoque Paulo</t>
  </si>
  <si>
    <t>Assistentes: 7</t>
  </si>
  <si>
    <t>Operadores: 8</t>
  </si>
  <si>
    <t>Escopo por módulo</t>
  </si>
  <si>
    <t>Total: 15</t>
  </si>
  <si>
    <t>Falta para completar HC</t>
  </si>
  <si>
    <t>RH/WD</t>
  </si>
  <si>
    <t>Op Maquinas Equipamentos III</t>
  </si>
  <si>
    <t>BRC-01</t>
  </si>
  <si>
    <t>EMPRESTADO</t>
  </si>
  <si>
    <t>Motorista II</t>
  </si>
  <si>
    <t>Alex de Godoi Paino</t>
  </si>
  <si>
    <t>BRC03</t>
  </si>
  <si>
    <t>EMPRESTADO CARREGAMENTO (a partir de 08/08)</t>
  </si>
  <si>
    <t>Cristiano Silva</t>
  </si>
  <si>
    <t>Edson Edvaldo Camilo</t>
  </si>
  <si>
    <t>Op Maquinas Equipamentos II</t>
  </si>
  <si>
    <t>BRC-03</t>
  </si>
  <si>
    <t>EMPRESTADO CARREGAMENTO (mês fechado)</t>
  </si>
  <si>
    <t>Cleberson Roberto Perez Lopes</t>
  </si>
  <si>
    <t>BRC-05</t>
  </si>
  <si>
    <t>EMPRESTADO CARREGAMENTO</t>
  </si>
  <si>
    <t>Fabio Dias Carlos</t>
  </si>
  <si>
    <t>Paulo Henrique de Lima Vieira</t>
  </si>
  <si>
    <t>José Mariano</t>
  </si>
  <si>
    <t>TREINAMENTO</t>
  </si>
  <si>
    <t>FEITO</t>
  </si>
  <si>
    <t xml:space="preserve">FALTOU </t>
  </si>
  <si>
    <t>Cidade Origem</t>
  </si>
  <si>
    <t>Centro de Custo</t>
  </si>
  <si>
    <t>itapeva</t>
  </si>
  <si>
    <t>Lins</t>
  </si>
  <si>
    <t>Marília</t>
  </si>
  <si>
    <t>Bauru</t>
  </si>
  <si>
    <t>agudos</t>
  </si>
  <si>
    <t>Lençois Paulista</t>
  </si>
  <si>
    <t>Campina de fora</t>
  </si>
  <si>
    <t>Capão bonito</t>
  </si>
  <si>
    <t>Itapeva</t>
  </si>
  <si>
    <t>Itapeva(campina de fora)</t>
  </si>
  <si>
    <t>Areiópolis</t>
  </si>
  <si>
    <t>Lençóis Paulista (guede)</t>
  </si>
  <si>
    <t>Lençóis Paulista</t>
  </si>
  <si>
    <t>Itatinga</t>
  </si>
  <si>
    <t>Botucatu</t>
  </si>
  <si>
    <t>Areiopolis</t>
  </si>
  <si>
    <t>(31) 99743-8855</t>
  </si>
  <si>
    <t>Nova campinas</t>
  </si>
  <si>
    <t>Agudos</t>
  </si>
  <si>
    <t>PRESIDENTE ALVES</t>
  </si>
  <si>
    <t>LINS</t>
  </si>
  <si>
    <t>GUARANTÃ</t>
  </si>
  <si>
    <t>GUAIÇARA</t>
  </si>
  <si>
    <t>MARÍLIA</t>
  </si>
  <si>
    <t>JURUTI</t>
  </si>
  <si>
    <t>ITATINGA</t>
  </si>
  <si>
    <t>MOD.10</t>
  </si>
  <si>
    <t>MOD.06/07</t>
  </si>
  <si>
    <t>MOD.02/03</t>
  </si>
  <si>
    <t>MOD.01/04</t>
  </si>
  <si>
    <t>Samuel De Souza Duarte</t>
  </si>
  <si>
    <t>CARGO Workday</t>
  </si>
  <si>
    <t>ok - apoiando M4</t>
  </si>
  <si>
    <t>Não pagar/saiu da empresa</t>
  </si>
  <si>
    <t>Oper Estradas: 4</t>
  </si>
  <si>
    <t>Motorista: 3</t>
  </si>
  <si>
    <t>Total: 7</t>
  </si>
  <si>
    <t>Pedir downgrad de operador II para I</t>
  </si>
  <si>
    <t>Gregory Willian Javarotti</t>
  </si>
  <si>
    <t>Motorista</t>
  </si>
  <si>
    <t>Washington Mariano</t>
  </si>
  <si>
    <t>Marcos de Oliveira Amorim</t>
  </si>
  <si>
    <t>Paulo César Bueno</t>
  </si>
  <si>
    <t>Entrando</t>
  </si>
  <si>
    <t>COORD LOGISTICA FLORESTAL</t>
  </si>
  <si>
    <t>SUP LOGISTICA</t>
  </si>
  <si>
    <t>SUP TRANSPORTES</t>
  </si>
  <si>
    <t>SUP LOGISTICA FLORESTAL</t>
  </si>
  <si>
    <t>TEC OPERACOES FLORESTAIS III</t>
  </si>
  <si>
    <t>TEC OPERACOES FLORESTAIS II</t>
  </si>
  <si>
    <t>TEC OPERACOES FLORESTAL II</t>
  </si>
  <si>
    <t>ASSIST OP CARREGAMENTO GRUA</t>
  </si>
  <si>
    <t>TEC OPERACOES FLORESTAL III</t>
  </si>
  <si>
    <t>VAGA ABERTA</t>
  </si>
  <si>
    <t>Em processo de contratação</t>
  </si>
  <si>
    <t>Módulo</t>
  </si>
  <si>
    <t>Colaborador</t>
  </si>
  <si>
    <t>Gestor</t>
  </si>
  <si>
    <t>Cargo</t>
  </si>
  <si>
    <t>STATUS</t>
  </si>
  <si>
    <t>VAGAS JÁ DIRECIONADAS</t>
  </si>
  <si>
    <t>5/8</t>
  </si>
  <si>
    <t>Assistente</t>
  </si>
  <si>
    <t>Oper. Grua</t>
  </si>
  <si>
    <t>Assistentes</t>
  </si>
  <si>
    <t>Operadores</t>
  </si>
  <si>
    <t>Oper Estradas</t>
  </si>
  <si>
    <t>Diferença</t>
  </si>
  <si>
    <t>Quantidade</t>
  </si>
  <si>
    <t xml:space="preserve"> ESCOPO ASSIST. E OPER.</t>
  </si>
  <si>
    <t xml:space="preserve"> ESCOPO APOIO</t>
  </si>
  <si>
    <t>Total</t>
  </si>
  <si>
    <t>Oper. Estradas</t>
  </si>
  <si>
    <t>VERIFICANDO COM O SUPERVISOR</t>
  </si>
  <si>
    <t>Angelo Antonio Martins Taparo</t>
  </si>
  <si>
    <t>JEFFERSON MARINHO DOURADO</t>
  </si>
  <si>
    <t>FABIO DOS SANTOS BONFIM</t>
  </si>
  <si>
    <t>Prêmio novembro</t>
  </si>
  <si>
    <t>Itamar Magela Severiano</t>
  </si>
  <si>
    <t>Matheus Pimentel Santos</t>
  </si>
  <si>
    <t>Claudinei Pereira Alves</t>
  </si>
  <si>
    <t xml:space="preserve">verificar </t>
  </si>
  <si>
    <t>Unidade</t>
  </si>
  <si>
    <t>Tipo</t>
  </si>
  <si>
    <t>Coord</t>
  </si>
  <si>
    <t>Supervisor</t>
  </si>
  <si>
    <t>Região</t>
  </si>
  <si>
    <t>Qtde aprox.</t>
  </si>
  <si>
    <t>Florestal</t>
  </si>
  <si>
    <t>Carregamento</t>
  </si>
  <si>
    <t>Mario Fraiz Coelho Maia de Andrade</t>
  </si>
  <si>
    <t>Márcio Aparecido Cavalheiro</t>
  </si>
  <si>
    <t>LENÇÓIS PAULISTA</t>
  </si>
  <si>
    <t>Jhon Felipe Senoski</t>
  </si>
  <si>
    <t>ITAPEVA</t>
  </si>
  <si>
    <t>AGUDOS</t>
  </si>
  <si>
    <t>Thiago Maria Proenca Almeida</t>
  </si>
  <si>
    <t>BAURU</t>
  </si>
  <si>
    <t>Cássio Thomas da Silveira</t>
  </si>
  <si>
    <t>MOD.09(Módulo terceiro)</t>
  </si>
  <si>
    <t>Adriano Sanabia Flores Monte Serrat</t>
  </si>
  <si>
    <t>MATO GROSSO DO SUL</t>
  </si>
  <si>
    <t>N/A</t>
  </si>
  <si>
    <t>MOD.10 (Módulo terceiro)</t>
  </si>
  <si>
    <t>TERCEIRO (SP)</t>
  </si>
  <si>
    <t>MOD.11(Módulo terceiro)</t>
  </si>
  <si>
    <t>Gilliard Lepinsck</t>
  </si>
  <si>
    <t>MINAS GERAIS</t>
  </si>
  <si>
    <t>Não receberá</t>
  </si>
  <si>
    <t>TECN OPERACOES FLORESTAIS II - estradas</t>
  </si>
  <si>
    <t>PAULO CESAR BUENO</t>
  </si>
  <si>
    <t>Maurício Fernandes de Oliveira</t>
  </si>
  <si>
    <t xml:space="preserve">Luciano Antonio Fiques </t>
  </si>
  <si>
    <t>Sandro Renato Moreira</t>
  </si>
  <si>
    <t>Julio Cesar De Godoi</t>
  </si>
  <si>
    <t>Giuliano Carilo Povoas</t>
  </si>
  <si>
    <t>Jefferson Barbosa Prestes de Oliveira</t>
  </si>
  <si>
    <t>DANIEL FAUSTINO CAMPOS</t>
  </si>
  <si>
    <t>TEC OPERACOES FLORESTAIS II - estradas</t>
  </si>
  <si>
    <t>TEC OPERACOES FLORESTAIS II - carregamento</t>
  </si>
  <si>
    <t xml:space="preserve">TEC OPERACOES FLORESTAIS II - carregamento </t>
  </si>
  <si>
    <t>SUP LOGISTICA - estradas</t>
  </si>
  <si>
    <t>CC 2024</t>
  </si>
  <si>
    <t>Denilson Paulo Amaral</t>
  </si>
  <si>
    <t>MOD.05/08</t>
  </si>
  <si>
    <t>Rafael Depetris Macedo</t>
  </si>
  <si>
    <t>Rafael Machado Reis</t>
  </si>
  <si>
    <t>Nilton Cesar Moreira Ribeiro</t>
  </si>
  <si>
    <t>Hailton Cunha Brito</t>
  </si>
  <si>
    <t>MOD.ITINERANTE</t>
  </si>
  <si>
    <t>Vanderlei Jose Honorio</t>
  </si>
  <si>
    <t>Luiz Antonio Cardoso</t>
  </si>
  <si>
    <t>MARCELO SUPARTO DA SILVA</t>
  </si>
  <si>
    <t>verificar data</t>
  </si>
  <si>
    <t>DANIEL SOARES DE BRITO</t>
  </si>
  <si>
    <t>ANDRE LUIZ MEDEIROS DO AMARAL</t>
  </si>
  <si>
    <t>Vinicius Cesar Juliana</t>
  </si>
  <si>
    <t>Vergilio Neves De Souza</t>
  </si>
  <si>
    <t>Lazaro Antonio Rodrigues</t>
  </si>
  <si>
    <t>Leonardo Junior Braga de Freitas</t>
  </si>
  <si>
    <t>Bruno De Souza</t>
  </si>
  <si>
    <t>RENATO NUNES LOPES</t>
  </si>
  <si>
    <t>GIOVANO DOS SANTOS PEREIRA</t>
  </si>
  <si>
    <t>Celso Alves Bueno</t>
  </si>
  <si>
    <t>Juliano Dutra</t>
  </si>
  <si>
    <t>THIAGO PETINE</t>
  </si>
  <si>
    <t>Alisson de Souza Lima</t>
  </si>
  <si>
    <t xml:space="preserve">Prêmio de produção </t>
  </si>
  <si>
    <t>Emerson Luiz Barbosa de Lima</t>
  </si>
  <si>
    <t>(14) 99823-8111</t>
  </si>
  <si>
    <t>Heitor Lucas Da Silva Brito</t>
  </si>
  <si>
    <t>ELIANE DE MATTOS</t>
  </si>
  <si>
    <t>NELCI DE CARVALHO</t>
  </si>
  <si>
    <t>Jakson Rodrigo Ribeiro Leite</t>
  </si>
  <si>
    <t>Celular Corporativo</t>
  </si>
  <si>
    <t>Sim</t>
  </si>
  <si>
    <t>(14) 99854-2810</t>
  </si>
  <si>
    <t>(14) 99883-0130</t>
  </si>
  <si>
    <t>MARCELO MACHADO MARTINS DE SOUZA</t>
  </si>
  <si>
    <t>Giovani Silva Cardoso</t>
  </si>
  <si>
    <t xml:space="preserve">Jocelino dos Santos </t>
  </si>
  <si>
    <t>Marcos Roberto Teodoro de Oliveira</t>
  </si>
  <si>
    <t>(14) 99701-3196</t>
  </si>
  <si>
    <t>(14) 99825-8819</t>
  </si>
  <si>
    <t>Campo Grande</t>
  </si>
  <si>
    <t>João Pinheiro</t>
  </si>
  <si>
    <t>(14) 99609-0499</t>
  </si>
  <si>
    <t>Curvelo</t>
  </si>
  <si>
    <t>(41) 8873-0657</t>
  </si>
  <si>
    <t>Capão Bonito</t>
  </si>
  <si>
    <t>Não</t>
  </si>
  <si>
    <t>(14) 99631-4076</t>
  </si>
  <si>
    <t xml:space="preserve">LEONARDO DONIAS ROCHA FURQUIM </t>
  </si>
  <si>
    <t xml:space="preserve">JAIR THEODORO </t>
  </si>
  <si>
    <t>ADEMILSON FERREIRA DA SILVA</t>
  </si>
  <si>
    <t>JEFFERSON CARDOSO DE PAULA</t>
  </si>
  <si>
    <t>(14) 99700-3090</t>
  </si>
  <si>
    <t>São Miguel Arcanjo</t>
  </si>
  <si>
    <t>Edson Caldeira Barbosa</t>
  </si>
  <si>
    <t>Mauricio Fernandes Teixeira</t>
  </si>
  <si>
    <t>JOSE PAULO TERTO DOS SANTOS</t>
  </si>
  <si>
    <t>OSVALDO PIRES DA SILVA JUNIOR</t>
  </si>
  <si>
    <t>Modelo celular</t>
  </si>
  <si>
    <t>Perdeu o corporativo</t>
  </si>
  <si>
    <t>Não possui</t>
  </si>
  <si>
    <t>A54</t>
  </si>
  <si>
    <t>A53</t>
  </si>
  <si>
    <t>A32</t>
  </si>
  <si>
    <t>A51</t>
  </si>
  <si>
    <t>MOTOG30</t>
  </si>
  <si>
    <t>MOD.01/04/10</t>
  </si>
  <si>
    <t>(14) 99606-9772</t>
  </si>
  <si>
    <t>(14)99688-5697</t>
  </si>
  <si>
    <t>Moto12</t>
  </si>
  <si>
    <t>(14) 99837-3443</t>
  </si>
  <si>
    <t>(14)99860-7877</t>
  </si>
  <si>
    <t>(14)99802-0381</t>
  </si>
  <si>
    <t>Eder Bernardes da Silva</t>
  </si>
  <si>
    <t>(14)99649-5576</t>
  </si>
  <si>
    <t>Fernando Jorge da Silva</t>
  </si>
  <si>
    <t>CLEIBER PINTO TEIXEIRA</t>
  </si>
  <si>
    <t>ANTÔNIO SANTOS</t>
  </si>
  <si>
    <t xml:space="preserve">WELLINGTON LOPES CORDEIRO </t>
  </si>
  <si>
    <t>BOAVENTURA TELES DOS SANTOS</t>
  </si>
  <si>
    <t>pagar proporcional</t>
  </si>
  <si>
    <t>Prêmio Maio - ok</t>
  </si>
  <si>
    <t>OBS PRÊMIO MAIO</t>
  </si>
  <si>
    <t>média do modulo e proporcional</t>
  </si>
  <si>
    <t>Premio maio - ok</t>
  </si>
  <si>
    <t>Marcos Rogério do Nascimento</t>
  </si>
  <si>
    <t>01/05/2025 (virou tecnico)</t>
  </si>
  <si>
    <t>01/05/2025 (VIrou tecnico)</t>
  </si>
  <si>
    <t>OPERADOR DE ESTRADAS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</si>
</sst>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DDEBF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</cellStyleXfs>
  <cellXfs count="218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/>
    <xf numFmtId="0" fontId="0" fillId="0" borderId="9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2" fillId="0" borderId="0" xfId="0" applyFont="1" applyFill="1"/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4" fontId="10" fillId="0" borderId="1" xfId="0" applyNumberFormat="1" applyFont="1" applyFill="1" applyBorder="1" applyAlignment="1">
      <alignment horizontal="center"/>
    </xf>
    <xf numFmtId="14" fontId="0" fillId="0" borderId="12" xfId="0" applyNumberForma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10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2" xfId="0" applyNumberForma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9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pivotButton="1" applyFont="1"/>
    <xf numFmtId="0" fontId="3" fillId="0" borderId="0" xfId="0" applyFont="1"/>
    <xf numFmtId="0" fontId="0" fillId="0" borderId="0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14" fontId="13" fillId="2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5" fillId="0" borderId="12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" fillId="7" borderId="14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4" fontId="16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8" borderId="15" xfId="0" applyFont="1" applyFill="1" applyBorder="1" applyAlignment="1">
      <alignment horizontal="center" vertical="center"/>
    </xf>
    <xf numFmtId="0" fontId="17" fillId="8" borderId="16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16" fontId="0" fillId="0" borderId="12" xfId="0" applyNumberFormat="1" applyFill="1" applyBorder="1" applyAlignment="1">
      <alignment horizont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5" borderId="12" xfId="0" applyNumberFormat="1" applyFont="1" applyFill="1" applyBorder="1" applyAlignment="1">
      <alignment horizontal="center" vertical="center"/>
    </xf>
    <xf numFmtId="0" fontId="0" fillId="0" borderId="12" xfId="0" applyFill="1" applyBorder="1"/>
    <xf numFmtId="14" fontId="10" fillId="0" borderId="1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14" fontId="11" fillId="5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top"/>
    </xf>
    <xf numFmtId="0" fontId="11" fillId="0" borderId="1" xfId="0" quotePrefix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" fontId="0" fillId="0" borderId="0" xfId="0" quotePrefix="1" applyNumberFormat="1" applyFill="1" applyBorder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22" fillId="0" borderId="1" xfId="0" applyFont="1" applyFill="1" applyBorder="1"/>
    <xf numFmtId="0" fontId="20" fillId="10" borderId="1" xfId="3" applyBorder="1" applyAlignment="1">
      <alignment horizontal="center"/>
    </xf>
    <xf numFmtId="0" fontId="21" fillId="11" borderId="1" xfId="4" applyBorder="1" applyAlignment="1">
      <alignment horizontal="center"/>
    </xf>
    <xf numFmtId="0" fontId="20" fillId="10" borderId="1" xfId="3" applyBorder="1" applyAlignment="1">
      <alignment horizontal="center" vertical="center"/>
    </xf>
    <xf numFmtId="0" fontId="21" fillId="11" borderId="1" xfId="4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/>
    </xf>
    <xf numFmtId="14" fontId="16" fillId="0" borderId="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0" fillId="13" borderId="0" xfId="0" applyFill="1"/>
    <xf numFmtId="0" fontId="23" fillId="4" borderId="7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7" fillId="0" borderId="22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7" fillId="0" borderId="23" xfId="0" applyFont="1" applyBorder="1" applyAlignment="1">
      <alignment horizontal="center" vertical="center"/>
    </xf>
    <xf numFmtId="0" fontId="0" fillId="5" borderId="0" xfId="0" applyFill="1"/>
    <xf numFmtId="0" fontId="0" fillId="5" borderId="1" xfId="0" applyNumberFormat="1" applyFill="1" applyBorder="1" applyAlignment="1">
      <alignment horizontal="center"/>
    </xf>
    <xf numFmtId="0" fontId="0" fillId="5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13" borderId="12" xfId="0" applyFill="1" applyBorder="1" applyAlignment="1">
      <alignment horizontal="center" vertical="center"/>
    </xf>
    <xf numFmtId="0" fontId="0" fillId="0" borderId="3" xfId="0" applyFill="1" applyBorder="1"/>
    <xf numFmtId="0" fontId="11" fillId="0" borderId="1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0" fillId="2" borderId="0" xfId="0" applyFill="1"/>
    <xf numFmtId="0" fontId="26" fillId="14" borderId="21" xfId="0" applyFont="1" applyFill="1" applyBorder="1" applyAlignment="1">
      <alignment horizontal="center" vertical="center"/>
    </xf>
    <xf numFmtId="0" fontId="26" fillId="14" borderId="2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14" fontId="14" fillId="0" borderId="12" xfId="0" applyNumberFormat="1" applyFont="1" applyFill="1" applyBorder="1" applyAlignment="1">
      <alignment horizontal="center" vertical="center"/>
    </xf>
    <xf numFmtId="0" fontId="6" fillId="0" borderId="0" xfId="0" applyFont="1"/>
    <xf numFmtId="0" fontId="10" fillId="0" borderId="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1" xfId="0" applyNumberFormat="1" applyFont="1" applyFill="1" applyBorder="1" applyAlignment="1">
      <alignment horizontal="center"/>
    </xf>
    <xf numFmtId="14" fontId="10" fillId="0" borderId="1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14" fontId="29" fillId="2" borderId="8" xfId="0" applyNumberFormat="1" applyFont="1" applyFill="1" applyBorder="1" applyAlignment="1">
      <alignment horizontal="center"/>
    </xf>
    <xf numFmtId="0" fontId="17" fillId="0" borderId="2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/>
    </xf>
    <xf numFmtId="1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4" fontId="5" fillId="0" borderId="11" xfId="0" applyNumberFormat="1" applyFont="1" applyFill="1" applyBorder="1" applyAlignment="1">
      <alignment horizontal="center" vertical="center"/>
    </xf>
    <xf numFmtId="14" fontId="5" fillId="0" borderId="13" xfId="0" applyNumberFormat="1" applyFont="1" applyFill="1" applyBorder="1" applyAlignment="1">
      <alignment horizontal="center" vertical="center"/>
    </xf>
    <xf numFmtId="0" fontId="24" fillId="0" borderId="0" xfId="0" applyFont="1" applyFill="1"/>
    <xf numFmtId="0" fontId="0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14" fontId="11" fillId="0" borderId="0" xfId="0" applyNumberFormat="1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10" fillId="0" borderId="11" xfId="0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6" fillId="13" borderId="0" xfId="0" applyNumberFormat="1" applyFont="1" applyFill="1" applyBorder="1" applyAlignment="1">
      <alignment horizontal="center"/>
    </xf>
    <xf numFmtId="0" fontId="11" fillId="13" borderId="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1" xfId="0" quotePrefix="1" applyFont="1" applyFill="1" applyBorder="1" applyAlignment="1">
      <alignment horizontal="center"/>
    </xf>
    <xf numFmtId="14" fontId="11" fillId="0" borderId="11" xfId="0" applyNumberFormat="1" applyFont="1" applyFill="1" applyBorder="1" applyAlignment="1">
      <alignment horizontal="center" vertical="center"/>
    </xf>
    <xf numFmtId="0" fontId="0" fillId="0" borderId="11" xfId="0" applyFill="1" applyBorder="1"/>
    <xf numFmtId="14" fontId="10" fillId="0" borderId="0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/>
    <xf numFmtId="14" fontId="11" fillId="13" borderId="0" xfId="0" applyNumberFormat="1" applyFont="1" applyFill="1" applyBorder="1" applyAlignment="1">
      <alignment horizontal="center"/>
    </xf>
    <xf numFmtId="0" fontId="6" fillId="13" borderId="0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6" fillId="0" borderId="11" xfId="0" applyNumberFormat="1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/>
    </xf>
    <xf numFmtId="0" fontId="0" fillId="0" borderId="0" xfId="0" applyBorder="1"/>
    <xf numFmtId="14" fontId="5" fillId="0" borderId="0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/>
    </xf>
    <xf numFmtId="16" fontId="11" fillId="0" borderId="1" xfId="0" quotePrefix="1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/>
    </xf>
    <xf numFmtId="14" fontId="10" fillId="5" borderId="11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</cellXfs>
  <cellStyles count="5">
    <cellStyle name="Bom" xfId="3" builtinId="26"/>
    <cellStyle name="Moeda 2" xfId="2" xr:uid="{00000000-0005-0000-0000-000001000000}"/>
    <cellStyle name="Moeda 3" xfId="1" xr:uid="{00000000-0005-0000-0000-00002F000000}"/>
    <cellStyle name="Normal" xfId="0" builtinId="0"/>
    <cellStyle name="Ruim" xfId="4" builtinId="27"/>
  </cellStyles>
  <dxfs count="93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24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a_Florestal/CARREGAMENTO/7.%20DIVIS&#195;O%20CC/Confer&#234;ncia%20mensal%20RH/BASE%20ATIVOS%20CARREG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ARREGAMENTO\7.%20DIVIS&#195;O%20CC\Confer&#234;ncia%20mensal%20RH\Confer&#234;ncia%20mensal%20Ma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_pontes\AppData\Local\Microsoft\Windows\INetCache\Content.Outlook\1NPS5HT7\Base%20Ativos%20Outub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S"/>
    </sheetNames>
    <sheetDataSet>
      <sheetData sheetId="0">
        <row r="4">
          <cell r="B4" t="str">
            <v>COLABORADOR</v>
          </cell>
          <cell r="C4" t="str">
            <v>MATRÍCULA</v>
          </cell>
          <cell r="D4" t="str">
            <v>MÓDULO</v>
          </cell>
          <cell r="E4" t="str">
            <v>CARGO</v>
          </cell>
          <cell r="F4" t="str">
            <v>CC</v>
          </cell>
          <cell r="G4" t="str">
            <v>GESTOR IMEDIATO</v>
          </cell>
          <cell r="H4" t="str">
            <v>ID COLABORADOR</v>
          </cell>
          <cell r="I4" t="str">
            <v>DATA ADMISSÃO</v>
          </cell>
          <cell r="J4" t="str">
            <v>DESLIGAMENTO</v>
          </cell>
        </row>
        <row r="5">
          <cell r="B5" t="str">
            <v>MARIO FRAIZ COELHO MAIA DE ANDRADE</v>
          </cell>
          <cell r="C5">
            <v>37009708</v>
          </cell>
          <cell r="D5" t="str">
            <v>-</v>
          </cell>
          <cell r="E5" t="str">
            <v>Coordenador Logistica Florestal</v>
          </cell>
          <cell r="F5">
            <v>373105</v>
          </cell>
          <cell r="G5" t="str">
            <v>ANDRE LUIS SCARIN DO AMARAL</v>
          </cell>
          <cell r="H5">
            <v>20036000</v>
          </cell>
          <cell r="I5">
            <v>44851</v>
          </cell>
          <cell r="J5"/>
        </row>
        <row r="6">
          <cell r="B6" t="str">
            <v>AIRTON LOPES DA SILVA</v>
          </cell>
          <cell r="C6">
            <v>37005668</v>
          </cell>
          <cell r="D6" t="str">
            <v>MOD.01</v>
          </cell>
          <cell r="E6" t="str">
            <v>Oper Maqs Florestais I Grua</v>
          </cell>
          <cell r="F6">
            <v>373114</v>
          </cell>
          <cell r="G6" t="str">
            <v>MARCIO APARECIDO CAVALHEIRO</v>
          </cell>
          <cell r="H6">
            <v>20013964</v>
          </cell>
          <cell r="I6">
            <v>44329</v>
          </cell>
          <cell r="J6"/>
        </row>
        <row r="7">
          <cell r="B7" t="str">
            <v>ANDERSON ANTONIO HENRIQUE DE OLIVEIRA</v>
          </cell>
          <cell r="C7">
            <v>37005493</v>
          </cell>
          <cell r="D7" t="str">
            <v>MOD.01</v>
          </cell>
          <cell r="E7" t="str">
            <v>Assistente Operador Carregamento Grua</v>
          </cell>
          <cell r="F7">
            <v>373114</v>
          </cell>
          <cell r="G7" t="str">
            <v>MARCIO APARECIDO CAVALHEIRO</v>
          </cell>
          <cell r="H7">
            <v>20013542</v>
          </cell>
          <cell r="I7">
            <v>44270</v>
          </cell>
          <cell r="J7"/>
        </row>
        <row r="8">
          <cell r="B8" t="str">
            <v>APARECIDO RODRIGUES DE SOUZA</v>
          </cell>
          <cell r="C8">
            <v>37000092</v>
          </cell>
          <cell r="D8" t="str">
            <v>MOD.01</v>
          </cell>
          <cell r="E8" t="str">
            <v>Assistente Operador Carregamento Grua</v>
          </cell>
          <cell r="F8">
            <v>373114</v>
          </cell>
          <cell r="G8" t="str">
            <v>MARCIO APARECIDO CAVALHEIRO</v>
          </cell>
          <cell r="H8">
            <v>20008678</v>
          </cell>
          <cell r="I8">
            <v>33795</v>
          </cell>
          <cell r="J8"/>
        </row>
        <row r="9">
          <cell r="B9" t="str">
            <v>CELIO ALVES DOS SANTOS</v>
          </cell>
          <cell r="C9">
            <v>37012429</v>
          </cell>
          <cell r="D9" t="str">
            <v>MOD.01</v>
          </cell>
          <cell r="E9" t="str">
            <v>Oper Maqs Florestais I Grua</v>
          </cell>
          <cell r="F9">
            <v>373114</v>
          </cell>
          <cell r="G9" t="str">
            <v>MARCIO APARECIDO CAVALHEIRO</v>
          </cell>
          <cell r="H9">
            <v>20049729</v>
          </cell>
          <cell r="I9">
            <v>45055</v>
          </cell>
          <cell r="J9"/>
        </row>
        <row r="10">
          <cell r="B10" t="str">
            <v>CLAUDIVAN APARECIDO SOARES DE GOES</v>
          </cell>
          <cell r="C10">
            <v>37018299</v>
          </cell>
          <cell r="D10" t="str">
            <v>MOD.01</v>
          </cell>
          <cell r="E10" t="str">
            <v>Oper Maqs Florestais I Grua</v>
          </cell>
          <cell r="F10">
            <v>373114</v>
          </cell>
          <cell r="G10" t="str">
            <v>MARCIO APARECIDO CAVALHEIRO</v>
          </cell>
          <cell r="H10">
            <v>20072858</v>
          </cell>
          <cell r="I10">
            <v>45475</v>
          </cell>
          <cell r="J10"/>
        </row>
        <row r="11">
          <cell r="B11" t="str">
            <v>CRISTIAN APARECIDO DE MELO</v>
          </cell>
          <cell r="C11">
            <v>37006523</v>
          </cell>
          <cell r="D11" t="str">
            <v>MOD.01</v>
          </cell>
          <cell r="E11" t="str">
            <v>Assistente Operador Carregamento Grua</v>
          </cell>
          <cell r="F11">
            <v>373114</v>
          </cell>
          <cell r="G11" t="str">
            <v>MARCIO APARECIDO CAVALHEIRO</v>
          </cell>
          <cell r="H11">
            <v>20018115</v>
          </cell>
          <cell r="I11">
            <v>44473</v>
          </cell>
          <cell r="J11"/>
        </row>
        <row r="12">
          <cell r="B12" t="str">
            <v>CUSTODIO XAVIER</v>
          </cell>
          <cell r="C12">
            <v>37000868</v>
          </cell>
          <cell r="D12" t="str">
            <v>MOD.01</v>
          </cell>
          <cell r="E12" t="str">
            <v>Assistente Operador Carregamento Grua</v>
          </cell>
          <cell r="F12">
            <v>373114</v>
          </cell>
          <cell r="G12" t="str">
            <v>MARCIO APARECIDO CAVALHEIRO</v>
          </cell>
          <cell r="H12">
            <v>20008845</v>
          </cell>
          <cell r="I12">
            <v>40700</v>
          </cell>
          <cell r="J12"/>
        </row>
        <row r="13">
          <cell r="B13" t="str">
            <v>ELIELSON ANGELO DE OLIVEIRA</v>
          </cell>
          <cell r="C13">
            <v>37012287</v>
          </cell>
          <cell r="D13" t="str">
            <v>MOD.01</v>
          </cell>
          <cell r="E13" t="str">
            <v>Oper Maqs Florestais I Grua</v>
          </cell>
          <cell r="F13">
            <v>373114</v>
          </cell>
          <cell r="G13" t="str">
            <v>MARCIO APARECIDO CAVALHEIRO</v>
          </cell>
          <cell r="H13">
            <v>20049233</v>
          </cell>
          <cell r="I13">
            <v>45048</v>
          </cell>
          <cell r="J13"/>
        </row>
        <row r="14">
          <cell r="B14" t="str">
            <v>JOSE DOS SANTOS SILVA</v>
          </cell>
          <cell r="C14">
            <v>37001860</v>
          </cell>
          <cell r="D14" t="str">
            <v>MOD.01</v>
          </cell>
          <cell r="E14" t="str">
            <v>Assistente Operador Carregamento Grua</v>
          </cell>
          <cell r="F14">
            <v>373114</v>
          </cell>
          <cell r="G14" t="str">
            <v>MARCIO APARECIDO CAVALHEIRO</v>
          </cell>
          <cell r="H14">
            <v>20009387</v>
          </cell>
          <cell r="I14">
            <v>42758</v>
          </cell>
          <cell r="J14"/>
        </row>
        <row r="15">
          <cell r="B15" t="str">
            <v>JURANDIR APARECIDO CRISOSTOMO</v>
          </cell>
          <cell r="C15">
            <v>37005646</v>
          </cell>
          <cell r="D15" t="str">
            <v>MOD.01</v>
          </cell>
          <cell r="E15" t="str">
            <v>Oper Maqs Florestais I Grua</v>
          </cell>
          <cell r="F15">
            <v>373114</v>
          </cell>
          <cell r="G15" t="str">
            <v>MARCIO APARECIDO CAVALHEIRO</v>
          </cell>
          <cell r="H15">
            <v>20013945</v>
          </cell>
          <cell r="I15">
            <v>44329</v>
          </cell>
          <cell r="J15"/>
        </row>
        <row r="16">
          <cell r="B16" t="str">
            <v>MARCIO ANDRE DOS SANTOS</v>
          </cell>
          <cell r="C16">
            <v>37005674</v>
          </cell>
          <cell r="D16" t="str">
            <v>MOD.01</v>
          </cell>
          <cell r="E16" t="str">
            <v>Oper Maqs Florestais I Grua</v>
          </cell>
          <cell r="F16">
            <v>373114</v>
          </cell>
          <cell r="G16" t="str">
            <v>MARCIO APARECIDO CAVALHEIRO</v>
          </cell>
          <cell r="H16">
            <v>20013969</v>
          </cell>
          <cell r="I16">
            <v>44329</v>
          </cell>
          <cell r="J16"/>
        </row>
        <row r="17">
          <cell r="B17" t="str">
            <v>PAULO RODRIGUES DOS ANJOS</v>
          </cell>
          <cell r="C17">
            <v>37007174</v>
          </cell>
          <cell r="D17" t="str">
            <v>MOD.01</v>
          </cell>
          <cell r="E17" t="str">
            <v>Oper Maqs Florestais I Grua</v>
          </cell>
          <cell r="F17">
            <v>373114</v>
          </cell>
          <cell r="G17" t="str">
            <v>MARCIO APARECIDO CAVALHEIRO</v>
          </cell>
          <cell r="H17">
            <v>20022977</v>
          </cell>
          <cell r="I17">
            <v>44609</v>
          </cell>
          <cell r="J17"/>
        </row>
        <row r="18">
          <cell r="B18" t="str">
            <v>JAZIEL DOS SANTOS ARAUJO</v>
          </cell>
          <cell r="C18">
            <v>37006675</v>
          </cell>
          <cell r="D18" t="str">
            <v>MOD.01</v>
          </cell>
          <cell r="E18" t="str">
            <v>Oper Maqs Florestais I Grua</v>
          </cell>
          <cell r="F18">
            <v>373114</v>
          </cell>
          <cell r="G18" t="str">
            <v>MARCIO APARECIDO CAVALHEIRO</v>
          </cell>
          <cell r="H18">
            <v>20018752</v>
          </cell>
          <cell r="I18">
            <v>44503</v>
          </cell>
          <cell r="J18"/>
        </row>
        <row r="19">
          <cell r="B19" t="str">
            <v>JOAO BATISTA BARBOSA BRITO</v>
          </cell>
          <cell r="C19">
            <v>37006782</v>
          </cell>
          <cell r="D19" t="str">
            <v>MOD.01</v>
          </cell>
          <cell r="E19" t="str">
            <v>Assistente Operador Carregamento Grua</v>
          </cell>
          <cell r="F19">
            <v>373114</v>
          </cell>
          <cell r="G19" t="str">
            <v>MARCIO APARECIDO CAVALHEIRO</v>
          </cell>
          <cell r="H19">
            <v>20019009</v>
          </cell>
          <cell r="I19">
            <v>44522</v>
          </cell>
          <cell r="J19"/>
        </row>
        <row r="20">
          <cell r="B20" t="str">
            <v>JOSE DONIZETTE LUIZ</v>
          </cell>
          <cell r="C20">
            <v>37006674</v>
          </cell>
          <cell r="D20" t="str">
            <v>MOD.01</v>
          </cell>
          <cell r="E20" t="str">
            <v>TEC OPERACOES FLORESTAIS III</v>
          </cell>
          <cell r="F20">
            <v>373105</v>
          </cell>
          <cell r="G20" t="str">
            <v>MARCIO APARECIDO CAVALHEIRO</v>
          </cell>
          <cell r="H20">
            <v>20019979</v>
          </cell>
          <cell r="I20">
            <v>44503</v>
          </cell>
          <cell r="J20"/>
        </row>
        <row r="21">
          <cell r="B21" t="str">
            <v>ANTONIO MARCIO AGUILERA</v>
          </cell>
          <cell r="C21">
            <v>37017571</v>
          </cell>
          <cell r="D21" t="str">
            <v>MOD.01</v>
          </cell>
          <cell r="E21" t="str">
            <v>MOTORISTA II</v>
          </cell>
          <cell r="F21">
            <v>373116</v>
          </cell>
          <cell r="G21" t="str">
            <v>MARCIO APARECIDO CAVALHEIRO</v>
          </cell>
          <cell r="H21">
            <v>20069950</v>
          </cell>
          <cell r="I21">
            <v>45426</v>
          </cell>
          <cell r="J21"/>
        </row>
        <row r="22">
          <cell r="B22" t="str">
            <v>JOSE ADALBERTO BISPO</v>
          </cell>
          <cell r="C22">
            <v>37018016</v>
          </cell>
          <cell r="D22" t="str">
            <v>MOD.01</v>
          </cell>
          <cell r="E22" t="str">
            <v>MOTORISTA II</v>
          </cell>
          <cell r="F22">
            <v>373116</v>
          </cell>
          <cell r="G22" t="str">
            <v>MARCIO APARECIDO CAVALHEIRO</v>
          </cell>
          <cell r="H22">
            <v>20071375</v>
          </cell>
          <cell r="I22">
            <v>45447</v>
          </cell>
          <cell r="J22"/>
        </row>
        <row r="23">
          <cell r="B23" t="str">
            <v>MARCIO VICENTE MENDES</v>
          </cell>
          <cell r="C23">
            <v>37017990</v>
          </cell>
          <cell r="D23" t="str">
            <v>MOD.01</v>
          </cell>
          <cell r="E23" t="str">
            <v>OPERADOR DE ESTRADAS III</v>
          </cell>
          <cell r="F23">
            <v>373116</v>
          </cell>
          <cell r="G23" t="str">
            <v>MARCIO APARECIDO CAVALHEIRO</v>
          </cell>
          <cell r="H23">
            <v>20071349</v>
          </cell>
          <cell r="I23">
            <v>45447</v>
          </cell>
          <cell r="J23"/>
        </row>
        <row r="24">
          <cell r="B24" t="str">
            <v>Maurício Fernandes de Oliveira</v>
          </cell>
          <cell r="C24">
            <v>37020198</v>
          </cell>
          <cell r="D24" t="str">
            <v>MOD.01</v>
          </cell>
          <cell r="E24" t="str">
            <v>OPERADOR DE ESTRADAS III</v>
          </cell>
          <cell r="F24"/>
          <cell r="G24" t="str">
            <v>MARCIO APARECIDO CAVALHEIRO</v>
          </cell>
          <cell r="H24">
            <v>20083048</v>
          </cell>
          <cell r="I24">
            <v>45629</v>
          </cell>
          <cell r="J24"/>
        </row>
        <row r="25">
          <cell r="B25" t="str">
            <v>REGINALDO APARECIDO VAZ</v>
          </cell>
          <cell r="C25">
            <v>37014355</v>
          </cell>
          <cell r="D25" t="str">
            <v>MOD.01</v>
          </cell>
          <cell r="E25" t="str">
            <v>OPERADOR DE ESTRADAS III</v>
          </cell>
          <cell r="F25">
            <v>373116</v>
          </cell>
          <cell r="G25" t="str">
            <v>MARCIO APARECIDO CAVALHEIRO</v>
          </cell>
          <cell r="H25">
            <v>20058490</v>
          </cell>
          <cell r="I25">
            <v>45174</v>
          </cell>
          <cell r="J25"/>
        </row>
        <row r="26">
          <cell r="B26" t="str">
            <v>SANTOS GLAUCIO DA SILVA</v>
          </cell>
          <cell r="C26">
            <v>37017525</v>
          </cell>
          <cell r="D26" t="str">
            <v>MOD.01</v>
          </cell>
          <cell r="E26" t="str">
            <v>OPERADOR DE ESTRADAS III</v>
          </cell>
          <cell r="F26">
            <v>373116</v>
          </cell>
          <cell r="G26" t="str">
            <v>MARCIO APARECIDO CAVALHEIRO</v>
          </cell>
          <cell r="H26">
            <v>20069674</v>
          </cell>
          <cell r="I26">
            <v>45419</v>
          </cell>
          <cell r="J26"/>
        </row>
        <row r="27">
          <cell r="B27" t="str">
            <v>VICENTE ELIAS FELICIANO</v>
          </cell>
          <cell r="C27">
            <v>37018099</v>
          </cell>
          <cell r="D27" t="str">
            <v>MOD.01</v>
          </cell>
          <cell r="E27" t="str">
            <v>MOTORISTA II</v>
          </cell>
          <cell r="F27" t="str">
            <v>373403 cc de pipa verificar</v>
          </cell>
          <cell r="G27" t="str">
            <v>MARCIO APARECIDO CAVALHEIRO</v>
          </cell>
          <cell r="H27">
            <v>20071778</v>
          </cell>
          <cell r="I27">
            <v>45454</v>
          </cell>
          <cell r="J27"/>
        </row>
        <row r="28">
          <cell r="B28" t="str">
            <v>MARCIO APARECIDO CAVALHEIRO</v>
          </cell>
          <cell r="C28">
            <v>37005502</v>
          </cell>
          <cell r="D28" t="str">
            <v>MOD.01/04</v>
          </cell>
          <cell r="E28" t="str">
            <v>Supervisor Logistica Florestal</v>
          </cell>
          <cell r="F28">
            <v>373105</v>
          </cell>
          <cell r="G28" t="str">
            <v>MARIO FRAIZ COELHO MAIA DE ANDRADE</v>
          </cell>
          <cell r="H28">
            <v>20013549</v>
          </cell>
          <cell r="I28">
            <v>44270</v>
          </cell>
          <cell r="J28"/>
        </row>
        <row r="29">
          <cell r="B29" t="str">
            <v>VITOR HUGO DOS SANTOS</v>
          </cell>
          <cell r="C29">
            <v>37000921</v>
          </cell>
          <cell r="D29" t="str">
            <v>MOD.01/04</v>
          </cell>
          <cell r="E29" t="str">
            <v>TECN OPERACOES FLORESTAIS II</v>
          </cell>
          <cell r="F29">
            <v>373105</v>
          </cell>
          <cell r="G29" t="str">
            <v>MARCIO APARECIDO CAVALHEIRO</v>
          </cell>
          <cell r="H29">
            <v>20010019</v>
          </cell>
          <cell r="I29">
            <v>40763</v>
          </cell>
          <cell r="J29"/>
        </row>
        <row r="30">
          <cell r="B30" t="str">
            <v>VAGNER PEREIRA DOS SANTOS</v>
          </cell>
          <cell r="C30">
            <v>37001934</v>
          </cell>
          <cell r="D30" t="str">
            <v>MOD.02</v>
          </cell>
          <cell r="E30" t="str">
            <v>Assistente Operador Carregamento Grua</v>
          </cell>
          <cell r="F30">
            <v>373114</v>
          </cell>
          <cell r="G30" t="str">
            <v>MARCIO APARECIDO CAVALHEIRO</v>
          </cell>
          <cell r="H30">
            <v>20009981</v>
          </cell>
          <cell r="I30">
            <v>42828</v>
          </cell>
          <cell r="J30"/>
        </row>
        <row r="31">
          <cell r="B31" t="str">
            <v>WESLEY ROBSON FERREIRA DA SILVA</v>
          </cell>
          <cell r="C31">
            <v>37005672</v>
          </cell>
          <cell r="D31" t="str">
            <v>MOD.02</v>
          </cell>
          <cell r="E31" t="str">
            <v>Oper Maqs Florestais I Grua</v>
          </cell>
          <cell r="F31">
            <v>373114</v>
          </cell>
          <cell r="G31" t="str">
            <v>MARCIO APARECIDO CAVALHEIRO</v>
          </cell>
          <cell r="H31">
            <v>20013968</v>
          </cell>
          <cell r="I31">
            <v>44329</v>
          </cell>
          <cell r="J31"/>
        </row>
        <row r="32">
          <cell r="B32" t="str">
            <v>CRISTIANO FERREIRA SANTOS</v>
          </cell>
          <cell r="C32">
            <v>37005650</v>
          </cell>
          <cell r="D32" t="str">
            <v>MOD.02</v>
          </cell>
          <cell r="E32" t="str">
            <v>Assistente Operador Carregamento Grua</v>
          </cell>
          <cell r="F32">
            <v>373114</v>
          </cell>
          <cell r="G32" t="str">
            <v>JHON FELIPE SENOSKI</v>
          </cell>
          <cell r="H32">
            <v>20014383</v>
          </cell>
          <cell r="I32">
            <v>44329</v>
          </cell>
          <cell r="J32"/>
        </row>
        <row r="33">
          <cell r="B33" t="str">
            <v>ELISEU BUENO DE PAULO</v>
          </cell>
          <cell r="C33">
            <v>37015497</v>
          </cell>
          <cell r="D33" t="str">
            <v>MOD.02</v>
          </cell>
          <cell r="E33" t="str">
            <v>Oper Maqs Florestais I Grua</v>
          </cell>
          <cell r="F33">
            <v>373114</v>
          </cell>
          <cell r="G33" t="str">
            <v>JHON FELIPE SENOSKI</v>
          </cell>
          <cell r="H33">
            <v>20062748</v>
          </cell>
          <cell r="I33">
            <v>45265</v>
          </cell>
          <cell r="J33"/>
        </row>
        <row r="34">
          <cell r="B34" t="str">
            <v>ENOQUE VIEIRA DE PAULO</v>
          </cell>
          <cell r="C34">
            <v>37018691</v>
          </cell>
          <cell r="D34" t="str">
            <v>MOD.02</v>
          </cell>
          <cell r="E34" t="str">
            <v>Oper Maqs Florestais I Grua</v>
          </cell>
          <cell r="F34">
            <v>373114</v>
          </cell>
          <cell r="G34" t="str">
            <v>JHON FELIPE SENOSKI</v>
          </cell>
          <cell r="H34">
            <v>20074848</v>
          </cell>
          <cell r="I34">
            <v>45510</v>
          </cell>
          <cell r="J34"/>
        </row>
        <row r="35">
          <cell r="B35" t="str">
            <v>ESAU VIEIRA DE PAULO</v>
          </cell>
          <cell r="C35">
            <v>37018692</v>
          </cell>
          <cell r="D35" t="str">
            <v>MOD.02</v>
          </cell>
          <cell r="E35" t="str">
            <v>Oper Maqs Florestais I Grua</v>
          </cell>
          <cell r="F35">
            <v>373114</v>
          </cell>
          <cell r="G35" t="str">
            <v>JHON FELIPE SENOSKI</v>
          </cell>
          <cell r="H35">
            <v>20074849</v>
          </cell>
          <cell r="I35">
            <v>45510</v>
          </cell>
          <cell r="J35"/>
        </row>
        <row r="36">
          <cell r="B36" t="str">
            <v>FABRICIO SANTOS PEREIRA</v>
          </cell>
          <cell r="C36">
            <v>37006418</v>
          </cell>
          <cell r="D36" t="str">
            <v>MOD.02</v>
          </cell>
          <cell r="E36" t="str">
            <v>Assistente Operador Carregamento Grua</v>
          </cell>
          <cell r="F36">
            <v>373114</v>
          </cell>
          <cell r="G36" t="str">
            <v>JHON FELIPE SENOSKI</v>
          </cell>
          <cell r="H36">
            <v>20017828</v>
          </cell>
          <cell r="I36">
            <v>44459</v>
          </cell>
          <cell r="J36"/>
        </row>
        <row r="37">
          <cell r="B37" t="str">
            <v>FRANCISCO HENRIQUE PEREIRA DE LIMA</v>
          </cell>
          <cell r="C37">
            <v>37008824</v>
          </cell>
          <cell r="D37" t="str">
            <v>MOD.02</v>
          </cell>
          <cell r="E37" t="str">
            <v>Assistente Operador Carregamento Grua</v>
          </cell>
          <cell r="F37">
            <v>373114</v>
          </cell>
          <cell r="G37" t="str">
            <v>JHON FELIPE SENOSKI</v>
          </cell>
          <cell r="H37">
            <v>20034927</v>
          </cell>
          <cell r="I37">
            <v>44777</v>
          </cell>
          <cell r="J37"/>
        </row>
        <row r="38">
          <cell r="B38" t="str">
            <v>JAIR MARQUES DA SILVA FILHO</v>
          </cell>
          <cell r="C38">
            <v>37013385</v>
          </cell>
          <cell r="D38" t="str">
            <v>MOD.02</v>
          </cell>
          <cell r="E38" t="str">
            <v>Oper Maqs Florestais I Grua</v>
          </cell>
          <cell r="F38">
            <v>373114</v>
          </cell>
          <cell r="G38" t="str">
            <v>JHON FELIPE SENOSKI</v>
          </cell>
          <cell r="H38">
            <v>20054463</v>
          </cell>
          <cell r="I38">
            <v>45118</v>
          </cell>
          <cell r="J38"/>
        </row>
        <row r="39">
          <cell r="B39" t="str">
            <v>JORGE FLEXA BARBOSA</v>
          </cell>
          <cell r="C39">
            <v>37009369</v>
          </cell>
          <cell r="D39" t="str">
            <v>MOD.02</v>
          </cell>
          <cell r="E39" t="str">
            <v>Assistente Operador Carregamento Grua</v>
          </cell>
          <cell r="F39">
            <v>373114</v>
          </cell>
          <cell r="G39" t="str">
            <v>JHON FELIPE SENOSKI</v>
          </cell>
          <cell r="H39">
            <v>20033390</v>
          </cell>
          <cell r="I39">
            <v>44816</v>
          </cell>
          <cell r="J39"/>
        </row>
        <row r="40">
          <cell r="B40" t="str">
            <v>MARCIO ROGERIO BARREIROS</v>
          </cell>
          <cell r="C40">
            <v>37005645</v>
          </cell>
          <cell r="D40" t="str">
            <v>MOD.02</v>
          </cell>
          <cell r="E40" t="str">
            <v>Assistente Operador Carregamento Grua</v>
          </cell>
          <cell r="F40">
            <v>373114</v>
          </cell>
          <cell r="G40" t="str">
            <v>JHON FELIPE SENOSKI</v>
          </cell>
          <cell r="H40">
            <v>20014382</v>
          </cell>
          <cell r="I40">
            <v>44329</v>
          </cell>
          <cell r="J40"/>
        </row>
        <row r="41">
          <cell r="B41" t="str">
            <v>MAYCON COTA LOPES</v>
          </cell>
          <cell r="C41">
            <v>37009096</v>
          </cell>
          <cell r="D41" t="str">
            <v>MOD.02</v>
          </cell>
          <cell r="E41" t="str">
            <v>Oper Maqs Florestais I Grua</v>
          </cell>
          <cell r="F41">
            <v>373114</v>
          </cell>
          <cell r="G41" t="str">
            <v>JHON FELIPE SENOSKI</v>
          </cell>
          <cell r="H41">
            <v>20031522</v>
          </cell>
          <cell r="I41">
            <v>44788</v>
          </cell>
          <cell r="J41"/>
        </row>
        <row r="42">
          <cell r="B42" t="str">
            <v>MOIZES RODRIGUES FERREIRA</v>
          </cell>
          <cell r="C42">
            <v>37011081</v>
          </cell>
          <cell r="D42" t="str">
            <v>MOD.02</v>
          </cell>
          <cell r="E42" t="str">
            <v>Oper Maqs Florestais I Grua</v>
          </cell>
          <cell r="F42">
            <v>373114</v>
          </cell>
          <cell r="G42" t="str">
            <v>JHON FELIPE SENOSKI</v>
          </cell>
          <cell r="H42">
            <v>20042153</v>
          </cell>
          <cell r="I42">
            <v>44963</v>
          </cell>
          <cell r="J42"/>
        </row>
        <row r="43">
          <cell r="B43" t="str">
            <v>TEYLOR FELIPE LOPES ARAUJO</v>
          </cell>
          <cell r="C43">
            <v>37013752</v>
          </cell>
          <cell r="D43" t="str">
            <v>MOD.02</v>
          </cell>
          <cell r="E43" t="str">
            <v>Oper maqs Florestais I Grua</v>
          </cell>
          <cell r="F43">
            <v>373114</v>
          </cell>
          <cell r="G43" t="str">
            <v>MARCIO APARECIDO CAVALHEIRO</v>
          </cell>
          <cell r="H43">
            <v>20056387</v>
          </cell>
          <cell r="I43">
            <v>45153</v>
          </cell>
          <cell r="J43"/>
        </row>
        <row r="44">
          <cell r="B44" t="str">
            <v>ACACIO DAMAZIO</v>
          </cell>
          <cell r="C44">
            <v>37008020</v>
          </cell>
          <cell r="D44" t="str">
            <v>MOD.02</v>
          </cell>
          <cell r="E44" t="str">
            <v>Oper Maqs Florestais I Grua</v>
          </cell>
          <cell r="F44">
            <v>373114</v>
          </cell>
          <cell r="G44" t="str">
            <v>THIAGO MARIA PROENCA ALMEIDA</v>
          </cell>
          <cell r="H44">
            <v>20026063</v>
          </cell>
          <cell r="I44">
            <v>44713</v>
          </cell>
          <cell r="J44"/>
        </row>
        <row r="45">
          <cell r="B45" t="str">
            <v>WANDERLEY RODRIGUES DA SILVA</v>
          </cell>
          <cell r="C45">
            <v>37005690</v>
          </cell>
          <cell r="D45" t="str">
            <v>MOD.02</v>
          </cell>
          <cell r="E45" t="str">
            <v>TECN OPERACOES FLORESTAIS II</v>
          </cell>
          <cell r="F45">
            <v>373105</v>
          </cell>
          <cell r="G45" t="str">
            <v>JHON FELIPE SENOSKI</v>
          </cell>
          <cell r="H45">
            <v>20014475</v>
          </cell>
          <cell r="I45">
            <v>44333</v>
          </cell>
          <cell r="J45"/>
        </row>
        <row r="46">
          <cell r="B46" t="str">
            <v>DANIEL MIRANDA</v>
          </cell>
          <cell r="C46">
            <v>37018023</v>
          </cell>
          <cell r="D46" t="str">
            <v>MOD.02</v>
          </cell>
          <cell r="E46" t="str">
            <v>MOTORISTA II</v>
          </cell>
          <cell r="F46">
            <v>373116</v>
          </cell>
          <cell r="G46" t="str">
            <v>JHON FELIPE SENOSKI</v>
          </cell>
          <cell r="H46">
            <v>20071382</v>
          </cell>
          <cell r="I46">
            <v>45454</v>
          </cell>
          <cell r="J46"/>
        </row>
        <row r="47">
          <cell r="B47" t="str">
            <v>DANIEL RODRIGUES FOGACA</v>
          </cell>
          <cell r="C47">
            <v>37016808</v>
          </cell>
          <cell r="D47" t="str">
            <v>MOD.02</v>
          </cell>
          <cell r="E47" t="str">
            <v>MOTORISTA II</v>
          </cell>
          <cell r="F47">
            <v>373116</v>
          </cell>
          <cell r="G47" t="str">
            <v>JHON FELIPE SENOSKI</v>
          </cell>
          <cell r="H47">
            <v>20065307</v>
          </cell>
          <cell r="I47">
            <v>45356</v>
          </cell>
          <cell r="J47"/>
        </row>
        <row r="48">
          <cell r="B48" t="str">
            <v>FERNANDO ALVES DE OLIVEIRA</v>
          </cell>
          <cell r="C48">
            <v>37013054</v>
          </cell>
          <cell r="D48" t="str">
            <v>MOD.02</v>
          </cell>
          <cell r="E48" t="str">
            <v>OPERADOR DE ESTRADAS III</v>
          </cell>
          <cell r="F48">
            <v>373116</v>
          </cell>
          <cell r="G48" t="str">
            <v>JHON FELIPE SENOSKI</v>
          </cell>
          <cell r="H48">
            <v>20052406</v>
          </cell>
          <cell r="I48">
            <v>45097</v>
          </cell>
          <cell r="J48"/>
        </row>
        <row r="49">
          <cell r="B49" t="str">
            <v>JESUS NAZARENO DE MOURA</v>
          </cell>
          <cell r="C49">
            <v>37016767</v>
          </cell>
          <cell r="D49" t="str">
            <v>MOD.02</v>
          </cell>
          <cell r="E49" t="str">
            <v>OPERADOR DE ESTRADAS III</v>
          </cell>
          <cell r="F49">
            <v>373116</v>
          </cell>
          <cell r="G49" t="str">
            <v>JHON FELIPE SENOSKI</v>
          </cell>
          <cell r="H49">
            <v>20065261</v>
          </cell>
          <cell r="I49">
            <v>45356</v>
          </cell>
          <cell r="J49"/>
        </row>
        <row r="50">
          <cell r="B50" t="str">
            <v>JULIANO HELIO DA SILVA</v>
          </cell>
          <cell r="C50">
            <v>37016812</v>
          </cell>
          <cell r="D50" t="str">
            <v>MOD.02</v>
          </cell>
          <cell r="E50" t="str">
            <v>OPERADOR DE ESTRADAS III</v>
          </cell>
          <cell r="F50">
            <v>373116</v>
          </cell>
          <cell r="G50" t="str">
            <v>JHON FELIPE SENOSKI</v>
          </cell>
          <cell r="H50">
            <v>20065311</v>
          </cell>
          <cell r="I50">
            <v>45356</v>
          </cell>
          <cell r="J50"/>
        </row>
        <row r="51">
          <cell r="B51" t="str">
            <v>LAUDELINO RIBAS DE OLIVEIRA MATOS</v>
          </cell>
          <cell r="C51">
            <v>37016671</v>
          </cell>
          <cell r="D51" t="str">
            <v>MOD.02</v>
          </cell>
          <cell r="E51" t="str">
            <v>OPERADOR DE ESTRADAS III</v>
          </cell>
          <cell r="F51"/>
          <cell r="G51" t="str">
            <v>JHON FELIPE SENOSKI</v>
          </cell>
          <cell r="H51">
            <v>20064772</v>
          </cell>
          <cell r="I51">
            <v>45342</v>
          </cell>
          <cell r="J51"/>
        </row>
        <row r="52">
          <cell r="B52" t="str">
            <v>Sandro Renato Moreira</v>
          </cell>
          <cell r="C52">
            <v>37019592</v>
          </cell>
          <cell r="D52" t="str">
            <v>MOD.02</v>
          </cell>
          <cell r="E52" t="str">
            <v>MOTORISTA II</v>
          </cell>
          <cell r="F52"/>
          <cell r="G52" t="str">
            <v>JHON FELIPE SENOSKI</v>
          </cell>
          <cell r="H52">
            <v>20079974</v>
          </cell>
          <cell r="I52">
            <v>45580</v>
          </cell>
          <cell r="J52"/>
        </row>
        <row r="53">
          <cell r="B53" t="str">
            <v>JHON FELIPE SENOSKI</v>
          </cell>
          <cell r="C53">
            <v>37005275</v>
          </cell>
          <cell r="D53" t="str">
            <v>MOD.02/03</v>
          </cell>
          <cell r="E53" t="str">
            <v>Supervisor Logistica Florestal</v>
          </cell>
          <cell r="F53">
            <v>373105</v>
          </cell>
          <cell r="G53" t="str">
            <v>MARIO FRAIZ COELHO MAIA DE ANDRADE</v>
          </cell>
          <cell r="H53">
            <v>20011084</v>
          </cell>
          <cell r="I53">
            <v>44152</v>
          </cell>
          <cell r="J53" t="str">
            <v xml:space="preserve"> </v>
          </cell>
        </row>
        <row r="54">
          <cell r="B54" t="str">
            <v>MARCIO RODRIGUES</v>
          </cell>
          <cell r="C54">
            <v>37015225</v>
          </cell>
          <cell r="D54" t="str">
            <v>MOD.02/03</v>
          </cell>
          <cell r="E54" t="str">
            <v>TECN OPERACOES FLORESTAIS II</v>
          </cell>
          <cell r="F54">
            <v>373105</v>
          </cell>
          <cell r="G54" t="str">
            <v>JHON FELIPE SENOSKI</v>
          </cell>
          <cell r="H54">
            <v>20061883</v>
          </cell>
          <cell r="I54">
            <v>45237</v>
          </cell>
          <cell r="J54"/>
        </row>
        <row r="55">
          <cell r="B55" t="str">
            <v>RODRIGO DOS SANTOS RIBEIRO</v>
          </cell>
          <cell r="C55">
            <v>37011072</v>
          </cell>
          <cell r="D55" t="str">
            <v>MOD.03</v>
          </cell>
          <cell r="E55" t="str">
            <v>Assistente Operador Carregamento Grua</v>
          </cell>
          <cell r="F55">
            <v>373114</v>
          </cell>
          <cell r="G55" t="str">
            <v>JHON FELIPE SENOSKI</v>
          </cell>
          <cell r="H55">
            <v>20042138</v>
          </cell>
          <cell r="I55">
            <v>44963</v>
          </cell>
          <cell r="J55"/>
        </row>
        <row r="56">
          <cell r="B56" t="str">
            <v>SALATIEL FRANCO BOACHAQUES</v>
          </cell>
          <cell r="C56">
            <v>37011476</v>
          </cell>
          <cell r="D56" t="str">
            <v>MOD.03</v>
          </cell>
          <cell r="E56" t="str">
            <v>Oper Maqs Florestais I Grua</v>
          </cell>
          <cell r="F56">
            <v>373114</v>
          </cell>
          <cell r="G56" t="str">
            <v>JHON FELIPE SENOSKI</v>
          </cell>
          <cell r="H56">
            <v>20044135</v>
          </cell>
          <cell r="I56">
            <v>44991</v>
          </cell>
          <cell r="J56"/>
        </row>
        <row r="57">
          <cell r="B57" t="str">
            <v>THIAGO VINICIUS DE MOURA DUARTE</v>
          </cell>
          <cell r="C57">
            <v>37011488</v>
          </cell>
          <cell r="D57" t="str">
            <v>MOD.03</v>
          </cell>
          <cell r="E57" t="str">
            <v>Oper Maqs Florestais I Grua</v>
          </cell>
          <cell r="F57">
            <v>373114</v>
          </cell>
          <cell r="G57" t="str">
            <v>JHON FELIPE SENOSKI</v>
          </cell>
          <cell r="H57">
            <v>20044147</v>
          </cell>
          <cell r="I57">
            <v>44991</v>
          </cell>
          <cell r="J57"/>
        </row>
        <row r="58">
          <cell r="B58" t="str">
            <v>AMARILDO RODRIGUES DE PAULA</v>
          </cell>
          <cell r="C58">
            <v>37005782</v>
          </cell>
          <cell r="D58" t="str">
            <v>MOD.03</v>
          </cell>
          <cell r="E58" t="str">
            <v>Assistente Operador Carregamento Grua</v>
          </cell>
          <cell r="F58">
            <v>373114</v>
          </cell>
          <cell r="G58" t="str">
            <v>JHON FELIPE SENOSKI</v>
          </cell>
          <cell r="H58">
            <v>20016046</v>
          </cell>
          <cell r="I58">
            <v>44348</v>
          </cell>
          <cell r="J58"/>
        </row>
        <row r="59">
          <cell r="B59" t="str">
            <v>CARLOS ROBERTO SOUZA PAIXAO</v>
          </cell>
          <cell r="C59">
            <v>37011191</v>
          </cell>
          <cell r="D59" t="str">
            <v>MOD.03</v>
          </cell>
          <cell r="E59" t="str">
            <v>Oper Maqs Florestais I Grua</v>
          </cell>
          <cell r="F59">
            <v>373114</v>
          </cell>
          <cell r="G59" t="str">
            <v>JHON FELIPE SENOSKI</v>
          </cell>
          <cell r="H59">
            <v>20042537</v>
          </cell>
          <cell r="I59">
            <v>44970</v>
          </cell>
          <cell r="J59"/>
        </row>
        <row r="60">
          <cell r="B60" t="str">
            <v>CLEVER TORCINELLI PRUDENCIO</v>
          </cell>
          <cell r="C60">
            <v>37013716</v>
          </cell>
          <cell r="D60" t="str">
            <v>MOD.03</v>
          </cell>
          <cell r="E60" t="str">
            <v>Oper Maqs Florestais I Grua</v>
          </cell>
          <cell r="F60">
            <v>373114</v>
          </cell>
          <cell r="G60" t="str">
            <v>JHON FELIPE SENOSKI</v>
          </cell>
          <cell r="H60">
            <v>20056311</v>
          </cell>
          <cell r="I60">
            <v>45153</v>
          </cell>
          <cell r="J60"/>
        </row>
        <row r="61">
          <cell r="B61" t="str">
            <v>DANIEL CORREA DE LIMA</v>
          </cell>
          <cell r="C61">
            <v>37010826</v>
          </cell>
          <cell r="D61" t="str">
            <v>MOD.03</v>
          </cell>
          <cell r="E61" t="str">
            <v>Assistente Operador Carregamento Grua</v>
          </cell>
          <cell r="F61">
            <v>373114</v>
          </cell>
          <cell r="G61" t="str">
            <v>JHON FELIPE SENOSKI</v>
          </cell>
          <cell r="H61">
            <v>20041222</v>
          </cell>
          <cell r="I61">
            <v>44942</v>
          </cell>
          <cell r="J61"/>
        </row>
        <row r="62">
          <cell r="B62" t="str">
            <v>DEIVID FRANCISCO TEIXEIRA</v>
          </cell>
          <cell r="C62">
            <v>37009198</v>
          </cell>
          <cell r="D62" t="str">
            <v>MOD.03</v>
          </cell>
          <cell r="E62" t="str">
            <v>Oper Maqs Florestais I Grua</v>
          </cell>
          <cell r="F62">
            <v>373114</v>
          </cell>
          <cell r="G62" t="str">
            <v>JHON FELIPE SENOSKI</v>
          </cell>
          <cell r="H62">
            <v>20032235</v>
          </cell>
          <cell r="I62">
            <v>44795</v>
          </cell>
          <cell r="J62"/>
        </row>
        <row r="63">
          <cell r="B63" t="str">
            <v>DORIVAL FOGACA</v>
          </cell>
          <cell r="C63">
            <v>37006345</v>
          </cell>
          <cell r="D63" t="str">
            <v>MOD.03</v>
          </cell>
          <cell r="E63" t="str">
            <v>Assistente Operador Carregamento Grua</v>
          </cell>
          <cell r="F63">
            <v>373114</v>
          </cell>
          <cell r="G63" t="str">
            <v>JHON FELIPE SENOSKI</v>
          </cell>
          <cell r="H63">
            <v>20017072</v>
          </cell>
          <cell r="I63">
            <v>44447</v>
          </cell>
          <cell r="J63"/>
        </row>
        <row r="64">
          <cell r="B64" t="str">
            <v>EDENILSON ADEMIR PEREIRA</v>
          </cell>
          <cell r="C64">
            <v>37006317</v>
          </cell>
          <cell r="D64" t="str">
            <v>MOD.03</v>
          </cell>
          <cell r="E64" t="str">
            <v>Assistente Operador Carregamento Grua</v>
          </cell>
          <cell r="F64">
            <v>373114</v>
          </cell>
          <cell r="G64" t="str">
            <v>JHON FELIPE SENOSKI</v>
          </cell>
          <cell r="H64">
            <v>20017044</v>
          </cell>
          <cell r="I64">
            <v>44447</v>
          </cell>
          <cell r="J64"/>
        </row>
        <row r="65">
          <cell r="B65" t="str">
            <v>ELISEU MARCOLINO DOS SANTOS</v>
          </cell>
          <cell r="C65">
            <v>37005790</v>
          </cell>
          <cell r="D65" t="str">
            <v>MOD.03</v>
          </cell>
          <cell r="E65" t="str">
            <v>Assistente Operador Carregamento Grua</v>
          </cell>
          <cell r="F65">
            <v>373114</v>
          </cell>
          <cell r="G65" t="str">
            <v>JHON FELIPE SENOSKI</v>
          </cell>
          <cell r="H65">
            <v>20016041</v>
          </cell>
          <cell r="I65">
            <v>44348</v>
          </cell>
          <cell r="J65"/>
        </row>
        <row r="66">
          <cell r="B66" t="str">
            <v>ELITON DE PONTES</v>
          </cell>
          <cell r="C66">
            <v>37011355</v>
          </cell>
          <cell r="D66" t="str">
            <v>MOD.03</v>
          </cell>
          <cell r="E66" t="str">
            <v>Oper Maqs Florestais I Grua</v>
          </cell>
          <cell r="F66">
            <v>373114</v>
          </cell>
          <cell r="G66" t="str">
            <v>JHON FELIPE SENOSKI</v>
          </cell>
          <cell r="H66">
            <v>20043355</v>
          </cell>
          <cell r="I66">
            <v>44986</v>
          </cell>
          <cell r="J66"/>
        </row>
        <row r="67">
          <cell r="B67" t="str">
            <v>HUBALDO GUILHERME VITORIANO LIMA</v>
          </cell>
          <cell r="C67">
            <v>37005791</v>
          </cell>
          <cell r="D67" t="str">
            <v>MOD.03</v>
          </cell>
          <cell r="E67" t="str">
            <v>Assistente Operador Carregamento Grua</v>
          </cell>
          <cell r="F67">
            <v>373114</v>
          </cell>
          <cell r="G67" t="str">
            <v>JHON FELIPE SENOSKI</v>
          </cell>
          <cell r="H67">
            <v>20016047</v>
          </cell>
          <cell r="I67">
            <v>44348</v>
          </cell>
          <cell r="J67"/>
        </row>
        <row r="68">
          <cell r="B68" t="str">
            <v>JORGE DANIEL TEIXEIRA</v>
          </cell>
          <cell r="C68">
            <v>37011356</v>
          </cell>
          <cell r="D68" t="str">
            <v>MOD.03</v>
          </cell>
          <cell r="E68" t="str">
            <v>Oper Maqs Florestais I Grua</v>
          </cell>
          <cell r="F68">
            <v>373114</v>
          </cell>
          <cell r="G68" t="str">
            <v>JHON FELIPE SENOSKI</v>
          </cell>
          <cell r="H68">
            <v>20043356</v>
          </cell>
          <cell r="I68">
            <v>44986</v>
          </cell>
          <cell r="J68"/>
        </row>
        <row r="69">
          <cell r="B69" t="str">
            <v>JOSE EDUARDO DE SOUZA PAIXAO</v>
          </cell>
          <cell r="C69">
            <v>37011357</v>
          </cell>
          <cell r="D69" t="str">
            <v>MOD.03</v>
          </cell>
          <cell r="E69" t="str">
            <v>Oper Maqs Florestais I Grua</v>
          </cell>
          <cell r="F69">
            <v>373114</v>
          </cell>
          <cell r="G69" t="str">
            <v>JHON FELIPE SENOSKI</v>
          </cell>
          <cell r="H69">
            <v>20043357</v>
          </cell>
          <cell r="I69">
            <v>44986</v>
          </cell>
          <cell r="J69"/>
        </row>
        <row r="70">
          <cell r="B70" t="str">
            <v>ANTONIO MARCOS GOMES FERNANDES</v>
          </cell>
          <cell r="C70">
            <v>37013758</v>
          </cell>
          <cell r="D70" t="str">
            <v>MOD.03</v>
          </cell>
          <cell r="E70" t="str">
            <v>Oper Maqs Florestais I Grua</v>
          </cell>
          <cell r="F70">
            <v>373114</v>
          </cell>
          <cell r="G70" t="str">
            <v>THIAGO MARIA PROENCA ALMEIDA</v>
          </cell>
          <cell r="H70">
            <v>20056393</v>
          </cell>
          <cell r="I70">
            <v>45153</v>
          </cell>
          <cell r="J70"/>
        </row>
        <row r="71">
          <cell r="B71" t="str">
            <v>GUILHERME AFONSO MASSAGLI</v>
          </cell>
          <cell r="C71">
            <v>37005769</v>
          </cell>
          <cell r="D71" t="str">
            <v>MOD.03</v>
          </cell>
          <cell r="E71" t="str">
            <v>TECN OPERACOES FLORESTAIS II</v>
          </cell>
          <cell r="F71">
            <v>373105</v>
          </cell>
          <cell r="G71" t="str">
            <v>JHON FELIPE SENOSKI</v>
          </cell>
          <cell r="H71">
            <v>20016042</v>
          </cell>
          <cell r="I71">
            <v>44348</v>
          </cell>
          <cell r="J71"/>
        </row>
        <row r="72">
          <cell r="B72" t="str">
            <v>ADILSON JOSE DIAS DOS SANTOS</v>
          </cell>
          <cell r="C72">
            <v>37016887</v>
          </cell>
          <cell r="D72" t="str">
            <v>MOD.03</v>
          </cell>
          <cell r="E72" t="str">
            <v>OPERADOR DE ESTRADAS III</v>
          </cell>
          <cell r="F72">
            <v>373116</v>
          </cell>
          <cell r="G72" t="str">
            <v>JHON FELIPE SENOSKI</v>
          </cell>
          <cell r="H72">
            <v>20065483</v>
          </cell>
          <cell r="I72">
            <v>45363</v>
          </cell>
          <cell r="J72"/>
        </row>
        <row r="73">
          <cell r="B73" t="str">
            <v>Deoclecio Antonio Ribeiro</v>
          </cell>
          <cell r="C73">
            <v>37013693</v>
          </cell>
          <cell r="D73" t="str">
            <v>MOD.03</v>
          </cell>
          <cell r="E73" t="str">
            <v>OPERADOR DE ESTRADAS III</v>
          </cell>
          <cell r="F73">
            <v>373116</v>
          </cell>
          <cell r="G73" t="str">
            <v>JHON FELIPE SENOSKI</v>
          </cell>
          <cell r="H73">
            <v>20056256</v>
          </cell>
          <cell r="I73">
            <v>45139</v>
          </cell>
          <cell r="J73"/>
        </row>
        <row r="74">
          <cell r="B74" t="str">
            <v>DIEGO ALENCAR FERREIRA</v>
          </cell>
          <cell r="C74">
            <v>37017119</v>
          </cell>
          <cell r="D74" t="str">
            <v>MOD.03</v>
          </cell>
          <cell r="E74" t="str">
            <v>OPERADOR DE ESTRADAS III</v>
          </cell>
          <cell r="F74">
            <v>373116</v>
          </cell>
          <cell r="G74" t="str">
            <v>JHON FELIPE SENOSKI</v>
          </cell>
          <cell r="H74">
            <v>20067433</v>
          </cell>
          <cell r="I74">
            <v>45384</v>
          </cell>
          <cell r="J74"/>
        </row>
        <row r="75">
          <cell r="B75" t="str">
            <v>JOAO VICTOR MAMUD FRANCO CALACO</v>
          </cell>
          <cell r="C75">
            <v>37016873</v>
          </cell>
          <cell r="D75" t="str">
            <v>MOD.03</v>
          </cell>
          <cell r="E75" t="str">
            <v>OPERADOR DE ESTRADAS III</v>
          </cell>
          <cell r="F75">
            <v>373116</v>
          </cell>
          <cell r="G75" t="str">
            <v>JHON FELIPE SENOSKI</v>
          </cell>
          <cell r="H75">
            <v>20065469</v>
          </cell>
          <cell r="I75">
            <v>45363</v>
          </cell>
          <cell r="J75"/>
        </row>
        <row r="76">
          <cell r="B76" t="str">
            <v>MARCOS ROBERTO DE REZENDE</v>
          </cell>
          <cell r="C76">
            <v>37016864</v>
          </cell>
          <cell r="D76" t="str">
            <v>MOD.03</v>
          </cell>
          <cell r="E76" t="str">
            <v>MOTORISTA II</v>
          </cell>
          <cell r="F76">
            <v>373116</v>
          </cell>
          <cell r="G76" t="str">
            <v>JHON FELIPE SENOSKI</v>
          </cell>
          <cell r="H76">
            <v>20065443</v>
          </cell>
          <cell r="I76">
            <v>45363</v>
          </cell>
          <cell r="J76"/>
        </row>
        <row r="77">
          <cell r="B77" t="str">
            <v>RODRIGO ALVES DE MELLO</v>
          </cell>
          <cell r="C77">
            <v>37016869</v>
          </cell>
          <cell r="D77" t="str">
            <v>MOD.03</v>
          </cell>
          <cell r="E77" t="str">
            <v>MOTORISTA II</v>
          </cell>
          <cell r="F77">
            <v>373116</v>
          </cell>
          <cell r="G77" t="str">
            <v>JHON FELIPE SENOSKI</v>
          </cell>
          <cell r="H77">
            <v>20065465</v>
          </cell>
          <cell r="I77">
            <v>45363</v>
          </cell>
          <cell r="J77"/>
        </row>
        <row r="78">
          <cell r="B78" t="str">
            <v>Silvio Roberto dos Santos</v>
          </cell>
          <cell r="C78">
            <v>37017272</v>
          </cell>
          <cell r="D78" t="str">
            <v>MOD.03</v>
          </cell>
          <cell r="E78" t="str">
            <v>MOTORISTA II</v>
          </cell>
          <cell r="F78">
            <v>373116</v>
          </cell>
          <cell r="G78" t="str">
            <v>JHON FELIPE SENOSKI</v>
          </cell>
          <cell r="H78">
            <v>20068585</v>
          </cell>
          <cell r="I78">
            <v>45398</v>
          </cell>
          <cell r="J78"/>
        </row>
        <row r="79">
          <cell r="B79" t="str">
            <v>MARCO ANTONIO DE OLIVEIRA SILVA</v>
          </cell>
          <cell r="C79">
            <v>37005788</v>
          </cell>
          <cell r="D79" t="str">
            <v>MOD.04</v>
          </cell>
          <cell r="E79" t="str">
            <v>Assistente Operador Carregamento Grua</v>
          </cell>
          <cell r="F79">
            <v>373114</v>
          </cell>
          <cell r="G79" t="str">
            <v>JHON FELIPE SENOSKI</v>
          </cell>
          <cell r="H79">
            <v>20016044</v>
          </cell>
          <cell r="I79">
            <v>44348</v>
          </cell>
          <cell r="J79"/>
        </row>
        <row r="80">
          <cell r="B80" t="str">
            <v>PAULO SERGIO ZANELLA</v>
          </cell>
          <cell r="C80">
            <v>37009026</v>
          </cell>
          <cell r="D80" t="str">
            <v>MOD.04</v>
          </cell>
          <cell r="E80" t="str">
            <v>Oper Maqs Florestais I Grua</v>
          </cell>
          <cell r="F80">
            <v>373114</v>
          </cell>
          <cell r="G80" t="str">
            <v>JHON FELIPE SENOSKI</v>
          </cell>
          <cell r="H80">
            <v>20030999</v>
          </cell>
          <cell r="I80">
            <v>44781</v>
          </cell>
          <cell r="J80"/>
        </row>
        <row r="81">
          <cell r="B81" t="str">
            <v>ROGELIO SIQUEIRA</v>
          </cell>
          <cell r="C81">
            <v>37014379</v>
          </cell>
          <cell r="D81" t="str">
            <v>MOD.04</v>
          </cell>
          <cell r="E81" t="str">
            <v>Oper Maqs Florestais I Grua</v>
          </cell>
          <cell r="F81">
            <v>373114</v>
          </cell>
          <cell r="G81" t="str">
            <v>JHON FELIPE SENOSKI</v>
          </cell>
          <cell r="H81">
            <v>20058514</v>
          </cell>
          <cell r="I81">
            <v>45174</v>
          </cell>
          <cell r="J81"/>
        </row>
        <row r="82">
          <cell r="B82" t="str">
            <v>Alex Varanda Da Silva</v>
          </cell>
          <cell r="C82">
            <v>37013717</v>
          </cell>
          <cell r="D82" t="str">
            <v>MOD.04</v>
          </cell>
          <cell r="E82" t="str">
            <v>Oper maqs Florestais I Grua</v>
          </cell>
          <cell r="F82">
            <v>373114</v>
          </cell>
          <cell r="G82" t="str">
            <v>MARCIO APARECIDO CAVALHEIRO</v>
          </cell>
          <cell r="H82">
            <v>20056312</v>
          </cell>
          <cell r="I82">
            <v>45153</v>
          </cell>
          <cell r="J82"/>
        </row>
        <row r="83">
          <cell r="B83" t="str">
            <v>EVERTON LOPES ALVES</v>
          </cell>
          <cell r="C83">
            <v>37010495</v>
          </cell>
          <cell r="D83" t="str">
            <v>MOD.04</v>
          </cell>
          <cell r="E83" t="str">
            <v>Assistente Operador Carregamento Grua</v>
          </cell>
          <cell r="F83">
            <v>373114</v>
          </cell>
          <cell r="G83" t="str">
            <v>MARCIO APARECIDO CAVALHEIRO</v>
          </cell>
          <cell r="H83">
            <v>20040228</v>
          </cell>
          <cell r="I83">
            <v>44914</v>
          </cell>
          <cell r="J83"/>
        </row>
        <row r="84">
          <cell r="B84" t="str">
            <v>LUCIANO SILVESTRE</v>
          </cell>
          <cell r="C84">
            <v>37006116</v>
          </cell>
          <cell r="D84" t="str">
            <v>MOD.04</v>
          </cell>
          <cell r="E84" t="str">
            <v>Assistente Operador Carregamento Grua</v>
          </cell>
          <cell r="F84">
            <v>373114</v>
          </cell>
          <cell r="G84" t="str">
            <v>MARCIO APARECIDO CAVALHEIRO</v>
          </cell>
          <cell r="H84">
            <v>20016887</v>
          </cell>
          <cell r="I84">
            <v>44417</v>
          </cell>
          <cell r="J84"/>
        </row>
        <row r="85">
          <cell r="B85" t="str">
            <v>LUIZ CARLOS LOPES CRUZ</v>
          </cell>
          <cell r="C85">
            <v>37013351</v>
          </cell>
          <cell r="D85" t="str">
            <v>MOD.04</v>
          </cell>
          <cell r="E85" t="str">
            <v>Oper Maqs Florestais I Grua</v>
          </cell>
          <cell r="F85">
            <v>373114</v>
          </cell>
          <cell r="G85" t="str">
            <v>MARCIO APARECIDO CAVALHEIRO</v>
          </cell>
          <cell r="H85">
            <v>20054008</v>
          </cell>
          <cell r="I85">
            <v>45118</v>
          </cell>
          <cell r="J85"/>
        </row>
        <row r="86">
          <cell r="B86" t="str">
            <v>MILANDIA VICENTE COSTA</v>
          </cell>
          <cell r="C86">
            <v>37008955</v>
          </cell>
          <cell r="D86" t="str">
            <v>MOD.04</v>
          </cell>
          <cell r="E86" t="str">
            <v>Oper Maqs Florestais I Grua</v>
          </cell>
          <cell r="F86">
            <v>373114</v>
          </cell>
          <cell r="G86" t="str">
            <v>MARCIO APARECIDO CAVALHEIRO</v>
          </cell>
          <cell r="H86">
            <v>20035279</v>
          </cell>
          <cell r="I86">
            <v>44777</v>
          </cell>
          <cell r="J86"/>
        </row>
        <row r="87">
          <cell r="B87" t="str">
            <v>NATALYA MARIANO CLARO</v>
          </cell>
          <cell r="C87">
            <v>37005982</v>
          </cell>
          <cell r="D87" t="str">
            <v>MOD.04</v>
          </cell>
          <cell r="E87" t="str">
            <v>Oper Maqs Florestais I Grua</v>
          </cell>
          <cell r="F87">
            <v>373114</v>
          </cell>
          <cell r="G87" t="str">
            <v>MARCIO APARECIDO CAVALHEIRO</v>
          </cell>
          <cell r="H87">
            <v>20016784</v>
          </cell>
          <cell r="I87">
            <v>44382</v>
          </cell>
          <cell r="J87"/>
        </row>
        <row r="88">
          <cell r="B88" t="str">
            <v>PAULO CESAR GARCIA</v>
          </cell>
          <cell r="C88">
            <v>37006437</v>
          </cell>
          <cell r="D88" t="str">
            <v>MOD.04</v>
          </cell>
          <cell r="E88" t="str">
            <v>Oper Maqs Florestais I Grua</v>
          </cell>
          <cell r="F88">
            <v>373114</v>
          </cell>
          <cell r="G88" t="str">
            <v>MARCIO APARECIDO CAVALHEIRO</v>
          </cell>
          <cell r="H88">
            <v>20017841</v>
          </cell>
          <cell r="I88">
            <v>44459</v>
          </cell>
          <cell r="J88"/>
        </row>
        <row r="89">
          <cell r="B89" t="str">
            <v>RENATO DE MELLO MARQUES</v>
          </cell>
          <cell r="C89">
            <v>37005988</v>
          </cell>
          <cell r="D89" t="str">
            <v>MOD.04</v>
          </cell>
          <cell r="E89" t="str">
            <v>Oper Maqs Florestais I Grua</v>
          </cell>
          <cell r="F89">
            <v>373114</v>
          </cell>
          <cell r="G89" t="str">
            <v>MARCIO APARECIDO CAVALHEIRO</v>
          </cell>
          <cell r="H89">
            <v>20016790</v>
          </cell>
          <cell r="I89">
            <v>44382</v>
          </cell>
          <cell r="J89"/>
        </row>
        <row r="90">
          <cell r="B90" t="str">
            <v>RICARDO NEVES FERREIRA</v>
          </cell>
          <cell r="C90">
            <v>37006995</v>
          </cell>
          <cell r="D90" t="str">
            <v>MOD.04</v>
          </cell>
          <cell r="E90" t="str">
            <v>Assistente Operador Carregamento Grua</v>
          </cell>
          <cell r="F90">
            <v>373114</v>
          </cell>
          <cell r="G90" t="str">
            <v>MARCIO APARECIDO CAVALHEIRO</v>
          </cell>
          <cell r="H90">
            <v>20021296</v>
          </cell>
          <cell r="I90">
            <v>44571</v>
          </cell>
          <cell r="J90"/>
        </row>
        <row r="91">
          <cell r="B91" t="str">
            <v>RICARDO PISANI DA SILVA</v>
          </cell>
          <cell r="C91">
            <v>37013308</v>
          </cell>
          <cell r="D91" t="str">
            <v>MOD.04</v>
          </cell>
          <cell r="E91" t="str">
            <v>Assistente Operador Carregamento Grua</v>
          </cell>
          <cell r="F91">
            <v>373114</v>
          </cell>
          <cell r="G91" t="str">
            <v>MARCIO APARECIDO CAVALHEIRO</v>
          </cell>
          <cell r="H91">
            <v>20053670</v>
          </cell>
          <cell r="I91">
            <v>45111</v>
          </cell>
          <cell r="J91"/>
        </row>
        <row r="92">
          <cell r="B92" t="str">
            <v>REINALDO RODRIGUES DOS SANTOS</v>
          </cell>
          <cell r="C92">
            <v>37006524</v>
          </cell>
          <cell r="D92" t="str">
            <v>MOD.04</v>
          </cell>
          <cell r="E92" t="str">
            <v>Oper Maqs Florestais I Grua</v>
          </cell>
          <cell r="F92">
            <v>373114</v>
          </cell>
          <cell r="G92" t="str">
            <v>THIAGO MARIA PROENCA ALMEIDA</v>
          </cell>
          <cell r="H92">
            <v>20018116</v>
          </cell>
          <cell r="I92">
            <v>44473</v>
          </cell>
          <cell r="J92"/>
        </row>
        <row r="93">
          <cell r="B93" t="str">
            <v>CLAUDIO RODRIGO GRACIOLI</v>
          </cell>
          <cell r="C93">
            <v>37014035</v>
          </cell>
          <cell r="D93" t="str">
            <v>MOD.04</v>
          </cell>
          <cell r="E93" t="str">
            <v>Oper Maqs Florestais I Grua</v>
          </cell>
          <cell r="F93">
            <v>373114</v>
          </cell>
          <cell r="G93" t="str">
            <v>CASSIO THOMAS DA SILVEIRA</v>
          </cell>
          <cell r="H93">
            <v>20057721</v>
          </cell>
          <cell r="I93">
            <v>45160</v>
          </cell>
          <cell r="J93"/>
        </row>
        <row r="94">
          <cell r="B94" t="str">
            <v>CRISTIAN NUNES DA SILVA</v>
          </cell>
          <cell r="C94">
            <v>37006564</v>
          </cell>
          <cell r="D94" t="str">
            <v>MOD.04</v>
          </cell>
          <cell r="E94" t="str">
            <v>Assistente Operador Carregamento Grua</v>
          </cell>
          <cell r="F94">
            <v>373114</v>
          </cell>
          <cell r="G94" t="str">
            <v>CASSIO THOMAS DA SILVEIRA</v>
          </cell>
          <cell r="H94">
            <v>20018140</v>
          </cell>
          <cell r="I94">
            <v>44473</v>
          </cell>
          <cell r="J94"/>
        </row>
        <row r="95">
          <cell r="B95" t="str">
            <v>ANTONIO JOSE FERNANDES</v>
          </cell>
          <cell r="C95">
            <v>37006559</v>
          </cell>
          <cell r="D95" t="str">
            <v>MOD.04</v>
          </cell>
          <cell r="E95" t="str">
            <v>TECN OPERACOES FLORESTAIS II</v>
          </cell>
          <cell r="F95">
            <v>373105</v>
          </cell>
          <cell r="G95" t="str">
            <v>MARCIO APARECIDO CAVALHEIRO</v>
          </cell>
          <cell r="H95">
            <v>20018135</v>
          </cell>
          <cell r="I95">
            <v>44473</v>
          </cell>
          <cell r="J95"/>
        </row>
        <row r="96">
          <cell r="B96" t="str">
            <v>ADEILTON MARCOS DE SOUSA</v>
          </cell>
          <cell r="C96">
            <v>37018978</v>
          </cell>
          <cell r="D96" t="str">
            <v>MOD.04</v>
          </cell>
          <cell r="E96" t="str">
            <v>MOTORISTA I</v>
          </cell>
          <cell r="F96"/>
          <cell r="G96" t="str">
            <v>MARCIO APARECIDO CAVALHEIRO</v>
          </cell>
          <cell r="H96">
            <v>20076197</v>
          </cell>
          <cell r="I96">
            <v>45538</v>
          </cell>
          <cell r="J96"/>
        </row>
        <row r="97">
          <cell r="B97" t="str">
            <v>ALAN DA CRUZ GONCALVES</v>
          </cell>
          <cell r="C97">
            <v>37016809</v>
          </cell>
          <cell r="D97" t="str">
            <v>MOD.04</v>
          </cell>
          <cell r="E97" t="str">
            <v>OPERADOR DE ESTRADAS III</v>
          </cell>
          <cell r="F97">
            <v>373116</v>
          </cell>
          <cell r="G97" t="str">
            <v>MARCIO APARECIDO CAVALHEIRO</v>
          </cell>
          <cell r="H97">
            <v>20065308</v>
          </cell>
          <cell r="I97">
            <v>45356</v>
          </cell>
          <cell r="J97"/>
        </row>
        <row r="98">
          <cell r="B98" t="str">
            <v>EDSON JOSE DE SOUZA</v>
          </cell>
          <cell r="C98">
            <v>37016936</v>
          </cell>
          <cell r="D98" t="str">
            <v>MOD.04</v>
          </cell>
          <cell r="E98" t="str">
            <v>MOTORISTA I</v>
          </cell>
          <cell r="F98">
            <v>373100</v>
          </cell>
          <cell r="G98" t="str">
            <v>MARCIO APARECIDO CAVALHEIRO</v>
          </cell>
          <cell r="H98">
            <v>20065887</v>
          </cell>
          <cell r="I98">
            <v>45370</v>
          </cell>
          <cell r="J98"/>
        </row>
        <row r="99">
          <cell r="B99" t="str">
            <v xml:space="preserve">Luciano Antonio Fiques </v>
          </cell>
          <cell r="C99">
            <v>37020099</v>
          </cell>
          <cell r="D99" t="str">
            <v>MOD.04</v>
          </cell>
          <cell r="E99" t="str">
            <v>OPERADOR DE ESTRADAS III</v>
          </cell>
          <cell r="F99"/>
          <cell r="G99" t="str">
            <v>MARCIO APARECIDO CAVALHEIRO</v>
          </cell>
          <cell r="H99">
            <v>20062977</v>
          </cell>
          <cell r="I99">
            <v>45629</v>
          </cell>
          <cell r="J99"/>
        </row>
        <row r="100">
          <cell r="B100" t="str">
            <v>ROBERTO OLIVEIRA SANTOS</v>
          </cell>
          <cell r="C100">
            <v>37013705</v>
          </cell>
          <cell r="D100" t="str">
            <v>MOD.04</v>
          </cell>
          <cell r="E100" t="str">
            <v>OPERADOR DE ESTRADAS III</v>
          </cell>
          <cell r="F100">
            <v>373116</v>
          </cell>
          <cell r="G100" t="str">
            <v>MARCIO APARECIDO CAVALHEIRO</v>
          </cell>
          <cell r="H100">
            <v>20056287</v>
          </cell>
          <cell r="I100">
            <v>45139</v>
          </cell>
          <cell r="J100"/>
        </row>
        <row r="101">
          <cell r="B101" t="str">
            <v>RODRIGO ANTONIO DE SOUSA</v>
          </cell>
          <cell r="C101">
            <v>37014643</v>
          </cell>
          <cell r="D101" t="str">
            <v>MOD.04</v>
          </cell>
          <cell r="E101" t="str">
            <v>Operador de estradas I</v>
          </cell>
          <cell r="F101">
            <v>373117</v>
          </cell>
          <cell r="G101" t="str">
            <v>MARCIO APARECIDO CAVALHEIRO</v>
          </cell>
          <cell r="H101">
            <v>20059382</v>
          </cell>
          <cell r="I101">
            <v>45188</v>
          </cell>
          <cell r="J101"/>
        </row>
        <row r="102">
          <cell r="B102" t="str">
            <v>Tiago Batista De Souza</v>
          </cell>
          <cell r="C102">
            <v>37017497</v>
          </cell>
          <cell r="D102" t="str">
            <v>MOD.04</v>
          </cell>
          <cell r="E102" t="str">
            <v>MOTORISTA II</v>
          </cell>
          <cell r="F102">
            <v>373116</v>
          </cell>
          <cell r="G102" t="str">
            <v>MARCIO APARECIDO CAVALHEIRO</v>
          </cell>
          <cell r="H102">
            <v>20069641</v>
          </cell>
          <cell r="I102">
            <v>45419</v>
          </cell>
          <cell r="J102"/>
        </row>
        <row r="103">
          <cell r="B103" t="str">
            <v>RODRIGO DA COSTA VASCONCELLOS</v>
          </cell>
          <cell r="C103">
            <v>37018828</v>
          </cell>
          <cell r="D103" t="str">
            <v>MOD.05</v>
          </cell>
          <cell r="E103" t="str">
            <v>Oper Maqs Florestais I Grua</v>
          </cell>
          <cell r="F103">
            <v>373114</v>
          </cell>
          <cell r="G103" t="str">
            <v>MARCIO APARECIDO CAVALHEIRO</v>
          </cell>
          <cell r="H103">
            <v>20075123</v>
          </cell>
          <cell r="I103">
            <v>45510</v>
          </cell>
          <cell r="J103"/>
        </row>
        <row r="104">
          <cell r="B104" t="str">
            <v>SAVIO AUGUSTO DA SILVA</v>
          </cell>
          <cell r="C104">
            <v>37013499</v>
          </cell>
          <cell r="D104" t="str">
            <v>MOD.05</v>
          </cell>
          <cell r="E104" t="str">
            <v>Assistente Operador Carregamento Grua</v>
          </cell>
          <cell r="F104">
            <v>373114</v>
          </cell>
          <cell r="G104" t="str">
            <v>MARCIO APARECIDO CAVALHEIRO</v>
          </cell>
          <cell r="H104">
            <v>20055395</v>
          </cell>
          <cell r="I104">
            <v>45125</v>
          </cell>
          <cell r="J104"/>
        </row>
        <row r="105">
          <cell r="B105" t="str">
            <v>ARIANA SANTOS NAVARRO</v>
          </cell>
          <cell r="C105">
            <v>37011464</v>
          </cell>
          <cell r="D105" t="str">
            <v>MOD.05</v>
          </cell>
          <cell r="E105" t="str">
            <v>Oper Maqs Florestais I Grua</v>
          </cell>
          <cell r="F105">
            <v>373114</v>
          </cell>
          <cell r="G105" t="str">
            <v>THIAGO MARIA PROENCA ALMEIDA</v>
          </cell>
          <cell r="H105">
            <v>20044123</v>
          </cell>
          <cell r="I105">
            <v>44991</v>
          </cell>
          <cell r="J105"/>
        </row>
        <row r="106">
          <cell r="B106" t="str">
            <v>CARLOS REINAN PEREIRA TAVARES</v>
          </cell>
          <cell r="C106">
            <v>37006237</v>
          </cell>
          <cell r="D106" t="str">
            <v>MOD.05</v>
          </cell>
          <cell r="E106" t="str">
            <v>Assistente Operador Carregamento Grua</v>
          </cell>
          <cell r="F106">
            <v>373114</v>
          </cell>
          <cell r="G106" t="str">
            <v>THIAGO MARIA PROENCA ALMEIDA</v>
          </cell>
          <cell r="H106">
            <v>20016982</v>
          </cell>
          <cell r="I106">
            <v>44431</v>
          </cell>
          <cell r="J106"/>
        </row>
        <row r="107">
          <cell r="B107" t="str">
            <v>CLEIBER PINTO TEIXEIRA</v>
          </cell>
          <cell r="C107">
            <v>37019174</v>
          </cell>
          <cell r="D107" t="str">
            <v>MOD.05</v>
          </cell>
          <cell r="E107" t="str">
            <v>Oper Maqs Florestais I Grua</v>
          </cell>
          <cell r="F107">
            <v>373114</v>
          </cell>
          <cell r="G107" t="str">
            <v>THIAGO MARIA PROENÇA ALMEIDA</v>
          </cell>
          <cell r="H107">
            <v>20077381</v>
          </cell>
          <cell r="I107">
            <v>45545</v>
          </cell>
          <cell r="J107"/>
        </row>
        <row r="108">
          <cell r="B108" t="str">
            <v>EDER BERNARDES DA SILVA</v>
          </cell>
          <cell r="C108">
            <v>37014499</v>
          </cell>
          <cell r="D108" t="str">
            <v>MOD.05</v>
          </cell>
          <cell r="E108" t="str">
            <v>Assistente Operador Carregamento Grua</v>
          </cell>
          <cell r="F108">
            <v>373114</v>
          </cell>
          <cell r="G108" t="str">
            <v>THIAGO MARIA PROENCA ALMEIDA</v>
          </cell>
          <cell r="H108">
            <v>20059011</v>
          </cell>
          <cell r="I108">
            <v>45181</v>
          </cell>
          <cell r="J108"/>
        </row>
        <row r="109">
          <cell r="B109" t="str">
            <v>JOSE HENRIQUE DE SOUSA DA SILVA</v>
          </cell>
          <cell r="C109">
            <v>37011459</v>
          </cell>
          <cell r="D109" t="str">
            <v>MOD.05</v>
          </cell>
          <cell r="E109" t="str">
            <v>Assistente Operador Carregamento Grua</v>
          </cell>
          <cell r="F109">
            <v>373114</v>
          </cell>
          <cell r="G109" t="str">
            <v>THIAGO MARIA PROENCA ALMEIDA</v>
          </cell>
          <cell r="H109">
            <v>20044118</v>
          </cell>
          <cell r="I109">
            <v>44991</v>
          </cell>
          <cell r="J109"/>
        </row>
        <row r="110">
          <cell r="B110" t="str">
            <v>JUCELINO DA CONCEICAO</v>
          </cell>
          <cell r="C110">
            <v>37012631</v>
          </cell>
          <cell r="D110" t="str">
            <v>MOD.05</v>
          </cell>
          <cell r="E110" t="str">
            <v>Oper Maqs Florestais I Grua</v>
          </cell>
          <cell r="F110">
            <v>373114</v>
          </cell>
          <cell r="G110" t="str">
            <v>THIAGO MARIA PROENCA ALMEIDA</v>
          </cell>
          <cell r="H110">
            <v>20051117</v>
          </cell>
          <cell r="I110">
            <v>45083</v>
          </cell>
          <cell r="J110"/>
        </row>
        <row r="111">
          <cell r="B111" t="str">
            <v>MARIANA DE OLIVEIRA MARTINS</v>
          </cell>
          <cell r="C111">
            <v>37009688</v>
          </cell>
          <cell r="D111" t="str">
            <v>MOD.05</v>
          </cell>
          <cell r="E111" t="str">
            <v>Oper Maqs Florestais I Grua</v>
          </cell>
          <cell r="F111">
            <v>373114</v>
          </cell>
          <cell r="G111" t="str">
            <v>THIAGO MARIA PROENCA ALMEIDA</v>
          </cell>
          <cell r="H111">
            <v>20009652</v>
          </cell>
          <cell r="I111">
            <v>44851</v>
          </cell>
          <cell r="J111"/>
        </row>
        <row r="112">
          <cell r="B112" t="str">
            <v>PAULO CESAR BUENO</v>
          </cell>
          <cell r="C112">
            <v>37020154</v>
          </cell>
          <cell r="D112" t="str">
            <v>MOD.05</v>
          </cell>
          <cell r="E112" t="str">
            <v>Oper Maqs Florestais I Grua</v>
          </cell>
          <cell r="F112">
            <v>373114</v>
          </cell>
          <cell r="G112" t="str">
            <v>THIAGO MARIA PROENCA ALMEIDA</v>
          </cell>
          <cell r="H112">
            <v>20083001</v>
          </cell>
          <cell r="I112">
            <v>45629</v>
          </cell>
          <cell r="J112"/>
        </row>
        <row r="113">
          <cell r="B113" t="str">
            <v>DEYBISON XAVIER PEREIRA</v>
          </cell>
          <cell r="C113">
            <v>37009555</v>
          </cell>
          <cell r="D113" t="str">
            <v>MOD.05</v>
          </cell>
          <cell r="E113" t="str">
            <v>Oper Maqs Florestais I Grua</v>
          </cell>
          <cell r="F113">
            <v>373114</v>
          </cell>
          <cell r="G113" t="str">
            <v>CASSIO THOMAS DA SILVEIRA</v>
          </cell>
          <cell r="H113">
            <v>20035348</v>
          </cell>
          <cell r="I113">
            <v>44837</v>
          </cell>
          <cell r="J113"/>
        </row>
        <row r="114">
          <cell r="B114" t="str">
            <v>GUSTAVO GRACIOLI</v>
          </cell>
          <cell r="C114">
            <v>37014130</v>
          </cell>
          <cell r="D114" t="str">
            <v>MOD.05</v>
          </cell>
          <cell r="E114" t="str">
            <v>Assistente Operador Carregamento Grua</v>
          </cell>
          <cell r="F114">
            <v>373114</v>
          </cell>
          <cell r="G114" t="str">
            <v>CASSIO THOMAS DA SILVEIRA</v>
          </cell>
          <cell r="H114">
            <v>20057894</v>
          </cell>
          <cell r="I114">
            <v>45160</v>
          </cell>
          <cell r="J114"/>
        </row>
        <row r="115">
          <cell r="B115" t="str">
            <v>JOSE JOCIMAR RUY PINTO</v>
          </cell>
          <cell r="C115">
            <v>37009586</v>
          </cell>
          <cell r="D115" t="str">
            <v>MOD.05</v>
          </cell>
          <cell r="E115" t="str">
            <v>Oper Maqs Florestais I Grua</v>
          </cell>
          <cell r="F115">
            <v>373114</v>
          </cell>
          <cell r="G115" t="str">
            <v>CASSIO THOMAS DA SILVEIRA</v>
          </cell>
          <cell r="H115">
            <v>20035362</v>
          </cell>
          <cell r="I115">
            <v>44837</v>
          </cell>
          <cell r="J115"/>
        </row>
        <row r="116">
          <cell r="B116" t="str">
            <v>KELLY FABIANI DA SILVA MACHADO</v>
          </cell>
          <cell r="C116">
            <v>37006440</v>
          </cell>
          <cell r="D116" t="str">
            <v>MOD.05</v>
          </cell>
          <cell r="E116" t="str">
            <v>Assistente Operador Carregamento Grua</v>
          </cell>
          <cell r="F116">
            <v>373114</v>
          </cell>
          <cell r="G116" t="str">
            <v>CASSIO THOMAS DA SILVEIRA</v>
          </cell>
          <cell r="H116">
            <v>20017842</v>
          </cell>
          <cell r="I116">
            <v>44459</v>
          </cell>
          <cell r="J116"/>
        </row>
        <row r="117">
          <cell r="B117" t="str">
            <v>VICENTE DE PAULA MOREIRA</v>
          </cell>
          <cell r="C117">
            <v>37010744</v>
          </cell>
          <cell r="D117" t="str">
            <v>MOD.05</v>
          </cell>
          <cell r="E117" t="str">
            <v>Oper Maqs Florestais I Grua</v>
          </cell>
          <cell r="F117">
            <v>373114</v>
          </cell>
          <cell r="G117" t="str">
            <v>THIAGO MARIA PROENCA ALMEIDA</v>
          </cell>
          <cell r="H117">
            <v>20040954</v>
          </cell>
          <cell r="I117">
            <v>44935</v>
          </cell>
          <cell r="J117"/>
        </row>
        <row r="118">
          <cell r="B118" t="str">
            <v>SIDNEY MARTINS BUENO</v>
          </cell>
          <cell r="C118">
            <v>37009216</v>
          </cell>
          <cell r="D118" t="str">
            <v>MOD.05</v>
          </cell>
          <cell r="E118" t="str">
            <v>Assistente Operador Carregamento Grua</v>
          </cell>
          <cell r="F118">
            <v>373114</v>
          </cell>
          <cell r="G118" t="str">
            <v>THIAGO MARIA PROENCA ALMEIDA</v>
          </cell>
          <cell r="H118">
            <v>20031832</v>
          </cell>
          <cell r="I118">
            <v>44795</v>
          </cell>
          <cell r="J118"/>
        </row>
        <row r="119">
          <cell r="B119" t="str">
            <v>EVERTON GEREMIAS LUCHINI</v>
          </cell>
          <cell r="C119">
            <v>37005964</v>
          </cell>
          <cell r="D119" t="str">
            <v>MOD.05</v>
          </cell>
          <cell r="E119" t="str">
            <v>TECN OPERACOES FLORESTAIS II</v>
          </cell>
          <cell r="F119">
            <v>373105</v>
          </cell>
          <cell r="G119" t="str">
            <v>THIAGO MARIA PROENCA ALMEIDA</v>
          </cell>
          <cell r="H119">
            <v>20016767</v>
          </cell>
          <cell r="I119">
            <v>44382</v>
          </cell>
          <cell r="J119"/>
        </row>
        <row r="120">
          <cell r="B120" t="str">
            <v>Edson Martins</v>
          </cell>
          <cell r="C120">
            <v>37016917</v>
          </cell>
          <cell r="D120" t="str">
            <v>MOD.05</v>
          </cell>
          <cell r="E120" t="str">
            <v>MOTORISTA II</v>
          </cell>
          <cell r="F120">
            <v>373116</v>
          </cell>
          <cell r="G120" t="str">
            <v>THIAGO MARIA PROENCA ALMEIDA</v>
          </cell>
          <cell r="H120">
            <v>20065867</v>
          </cell>
          <cell r="I120">
            <v>45370</v>
          </cell>
          <cell r="J120"/>
        </row>
        <row r="121">
          <cell r="B121" t="str">
            <v>FABIANO VIEIRA</v>
          </cell>
          <cell r="C121">
            <v>37017042</v>
          </cell>
          <cell r="D121" t="str">
            <v>MOD.05</v>
          </cell>
          <cell r="E121" t="str">
            <v>MOTORISTA II</v>
          </cell>
          <cell r="F121">
            <v>373116</v>
          </cell>
          <cell r="G121" t="str">
            <v>THIAGO MARIA PROENCA ALMEIDA</v>
          </cell>
          <cell r="H121">
            <v>20066642</v>
          </cell>
          <cell r="I121">
            <v>45384</v>
          </cell>
          <cell r="J121"/>
        </row>
        <row r="122">
          <cell r="B122" t="str">
            <v>JESUS FERNANDO FERREIRA DE OLIVEIRA</v>
          </cell>
          <cell r="C122">
            <v>37017104</v>
          </cell>
          <cell r="D122" t="str">
            <v>MOD.05</v>
          </cell>
          <cell r="E122" t="str">
            <v>OPERADOR DE ESTRADAS III</v>
          </cell>
          <cell r="F122">
            <v>373116</v>
          </cell>
          <cell r="G122" t="str">
            <v>THIAGO MARIA PROENCA ALMEIDA</v>
          </cell>
          <cell r="H122">
            <v>20067418</v>
          </cell>
          <cell r="I122">
            <v>45384</v>
          </cell>
          <cell r="J122"/>
        </row>
        <row r="123">
          <cell r="B123" t="str">
            <v>JOAO KLEBER ANTONIO LOPES</v>
          </cell>
          <cell r="C123">
            <v>37017097</v>
          </cell>
          <cell r="D123" t="str">
            <v>MOD.05</v>
          </cell>
          <cell r="E123" t="str">
            <v>OPERADOR DE ESTRADAS II</v>
          </cell>
          <cell r="F123">
            <v>373500</v>
          </cell>
          <cell r="G123" t="str">
            <v>THIAGO MARIA PROENCA ALMEIDA</v>
          </cell>
          <cell r="H123">
            <v>20067411</v>
          </cell>
          <cell r="I123">
            <v>45384</v>
          </cell>
          <cell r="J123"/>
        </row>
        <row r="124">
          <cell r="B124" t="str">
            <v>JOSE NIVALDO DE OLIVEIRA</v>
          </cell>
          <cell r="C124">
            <v>37016772</v>
          </cell>
          <cell r="D124" t="str">
            <v>MOD.05</v>
          </cell>
          <cell r="E124" t="str">
            <v>OPERADOR DE ESTRADAS III</v>
          </cell>
          <cell r="F124">
            <v>373116</v>
          </cell>
          <cell r="G124" t="str">
            <v>THIAGO MARIA PROENCA ALMEIDA</v>
          </cell>
          <cell r="H124">
            <v>20060083</v>
          </cell>
          <cell r="I124">
            <v>45356</v>
          </cell>
          <cell r="J124"/>
        </row>
        <row r="125">
          <cell r="B125" t="str">
            <v>LEONARDO DE MELO ARF</v>
          </cell>
          <cell r="C125">
            <v>37016956</v>
          </cell>
          <cell r="D125" t="str">
            <v>MOD.05</v>
          </cell>
          <cell r="E125" t="str">
            <v>OPERADOR DE ESTRADAS III</v>
          </cell>
          <cell r="F125">
            <v>373116</v>
          </cell>
          <cell r="G125" t="str">
            <v>THIAGO MARIA PROENCA ALMEIDA</v>
          </cell>
          <cell r="H125">
            <v>20065907</v>
          </cell>
          <cell r="I125">
            <v>45370</v>
          </cell>
          <cell r="J125"/>
        </row>
        <row r="126">
          <cell r="B126" t="str">
            <v>OSMAR BERTOLUCCI</v>
          </cell>
          <cell r="C126">
            <v>37016985</v>
          </cell>
          <cell r="D126" t="str">
            <v>MOD.05</v>
          </cell>
          <cell r="E126" t="str">
            <v>MOTORISTA II</v>
          </cell>
          <cell r="F126">
            <v>373116</v>
          </cell>
          <cell r="G126" t="str">
            <v>THIAGO MARIA PROENCA ALMEIDA</v>
          </cell>
          <cell r="H126">
            <v>20065936</v>
          </cell>
          <cell r="I126">
            <v>45370</v>
          </cell>
          <cell r="J126"/>
        </row>
        <row r="127">
          <cell r="B127" t="str">
            <v>Rafael Depetris Macedo</v>
          </cell>
          <cell r="C127">
            <v>37020294</v>
          </cell>
          <cell r="D127" t="str">
            <v>MOD.05/08</v>
          </cell>
          <cell r="E127" t="str">
            <v>TECN OPERACOES FLORESTAIS II</v>
          </cell>
          <cell r="F127">
            <v>373105</v>
          </cell>
          <cell r="G127" t="str">
            <v>THIAGO MARIA PROENCA ALMEIDA</v>
          </cell>
          <cell r="H127">
            <v>20083253</v>
          </cell>
          <cell r="I127">
            <v>45636</v>
          </cell>
          <cell r="J127"/>
        </row>
        <row r="128">
          <cell r="B128" t="str">
            <v>THIAGO MARIA PROENCA ALMEIDA</v>
          </cell>
          <cell r="C128">
            <v>37013157</v>
          </cell>
          <cell r="D128" t="str">
            <v>MOD.05/08/10</v>
          </cell>
          <cell r="E128" t="str">
            <v>Supervisor Logistica Florestal</v>
          </cell>
          <cell r="F128">
            <v>373105</v>
          </cell>
          <cell r="G128" t="str">
            <v>MARIO FRAIZ COELHO MAIA DE ANDRADE</v>
          </cell>
          <cell r="H128">
            <v>20053284</v>
          </cell>
          <cell r="I128">
            <v>45111</v>
          </cell>
          <cell r="J128"/>
        </row>
        <row r="129">
          <cell r="B129" t="str">
            <v>MAYCO MARQUES OLIVEIRA</v>
          </cell>
          <cell r="C129">
            <v>37009548</v>
          </cell>
          <cell r="D129" t="str">
            <v>MOD.06</v>
          </cell>
          <cell r="E129" t="str">
            <v>Assistente Operador Carregamento Grua</v>
          </cell>
          <cell r="F129">
            <v>373114</v>
          </cell>
          <cell r="G129" t="str">
            <v>THIAGO MARIA PROENCA ALMEIDA</v>
          </cell>
          <cell r="H129">
            <v>20035366</v>
          </cell>
          <cell r="I129">
            <v>44837</v>
          </cell>
          <cell r="J129"/>
        </row>
        <row r="130">
          <cell r="B130" t="str">
            <v>PAULO SERGIO APARECIDO DE FREITAS</v>
          </cell>
          <cell r="C130">
            <v>37018301</v>
          </cell>
          <cell r="D130" t="str">
            <v>MOD.06</v>
          </cell>
          <cell r="E130" t="str">
            <v>Oper Maqs Florestais I Grua</v>
          </cell>
          <cell r="F130">
            <v>373114</v>
          </cell>
          <cell r="G130" t="str">
            <v>THIAGO MARIA PROENCA ALMEIDA</v>
          </cell>
          <cell r="H130">
            <v>20072860</v>
          </cell>
          <cell r="I130">
            <v>45475</v>
          </cell>
          <cell r="J130"/>
        </row>
        <row r="131">
          <cell r="B131" t="str">
            <v>BENTO DE SOUZA MONTEIRO</v>
          </cell>
          <cell r="C131">
            <v>37007170</v>
          </cell>
          <cell r="D131" t="str">
            <v>MOD.06</v>
          </cell>
          <cell r="E131" t="str">
            <v>Oper Maqs Florestais I Grua</v>
          </cell>
          <cell r="F131">
            <v>373114</v>
          </cell>
          <cell r="G131" t="str">
            <v>CASSIO THOMAS DA SILVEIRA</v>
          </cell>
          <cell r="H131">
            <v>20022973</v>
          </cell>
          <cell r="I131">
            <v>44609</v>
          </cell>
          <cell r="J131"/>
        </row>
        <row r="132">
          <cell r="B132" t="str">
            <v>BRUNO GRACIOLI DA SILVA</v>
          </cell>
          <cell r="C132">
            <v>37011696</v>
          </cell>
          <cell r="D132" t="str">
            <v>MOD.06</v>
          </cell>
          <cell r="E132" t="str">
            <v>Oper Maqs Florestais I Grua</v>
          </cell>
          <cell r="F132">
            <v>373114</v>
          </cell>
          <cell r="G132" t="str">
            <v>CASSIO THOMAS DA SILVEIRA</v>
          </cell>
          <cell r="H132">
            <v>20045220</v>
          </cell>
          <cell r="I132">
            <v>44998</v>
          </cell>
          <cell r="J132"/>
        </row>
        <row r="133">
          <cell r="B133" t="str">
            <v>FLAVIO RAYMUNDO LACERDA</v>
          </cell>
          <cell r="C133">
            <v>37013711</v>
          </cell>
          <cell r="D133" t="str">
            <v>MOD.06</v>
          </cell>
          <cell r="E133" t="str">
            <v>Oper Maqs Florestais I Grua</v>
          </cell>
          <cell r="F133">
            <v>373114</v>
          </cell>
          <cell r="G133" t="str">
            <v>CASSIO THOMAS DA SILVEIRA</v>
          </cell>
          <cell r="H133">
            <v>20056306</v>
          </cell>
          <cell r="I133">
            <v>45153</v>
          </cell>
          <cell r="J133"/>
        </row>
        <row r="134">
          <cell r="B134" t="str">
            <v>FRANCISCO DAS CHAGAS DOS SANTOS SOUSA</v>
          </cell>
          <cell r="C134">
            <v>37009283</v>
          </cell>
          <cell r="D134" t="str">
            <v>MOD.06</v>
          </cell>
          <cell r="E134" t="str">
            <v>Oper Maqs Florestais I Grua</v>
          </cell>
          <cell r="F134">
            <v>373114</v>
          </cell>
          <cell r="G134" t="str">
            <v>CASSIO THOMAS DA SILVEIRA</v>
          </cell>
          <cell r="H134">
            <v>20032966</v>
          </cell>
          <cell r="I134">
            <v>44809</v>
          </cell>
          <cell r="J134"/>
        </row>
        <row r="135">
          <cell r="B135" t="str">
            <v>FRANCISCO RODRIGUES DA MOTA</v>
          </cell>
          <cell r="C135">
            <v>37006417</v>
          </cell>
          <cell r="D135" t="str">
            <v>MOD.06</v>
          </cell>
          <cell r="E135" t="str">
            <v>Assistente Operador Carregamento Grua</v>
          </cell>
          <cell r="F135">
            <v>373114</v>
          </cell>
          <cell r="G135" t="str">
            <v>CASSIO THOMAS DA SILVEIRA</v>
          </cell>
          <cell r="H135">
            <v>20017829</v>
          </cell>
          <cell r="I135">
            <v>44459</v>
          </cell>
          <cell r="J135"/>
        </row>
        <row r="136">
          <cell r="B136" t="str">
            <v>GILENO DOS SANTOS OLIVEIRA</v>
          </cell>
          <cell r="C136">
            <v>37018778</v>
          </cell>
          <cell r="D136" t="str">
            <v>MOD.06</v>
          </cell>
          <cell r="E136" t="str">
            <v>Oper Maqs Florestais I Grua</v>
          </cell>
          <cell r="F136">
            <v>373114</v>
          </cell>
          <cell r="G136" t="str">
            <v>CASSIO THOMAS DA SILVEIRA</v>
          </cell>
          <cell r="H136">
            <v>20075064</v>
          </cell>
          <cell r="I136">
            <v>45510</v>
          </cell>
          <cell r="J136"/>
        </row>
        <row r="137">
          <cell r="B137" t="str">
            <v>Jefferson Barbosa Prestes de Oliveira</v>
          </cell>
          <cell r="C137">
            <v>37008647</v>
          </cell>
          <cell r="D137" t="str">
            <v>MOD.06</v>
          </cell>
          <cell r="E137" t="str">
            <v>TECN OPERACOES FLORESTAIS II</v>
          </cell>
          <cell r="F137">
            <v>373105</v>
          </cell>
          <cell r="G137" t="str">
            <v>CASSIO THOMAS DA SILVEIRA</v>
          </cell>
          <cell r="H137">
            <v>20028414</v>
          </cell>
          <cell r="I137">
            <v>44760</v>
          </cell>
          <cell r="J137"/>
        </row>
        <row r="138">
          <cell r="B138" t="str">
            <v>Carlos Rodrigues De Oliveira Souza</v>
          </cell>
          <cell r="C138">
            <v>37018282</v>
          </cell>
          <cell r="D138" t="str">
            <v>MOD.06</v>
          </cell>
          <cell r="E138" t="str">
            <v>OPERADOR DE ESTRADAS III</v>
          </cell>
          <cell r="F138">
            <v>373116</v>
          </cell>
          <cell r="G138" t="str">
            <v>CASSIO THOMAS DA SILVEIRA</v>
          </cell>
          <cell r="H138">
            <v>20072833</v>
          </cell>
          <cell r="I138">
            <v>45475</v>
          </cell>
          <cell r="J138"/>
        </row>
        <row r="139">
          <cell r="B139" t="str">
            <v>Cleberson Roberto Peres Lopes</v>
          </cell>
          <cell r="C139">
            <v>37017957</v>
          </cell>
          <cell r="D139" t="str">
            <v>MOD.06</v>
          </cell>
          <cell r="E139" t="str">
            <v>OPERADOR DE ESTRADAS III</v>
          </cell>
          <cell r="F139">
            <v>373116</v>
          </cell>
          <cell r="G139" t="str">
            <v>CASSIO THOMAS DA SILVEIRA</v>
          </cell>
          <cell r="H139">
            <v>20071225</v>
          </cell>
          <cell r="I139">
            <v>45447</v>
          </cell>
          <cell r="J139"/>
        </row>
        <row r="140">
          <cell r="B140" t="str">
            <v>CRISTIANO SILVA</v>
          </cell>
          <cell r="C140">
            <v>37018408</v>
          </cell>
          <cell r="D140" t="str">
            <v>MOD.06</v>
          </cell>
          <cell r="E140" t="str">
            <v>MOTORISTA II</v>
          </cell>
          <cell r="F140">
            <v>373116</v>
          </cell>
          <cell r="G140" t="str">
            <v>CASSIO THOMAS DA SILVEIRA</v>
          </cell>
          <cell r="H140">
            <v>20073600</v>
          </cell>
          <cell r="I140"/>
          <cell r="J140"/>
        </row>
        <row r="141">
          <cell r="B141" t="str">
            <v>DANIEL FAUSTINO CAMPOS</v>
          </cell>
          <cell r="C141" t="str">
            <v>ENTRANDO</v>
          </cell>
          <cell r="D141" t="str">
            <v>MOD.06</v>
          </cell>
          <cell r="E141" t="str">
            <v>OPERADOR DE ESTRADAS II</v>
          </cell>
          <cell r="F141"/>
          <cell r="G141" t="str">
            <v>CASSIO THOMAS DA SILVEIRA</v>
          </cell>
          <cell r="H141"/>
          <cell r="I141"/>
          <cell r="J141"/>
        </row>
        <row r="142">
          <cell r="B142" t="str">
            <v>FABIO DIAS CARLOS</v>
          </cell>
          <cell r="C142">
            <v>37018146</v>
          </cell>
          <cell r="D142" t="str">
            <v>MOD.06</v>
          </cell>
          <cell r="E142" t="str">
            <v>MOTORISTA II</v>
          </cell>
          <cell r="F142" t="str">
            <v>373403 cc de pipa verificar</v>
          </cell>
          <cell r="G142" t="str">
            <v>CASSIO THOMAS DA SILVEIRA</v>
          </cell>
          <cell r="H142">
            <v>20072294</v>
          </cell>
          <cell r="I142">
            <v>45461</v>
          </cell>
          <cell r="J142"/>
        </row>
        <row r="143">
          <cell r="B143" t="str">
            <v>Gregory Willian Javarotti</v>
          </cell>
          <cell r="C143">
            <v>37020160</v>
          </cell>
          <cell r="D143" t="str">
            <v>MOD.06</v>
          </cell>
          <cell r="E143" t="str">
            <v>MOTORISTA II</v>
          </cell>
          <cell r="F143">
            <v>373116</v>
          </cell>
          <cell r="G143" t="str">
            <v>CASSIO THOMAS DA SILVEIRA</v>
          </cell>
          <cell r="H143">
            <v>20083008</v>
          </cell>
          <cell r="I143">
            <v>45629</v>
          </cell>
          <cell r="J143"/>
        </row>
        <row r="144">
          <cell r="B144" t="str">
            <v>Julio Cesar De Godoi</v>
          </cell>
          <cell r="C144">
            <v>37020181</v>
          </cell>
          <cell r="D144" t="str">
            <v>MOD.06</v>
          </cell>
          <cell r="E144" t="str">
            <v>OPERADOR DE ESTRADAS III</v>
          </cell>
          <cell r="F144">
            <v>373116</v>
          </cell>
          <cell r="G144" t="str">
            <v>CASSIO THOMAS DA SILVEIRA</v>
          </cell>
          <cell r="H144">
            <v>20083030</v>
          </cell>
          <cell r="I144">
            <v>45629</v>
          </cell>
          <cell r="J144"/>
        </row>
        <row r="145">
          <cell r="B145" t="str">
            <v>CASSIO THOMAS DA SILVEIRA</v>
          </cell>
          <cell r="C145">
            <v>37010748</v>
          </cell>
          <cell r="D145" t="str">
            <v>MOD.06/07</v>
          </cell>
          <cell r="E145" t="str">
            <v>Supervisor Logistica Florestal</v>
          </cell>
          <cell r="F145">
            <v>373105</v>
          </cell>
          <cell r="G145" t="str">
            <v>MARIO FRAIZ COELHO MAIA DE ANDRADE</v>
          </cell>
          <cell r="H145">
            <v>20040958</v>
          </cell>
          <cell r="I145">
            <v>44935</v>
          </cell>
          <cell r="J145"/>
        </row>
        <row r="146">
          <cell r="B146" t="str">
            <v>MARCIANO BATISTA FERREIRA</v>
          </cell>
          <cell r="C146">
            <v>37005933</v>
          </cell>
          <cell r="D146" t="str">
            <v>MOD.06/MOD.07</v>
          </cell>
          <cell r="E146" t="str">
            <v>TECN OPERACOES FLORESTAIS II</v>
          </cell>
          <cell r="F146">
            <v>373105</v>
          </cell>
          <cell r="G146" t="str">
            <v>CASSIO THOMAS DA SILVEIRA</v>
          </cell>
          <cell r="H146">
            <v>20016748</v>
          </cell>
          <cell r="I146">
            <v>44382</v>
          </cell>
          <cell r="J146"/>
        </row>
        <row r="147">
          <cell r="B147" t="str">
            <v>MAGAIVER MOREIRA</v>
          </cell>
          <cell r="C147">
            <v>37002172</v>
          </cell>
          <cell r="D147" t="str">
            <v>MOD.07</v>
          </cell>
          <cell r="E147" t="str">
            <v>Assistente Operador Carregamento Grua</v>
          </cell>
          <cell r="F147">
            <v>373114</v>
          </cell>
          <cell r="G147" t="str">
            <v>MARCIO APARECIDO CAVALHEIRO</v>
          </cell>
          <cell r="H147">
            <v>20009576</v>
          </cell>
          <cell r="I147">
            <v>43122</v>
          </cell>
          <cell r="J147"/>
        </row>
        <row r="148">
          <cell r="B148" t="str">
            <v>ODAIR DONIZETTI IZIDORO DA SILVA</v>
          </cell>
          <cell r="C148">
            <v>37005669</v>
          </cell>
          <cell r="D148" t="str">
            <v>MOD.07</v>
          </cell>
          <cell r="E148" t="str">
            <v>Assistente Operador Carregamento Grua</v>
          </cell>
          <cell r="F148">
            <v>373114</v>
          </cell>
          <cell r="G148" t="str">
            <v>MARCIO APARECIDO CAVALHEIRO</v>
          </cell>
          <cell r="H148">
            <v>20013965</v>
          </cell>
          <cell r="I148">
            <v>44329</v>
          </cell>
          <cell r="J148"/>
        </row>
        <row r="149">
          <cell r="B149" t="str">
            <v>JEFERSON DE PAULA SILVA</v>
          </cell>
          <cell r="C149">
            <v>37005649</v>
          </cell>
          <cell r="D149" t="str">
            <v>MOD.07</v>
          </cell>
          <cell r="E149" t="str">
            <v>Assistente Operador Carregamento Grua</v>
          </cell>
          <cell r="F149">
            <v>373114</v>
          </cell>
          <cell r="G149" t="str">
            <v>JHON FELIPE SENOSKI</v>
          </cell>
          <cell r="H149">
            <v>20013948</v>
          </cell>
          <cell r="I149">
            <v>44329</v>
          </cell>
          <cell r="J149"/>
        </row>
        <row r="150">
          <cell r="B150" t="str">
            <v>JULIO CESAR OLIVEIRA SANTOS</v>
          </cell>
          <cell r="C150">
            <v>37013502</v>
          </cell>
          <cell r="D150" t="str">
            <v>MOD.07</v>
          </cell>
          <cell r="E150" t="str">
            <v>Oper Maqs Florestais I Grua</v>
          </cell>
          <cell r="F150">
            <v>373114</v>
          </cell>
          <cell r="G150" t="str">
            <v>JHON FELIPE SENOSKI</v>
          </cell>
          <cell r="H150">
            <v>20055398</v>
          </cell>
          <cell r="I150">
            <v>45125</v>
          </cell>
          <cell r="J150"/>
        </row>
        <row r="151">
          <cell r="B151" t="str">
            <v>Marcos de Oliveira Amorim</v>
          </cell>
          <cell r="C151">
            <v>37019910</v>
          </cell>
          <cell r="D151" t="str">
            <v>MOD.07</v>
          </cell>
          <cell r="E151" t="str">
            <v>Oper Maqs Florestais I Grua</v>
          </cell>
          <cell r="F151">
            <v>373114</v>
          </cell>
          <cell r="G151" t="str">
            <v>CASSIO THOMAS DA SILVEIRA</v>
          </cell>
          <cell r="H151">
            <v>20081387</v>
          </cell>
          <cell r="I151">
            <v>45601</v>
          </cell>
          <cell r="J151"/>
        </row>
        <row r="152">
          <cell r="B152" t="str">
            <v>MAURICIO FERNANDES TEIXEIRA</v>
          </cell>
          <cell r="C152">
            <v>37006336</v>
          </cell>
          <cell r="D152" t="str">
            <v>MOD.07</v>
          </cell>
          <cell r="E152" t="str">
            <v>Assistente Operador Carregamento Grua</v>
          </cell>
          <cell r="F152">
            <v>373114</v>
          </cell>
          <cell r="G152" t="str">
            <v>CASSIO THOMAS DA SILVEIRA</v>
          </cell>
          <cell r="H152">
            <v>20017063</v>
          </cell>
          <cell r="I152">
            <v>44447</v>
          </cell>
          <cell r="J152"/>
        </row>
        <row r="153">
          <cell r="B153" t="str">
            <v>OLAZIEL GONCALVES FERREIRA</v>
          </cell>
          <cell r="C153">
            <v>37009597</v>
          </cell>
          <cell r="D153" t="str">
            <v>MOD.07</v>
          </cell>
          <cell r="E153" t="str">
            <v>Assistente Operador Carregamento Grua</v>
          </cell>
          <cell r="F153">
            <v>373114</v>
          </cell>
          <cell r="G153" t="str">
            <v>CASSIO THOMAS DA SILVEIRA</v>
          </cell>
          <cell r="H153">
            <v>20035356</v>
          </cell>
          <cell r="I153">
            <v>44837</v>
          </cell>
          <cell r="J153"/>
        </row>
        <row r="154">
          <cell r="B154" t="str">
            <v>Claudinei Pereira Alves</v>
          </cell>
          <cell r="C154">
            <v>37020190</v>
          </cell>
          <cell r="D154" t="str">
            <v>MOD.07</v>
          </cell>
          <cell r="E154" t="str">
            <v>Assistente Operador Carregamento Grua</v>
          </cell>
          <cell r="F154">
            <v>373114</v>
          </cell>
          <cell r="G154" t="str">
            <v>CASSIO THOMAS DA SILVEIRA</v>
          </cell>
          <cell r="H154">
            <v>20083039</v>
          </cell>
          <cell r="I154">
            <v>45629</v>
          </cell>
          <cell r="J154"/>
        </row>
        <row r="155">
          <cell r="B155" t="str">
            <v>DANIEL APARECIDO STENDER</v>
          </cell>
          <cell r="C155">
            <v>37011466</v>
          </cell>
          <cell r="D155" t="str">
            <v>MOD.07</v>
          </cell>
          <cell r="E155" t="str">
            <v>Oper Maqs Florestais I Grua</v>
          </cell>
          <cell r="F155">
            <v>373114</v>
          </cell>
          <cell r="G155" t="str">
            <v>CASSIO THOMAS DA SILVEIRA</v>
          </cell>
          <cell r="H155">
            <v>20044125</v>
          </cell>
          <cell r="I155">
            <v>44991</v>
          </cell>
          <cell r="J155"/>
        </row>
        <row r="156">
          <cell r="B156" t="str">
            <v>Denis Visael Guerra Valdiviezo</v>
          </cell>
          <cell r="C156">
            <v>37018974</v>
          </cell>
          <cell r="D156" t="str">
            <v>MOD.07</v>
          </cell>
          <cell r="E156" t="str">
            <v>Oper Maqs Florestais I Grua</v>
          </cell>
          <cell r="F156">
            <v>373114</v>
          </cell>
          <cell r="G156" t="str">
            <v>CASSIO THOMAS DA SILVEIRA</v>
          </cell>
          <cell r="H156">
            <v>20076185</v>
          </cell>
          <cell r="I156">
            <v>45524</v>
          </cell>
          <cell r="J156"/>
        </row>
        <row r="157">
          <cell r="B157" t="str">
            <v>EVERTON TIAGO DA SILVA</v>
          </cell>
          <cell r="C157">
            <v>37011465</v>
          </cell>
          <cell r="D157" t="str">
            <v>MOD.07</v>
          </cell>
          <cell r="E157" t="str">
            <v>Oper Maqs Florestais I Grua</v>
          </cell>
          <cell r="F157">
            <v>373114</v>
          </cell>
          <cell r="G157" t="str">
            <v>CASSIO THOMAS DA SILVEIRA</v>
          </cell>
          <cell r="H157">
            <v>20044124</v>
          </cell>
          <cell r="I157">
            <v>44991</v>
          </cell>
          <cell r="J157"/>
        </row>
        <row r="158">
          <cell r="B158" t="str">
            <v>FRANCISCO LAILSON CARVALHO SILVA</v>
          </cell>
          <cell r="C158">
            <v>37009884</v>
          </cell>
          <cell r="D158" t="str">
            <v>MOD.07</v>
          </cell>
          <cell r="E158" t="str">
            <v>Oper Maqs Florestais I Grua</v>
          </cell>
          <cell r="F158">
            <v>373114</v>
          </cell>
          <cell r="G158" t="str">
            <v>CASSIO THOMAS DA SILVEIRA</v>
          </cell>
          <cell r="H158">
            <v>20037219</v>
          </cell>
          <cell r="I158">
            <v>44872</v>
          </cell>
          <cell r="J158"/>
        </row>
        <row r="159">
          <cell r="B159" t="str">
            <v>Giuliano Carilo Povoas</v>
          </cell>
          <cell r="C159">
            <v>37018833</v>
          </cell>
          <cell r="D159" t="str">
            <v>MOD.07</v>
          </cell>
          <cell r="E159" t="str">
            <v>Oper Maqs Florestais I Grua</v>
          </cell>
          <cell r="F159">
            <v>373114</v>
          </cell>
          <cell r="G159" t="str">
            <v>CASSIO THOMAS DA SILVEIRA</v>
          </cell>
          <cell r="H159">
            <v>20075128</v>
          </cell>
          <cell r="I159">
            <v>45510</v>
          </cell>
          <cell r="J159"/>
        </row>
        <row r="160">
          <cell r="B160" t="str">
            <v>JACSON MARQUES FONTENELES DOS SANTOS</v>
          </cell>
          <cell r="C160">
            <v>37009170</v>
          </cell>
          <cell r="D160" t="str">
            <v>MOD.07</v>
          </cell>
          <cell r="E160" t="str">
            <v>Oper Maqs Florestais I Grua</v>
          </cell>
          <cell r="F160">
            <v>373114</v>
          </cell>
          <cell r="G160" t="str">
            <v>CASSIO THOMAS DA SILVEIRA</v>
          </cell>
          <cell r="H160">
            <v>20031924</v>
          </cell>
          <cell r="I160">
            <v>44795</v>
          </cell>
          <cell r="J160"/>
        </row>
        <row r="161">
          <cell r="B161" t="str">
            <v>JOEL SANTIAGO DA SILVA</v>
          </cell>
          <cell r="C161">
            <v>37006673</v>
          </cell>
          <cell r="D161" t="str">
            <v>MOD.07</v>
          </cell>
          <cell r="E161" t="str">
            <v>Assistente Operador Carregamento Grua</v>
          </cell>
          <cell r="F161">
            <v>373114</v>
          </cell>
          <cell r="G161" t="str">
            <v>CASSIO THOMAS DA SILVEIRA</v>
          </cell>
          <cell r="H161">
            <v>20018751</v>
          </cell>
          <cell r="I161">
            <v>44503</v>
          </cell>
          <cell r="J161"/>
        </row>
        <row r="162">
          <cell r="B162" t="str">
            <v>LUCAS DE SOUZA DA COSTA</v>
          </cell>
          <cell r="C162">
            <v>37009324</v>
          </cell>
          <cell r="D162" t="str">
            <v>MOD.07</v>
          </cell>
          <cell r="E162" t="str">
            <v>Assistente Operador Carregamento Grua</v>
          </cell>
          <cell r="F162">
            <v>373114</v>
          </cell>
          <cell r="G162" t="str">
            <v>CASSIO THOMAS DA SILVEIRA</v>
          </cell>
          <cell r="H162">
            <v>20033025</v>
          </cell>
          <cell r="I162">
            <v>44809</v>
          </cell>
          <cell r="J162"/>
        </row>
        <row r="163">
          <cell r="B163" t="str">
            <v>ORTIDES MENEZES SOUZA</v>
          </cell>
          <cell r="C163">
            <v>37018842</v>
          </cell>
          <cell r="D163" t="str">
            <v>MOD.07</v>
          </cell>
          <cell r="E163" t="str">
            <v>Oper Maqs Florestais I Grua</v>
          </cell>
          <cell r="F163">
            <v>373114</v>
          </cell>
          <cell r="G163" t="str">
            <v>CASSIO THOMAS DA SILVEIRA</v>
          </cell>
          <cell r="H163">
            <v>20075137</v>
          </cell>
          <cell r="I163">
            <v>45510</v>
          </cell>
          <cell r="J163"/>
        </row>
        <row r="164">
          <cell r="B164" t="str">
            <v>RAFAEL ARQUIMEDES GONZALEZ SERRANO</v>
          </cell>
          <cell r="C164">
            <v>37009877</v>
          </cell>
          <cell r="D164" t="str">
            <v>MOD.07</v>
          </cell>
          <cell r="E164" t="str">
            <v>Oper Maqs Florestais I Grua</v>
          </cell>
          <cell r="F164">
            <v>373114</v>
          </cell>
          <cell r="G164" t="str">
            <v>CASSIO THOMAS DA SILVEIRA</v>
          </cell>
          <cell r="H164">
            <v>20037212</v>
          </cell>
          <cell r="I164">
            <v>44872</v>
          </cell>
          <cell r="J164"/>
        </row>
        <row r="165">
          <cell r="B165" t="str">
            <v>RAFAEL EDUARDO PADILHA DA SILVA</v>
          </cell>
          <cell r="C165">
            <v>37014204</v>
          </cell>
          <cell r="D165" t="str">
            <v>MOD.07</v>
          </cell>
          <cell r="E165" t="str">
            <v>Oper Maqs Florestais I Grua</v>
          </cell>
          <cell r="F165">
            <v>373114</v>
          </cell>
          <cell r="G165" t="str">
            <v>CASSIO THOMAS DA SILVEIRA</v>
          </cell>
          <cell r="H165">
            <v>20058024</v>
          </cell>
          <cell r="I165">
            <v>45160</v>
          </cell>
          <cell r="J165"/>
        </row>
        <row r="166">
          <cell r="B166" t="str">
            <v>RAFAEL MACHADO DA SILVA</v>
          </cell>
          <cell r="C166">
            <v>37008940</v>
          </cell>
          <cell r="D166" t="str">
            <v>MOD.07</v>
          </cell>
          <cell r="E166" t="str">
            <v>Assistente Operador Carregamento Grua</v>
          </cell>
          <cell r="F166">
            <v>373114</v>
          </cell>
          <cell r="G166" t="str">
            <v>CASSIO THOMAS DA SILVEIRA</v>
          </cell>
          <cell r="H166">
            <v>20034651</v>
          </cell>
          <cell r="I166">
            <v>44777</v>
          </cell>
          <cell r="J166"/>
        </row>
        <row r="167">
          <cell r="B167" t="str">
            <v>Antonio Santos</v>
          </cell>
          <cell r="C167">
            <v>37019026</v>
          </cell>
          <cell r="D167" t="str">
            <v>MOD.07</v>
          </cell>
          <cell r="E167" t="str">
            <v>Oper Maqs Florestais I Grua</v>
          </cell>
          <cell r="F167">
            <v>373114</v>
          </cell>
          <cell r="G167" t="str">
            <v>THIAGO MARIA PROENCA ALMEIDA</v>
          </cell>
          <cell r="H167">
            <v>20076850</v>
          </cell>
          <cell r="I167">
            <v>45538</v>
          </cell>
          <cell r="J167"/>
        </row>
        <row r="168">
          <cell r="B168" t="str">
            <v>Samuel De Souza Duarte</v>
          </cell>
          <cell r="C168">
            <v>37015337</v>
          </cell>
          <cell r="D168" t="str">
            <v>MOD.07</v>
          </cell>
          <cell r="E168" t="str">
            <v>TECN OPERACOES FLORESTAIS II</v>
          </cell>
          <cell r="F168">
            <v>373105</v>
          </cell>
          <cell r="G168" t="str">
            <v>CASSIO THOMAS DA SILVEIRA</v>
          </cell>
          <cell r="H168">
            <v>20062321</v>
          </cell>
          <cell r="I168">
            <v>45251</v>
          </cell>
          <cell r="J168"/>
        </row>
        <row r="169">
          <cell r="B169" t="str">
            <v>CARLOS ALEX DE GODOI PAINO</v>
          </cell>
          <cell r="C169">
            <v>37018148</v>
          </cell>
          <cell r="D169" t="str">
            <v>MOD.07</v>
          </cell>
          <cell r="E169" t="str">
            <v>MOTORISTA I</v>
          </cell>
          <cell r="F169" t="str">
            <v>373403 cc de pipa verificar</v>
          </cell>
          <cell r="G169" t="str">
            <v>CASSIO THOMAS DA SILVEIRA</v>
          </cell>
          <cell r="H169">
            <v>20072296</v>
          </cell>
          <cell r="I169">
            <v>45461</v>
          </cell>
          <cell r="J169"/>
        </row>
        <row r="170">
          <cell r="B170" t="str">
            <v>DOUGLAS OLIVEIRA DOS SANTOS</v>
          </cell>
          <cell r="C170">
            <v>37019064</v>
          </cell>
          <cell r="D170" t="str">
            <v>MOD.07</v>
          </cell>
          <cell r="E170" t="str">
            <v>MOTORISTA II</v>
          </cell>
          <cell r="F170">
            <v>373116</v>
          </cell>
          <cell r="G170" t="str">
            <v>CASSIO THOMAS DA SILVEIRA</v>
          </cell>
          <cell r="H170">
            <v>20076917</v>
          </cell>
          <cell r="I170">
            <v>45538</v>
          </cell>
          <cell r="J170"/>
        </row>
        <row r="171">
          <cell r="B171" t="str">
            <v>FABIO DOS SANTOS BONFIM</v>
          </cell>
          <cell r="C171" t="str">
            <v>ENTRANDO</v>
          </cell>
          <cell r="D171" t="str">
            <v>MOD.07</v>
          </cell>
          <cell r="E171" t="str">
            <v>OPERADOR DE ESTRADAS III</v>
          </cell>
          <cell r="F171"/>
          <cell r="G171" t="str">
            <v>CASSIO THOMAS DA SILVEIRA</v>
          </cell>
          <cell r="H171"/>
          <cell r="I171"/>
          <cell r="J171"/>
        </row>
        <row r="172">
          <cell r="B172" t="str">
            <v>JEFFERSON MARINHO DOURADO</v>
          </cell>
          <cell r="C172">
            <v>37020158</v>
          </cell>
          <cell r="D172" t="str">
            <v>MOD.07</v>
          </cell>
          <cell r="E172" t="str">
            <v>OPERADOR DE ESTRADAS III</v>
          </cell>
          <cell r="F172"/>
          <cell r="G172" t="str">
            <v>CASSIO THOMAS DA SILVEIRA</v>
          </cell>
          <cell r="H172">
            <v>20083005</v>
          </cell>
          <cell r="I172">
            <v>45629</v>
          </cell>
          <cell r="J172"/>
        </row>
        <row r="173">
          <cell r="B173" t="str">
            <v>JOSE HERMANO DO CARMO</v>
          </cell>
          <cell r="C173">
            <v>37019084</v>
          </cell>
          <cell r="D173" t="str">
            <v>MOD.07</v>
          </cell>
          <cell r="E173" t="str">
            <v>OPERADOR DE ESTRADAS II</v>
          </cell>
          <cell r="F173"/>
          <cell r="G173" t="str">
            <v>CASSIO THOMAS DA SILVEIRA</v>
          </cell>
          <cell r="H173">
            <v>20076937</v>
          </cell>
          <cell r="I173"/>
          <cell r="J173"/>
        </row>
        <row r="174">
          <cell r="B174" t="str">
            <v>PAULO SERGIO MARTINS JUNIOR</v>
          </cell>
          <cell r="C174">
            <v>37018341</v>
          </cell>
          <cell r="D174" t="str">
            <v>MOD.07</v>
          </cell>
          <cell r="E174" t="str">
            <v>OPERADOR DE ESTRADAS II</v>
          </cell>
          <cell r="F174">
            <v>373116</v>
          </cell>
          <cell r="G174" t="str">
            <v>CASSIO THOMAS DA SILVEIRA</v>
          </cell>
          <cell r="H174">
            <v>20073125</v>
          </cell>
          <cell r="I174">
            <v>45475</v>
          </cell>
          <cell r="J174"/>
        </row>
        <row r="175">
          <cell r="B175" t="str">
            <v>VINÍCIUS CÉSAR JULIANA</v>
          </cell>
          <cell r="C175" t="str">
            <v>ENTRANDO</v>
          </cell>
          <cell r="D175" t="str">
            <v>MOD.07</v>
          </cell>
          <cell r="E175" t="str">
            <v>MOTORISTA II</v>
          </cell>
          <cell r="F175"/>
          <cell r="G175" t="str">
            <v>CASSIO THOMAS DA SILVEIRA</v>
          </cell>
          <cell r="H175"/>
          <cell r="I175"/>
          <cell r="J175"/>
        </row>
        <row r="176">
          <cell r="B176" t="str">
            <v>RENATO DEODATA DOS SANTOS</v>
          </cell>
          <cell r="C176">
            <v>37016528</v>
          </cell>
          <cell r="D176" t="str">
            <v>MOD.08</v>
          </cell>
          <cell r="E176" t="str">
            <v>Oper Maqs Florestais I Grua</v>
          </cell>
          <cell r="F176">
            <v>373114</v>
          </cell>
          <cell r="G176" t="str">
            <v>CASSIO THOMAS DA SILVEIRA</v>
          </cell>
          <cell r="H176">
            <v>20064518</v>
          </cell>
          <cell r="I176">
            <v>45328</v>
          </cell>
          <cell r="J176"/>
        </row>
        <row r="177">
          <cell r="B177" t="str">
            <v>ROBERTO ANTONIO DA SILVA JUNIOR</v>
          </cell>
          <cell r="C177">
            <v>37011474</v>
          </cell>
          <cell r="D177" t="str">
            <v>MOD.08</v>
          </cell>
          <cell r="E177" t="str">
            <v>Oper Maqs Florestais I Grua</v>
          </cell>
          <cell r="F177">
            <v>373114</v>
          </cell>
          <cell r="G177" t="str">
            <v>CASSIO THOMAS DA SILVEIRA</v>
          </cell>
          <cell r="H177">
            <v>20044133</v>
          </cell>
          <cell r="I177">
            <v>44991</v>
          </cell>
          <cell r="J177"/>
        </row>
        <row r="178">
          <cell r="B178" t="str">
            <v>THAMIRIS BORGES DA SILVA</v>
          </cell>
          <cell r="C178">
            <v>37007921</v>
          </cell>
          <cell r="D178" t="str">
            <v>MOD.08</v>
          </cell>
          <cell r="E178" t="str">
            <v>Oper Maqs Florestais I Grua</v>
          </cell>
          <cell r="F178">
            <v>373114</v>
          </cell>
          <cell r="G178" t="str">
            <v>CASSIO THOMAS DA SILVEIRA</v>
          </cell>
          <cell r="H178">
            <v>20026158</v>
          </cell>
          <cell r="I178">
            <v>44704</v>
          </cell>
          <cell r="J178"/>
        </row>
        <row r="179">
          <cell r="B179" t="str">
            <v>ADEMILSON DA SILVA</v>
          </cell>
          <cell r="C179">
            <v>37006924</v>
          </cell>
          <cell r="D179" t="str">
            <v>MOD.08</v>
          </cell>
          <cell r="E179" t="str">
            <v>Oper Maqs Florestais I Grua</v>
          </cell>
          <cell r="F179">
            <v>373114</v>
          </cell>
          <cell r="G179" t="str">
            <v>THIAGO MARIA PROENCA ALMEIDA</v>
          </cell>
          <cell r="H179">
            <v>20021279</v>
          </cell>
          <cell r="I179">
            <v>44550</v>
          </cell>
          <cell r="J179"/>
        </row>
        <row r="180">
          <cell r="B180" t="str">
            <v>CARLOS DANIEL COSTA ROCHA</v>
          </cell>
          <cell r="C180">
            <v>37009452</v>
          </cell>
          <cell r="D180" t="str">
            <v>MOD.08</v>
          </cell>
          <cell r="E180" t="str">
            <v>Oper Maqs Florestais I Grua</v>
          </cell>
          <cell r="F180">
            <v>373114</v>
          </cell>
          <cell r="G180" t="str">
            <v>THIAGO MARIA PROENCA ALMEIDA</v>
          </cell>
          <cell r="H180">
            <v>20034027</v>
          </cell>
          <cell r="I180">
            <v>44823</v>
          </cell>
          <cell r="J180"/>
        </row>
        <row r="181">
          <cell r="B181" t="str">
            <v>CARLOS ERVINO ZILLMER JUNIOR</v>
          </cell>
          <cell r="C181">
            <v>37013750</v>
          </cell>
          <cell r="D181" t="str">
            <v>MOD.08</v>
          </cell>
          <cell r="E181" t="str">
            <v>Oper Maqs Florestais I Grua</v>
          </cell>
          <cell r="F181">
            <v>373114</v>
          </cell>
          <cell r="G181" t="str">
            <v>THIAGO MARIA PROENCA ALMEIDA</v>
          </cell>
          <cell r="H181">
            <v>20056385</v>
          </cell>
          <cell r="I181">
            <v>45153</v>
          </cell>
          <cell r="J181"/>
        </row>
        <row r="182">
          <cell r="B182" t="str">
            <v>DANIEL SOARES BRITO</v>
          </cell>
          <cell r="C182">
            <v>37009726</v>
          </cell>
          <cell r="D182" t="str">
            <v>MOD.08</v>
          </cell>
          <cell r="E182" t="str">
            <v>Assistente Operador Carregamento Grua</v>
          </cell>
          <cell r="F182">
            <v>373114</v>
          </cell>
          <cell r="G182" t="str">
            <v>THIAGO MARIA PROENCA ALMEIDA</v>
          </cell>
          <cell r="H182">
            <v>20036011</v>
          </cell>
          <cell r="I182">
            <v>44851</v>
          </cell>
          <cell r="J182"/>
        </row>
        <row r="183">
          <cell r="B183" t="str">
            <v>DONIZETE DO NASCIMENTO</v>
          </cell>
          <cell r="C183">
            <v>37013803</v>
          </cell>
          <cell r="D183" t="str">
            <v>MOD.08</v>
          </cell>
          <cell r="E183" t="str">
            <v>Oper Maqs Florestais I Grua</v>
          </cell>
          <cell r="F183">
            <v>373114</v>
          </cell>
          <cell r="G183" t="str">
            <v>THIAGO MARIA PROENCA ALMEIDA</v>
          </cell>
          <cell r="H183">
            <v>20056489</v>
          </cell>
          <cell r="I183">
            <v>45146</v>
          </cell>
          <cell r="J183"/>
        </row>
        <row r="184">
          <cell r="B184" t="str">
            <v>FRANCISCO ASSIS GOMES DOS SANTOS</v>
          </cell>
          <cell r="C184">
            <v>37019832</v>
          </cell>
          <cell r="D184" t="str">
            <v>MOD.08</v>
          </cell>
          <cell r="E184" t="str">
            <v>Assistente Operador Carregamento Grua</v>
          </cell>
          <cell r="F184">
            <v>373114</v>
          </cell>
          <cell r="G184" t="str">
            <v>THIAGO MARIA PROENCA ALMEIDA</v>
          </cell>
          <cell r="H184">
            <v>20020043</v>
          </cell>
          <cell r="I184">
            <v>45601</v>
          </cell>
          <cell r="J184"/>
        </row>
        <row r="185">
          <cell r="B185" t="str">
            <v>JUAN SANTOS DO CARMO</v>
          </cell>
          <cell r="C185">
            <v>37009549</v>
          </cell>
          <cell r="D185" t="str">
            <v>MOD.08</v>
          </cell>
          <cell r="E185" t="str">
            <v>Assistente Operador Carregamento Grua</v>
          </cell>
          <cell r="F185">
            <v>373114</v>
          </cell>
          <cell r="G185" t="str">
            <v>THIAGO MARIA PROENCA ALMEIDA</v>
          </cell>
          <cell r="H185">
            <v>20035367</v>
          </cell>
          <cell r="I185">
            <v>44837</v>
          </cell>
          <cell r="J185"/>
        </row>
        <row r="186">
          <cell r="B186" t="str">
            <v>LUSIANO DA CONCEICAO LOPES</v>
          </cell>
          <cell r="C186">
            <v>37009276</v>
          </cell>
          <cell r="D186" t="str">
            <v>MOD.08</v>
          </cell>
          <cell r="E186" t="str">
            <v>Oper Maqs Florestais I Grua</v>
          </cell>
          <cell r="F186">
            <v>373114</v>
          </cell>
          <cell r="G186" t="str">
            <v>THIAGO MARIA PROENCA ALMEIDA</v>
          </cell>
          <cell r="H186">
            <v>20033041</v>
          </cell>
          <cell r="I186">
            <v>44809</v>
          </cell>
          <cell r="J186"/>
        </row>
        <row r="187">
          <cell r="B187" t="str">
            <v>MANOEL CARLOS OLIVEIRA</v>
          </cell>
          <cell r="C187">
            <v>37009890</v>
          </cell>
          <cell r="D187" t="str">
            <v>MOD.08</v>
          </cell>
          <cell r="E187" t="str">
            <v>Assistente Operador Carregamento Grua</v>
          </cell>
          <cell r="F187">
            <v>373114</v>
          </cell>
          <cell r="G187" t="str">
            <v>THIAGO MARIA PROENCA ALMEIDA</v>
          </cell>
          <cell r="H187">
            <v>20037225</v>
          </cell>
          <cell r="I187">
            <v>44872</v>
          </cell>
          <cell r="J187"/>
        </row>
        <row r="188">
          <cell r="B188" t="str">
            <v>MARCIO ADRIANO DA SILVA</v>
          </cell>
          <cell r="C188">
            <v>37006283</v>
          </cell>
          <cell r="D188" t="str">
            <v>MOD.08</v>
          </cell>
          <cell r="E188" t="str">
            <v>Assistente Operador Carregamento Grua</v>
          </cell>
          <cell r="F188">
            <v>373114</v>
          </cell>
          <cell r="G188" t="str">
            <v>THIAGO MARIA PROENCA ALMEIDA</v>
          </cell>
          <cell r="H188">
            <v>20017015</v>
          </cell>
          <cell r="I188">
            <v>44431</v>
          </cell>
          <cell r="J188"/>
        </row>
        <row r="189">
          <cell r="B189" t="str">
            <v>MARCOS VINICIUS SOUZA DOS SANTOS</v>
          </cell>
          <cell r="C189">
            <v>37010961</v>
          </cell>
          <cell r="D189" t="str">
            <v>MOD.08</v>
          </cell>
          <cell r="E189" t="str">
            <v>Oper Maqs Florestais I Grua</v>
          </cell>
          <cell r="F189">
            <v>373114</v>
          </cell>
          <cell r="G189" t="str">
            <v>THIAGO MARIA PROENCA ALMEIDA</v>
          </cell>
          <cell r="H189">
            <v>20041780</v>
          </cell>
          <cell r="I189">
            <v>44958</v>
          </cell>
          <cell r="J189"/>
        </row>
        <row r="190">
          <cell r="B190" t="str">
            <v>THIAGO DA SILVA DOS REIS</v>
          </cell>
          <cell r="C190">
            <v>37017510</v>
          </cell>
          <cell r="D190" t="str">
            <v>MOD.08</v>
          </cell>
          <cell r="E190" t="str">
            <v>Oper Maqs Florestais I Grua</v>
          </cell>
          <cell r="F190">
            <v>373114</v>
          </cell>
          <cell r="G190" t="str">
            <v>THIAGO MARIA PROENCA ALMEIDA</v>
          </cell>
          <cell r="H190">
            <v>20069654</v>
          </cell>
          <cell r="I190">
            <v>45447</v>
          </cell>
          <cell r="J190"/>
        </row>
        <row r="191">
          <cell r="B191" t="str">
            <v>WAGNER ALEXANDRE DOS SANTOS SILVA</v>
          </cell>
          <cell r="C191">
            <v>37006910</v>
          </cell>
          <cell r="D191" t="str">
            <v>MOD.08</v>
          </cell>
          <cell r="E191" t="str">
            <v>Assistente Operador Carregamento Grua</v>
          </cell>
          <cell r="F191">
            <v>373114</v>
          </cell>
          <cell r="G191" t="str">
            <v>THIAGO MARIA PROENCA ALMEIDA</v>
          </cell>
          <cell r="H191">
            <v>20021273</v>
          </cell>
          <cell r="I191">
            <v>44550</v>
          </cell>
          <cell r="J191"/>
        </row>
        <row r="192">
          <cell r="B192" t="str">
            <v>Wellington Cordeiro Enoque</v>
          </cell>
          <cell r="C192">
            <v>37010059</v>
          </cell>
          <cell r="D192" t="str">
            <v>MOD.08</v>
          </cell>
          <cell r="E192" t="str">
            <v>Assistente Operador Carregamento Grua</v>
          </cell>
          <cell r="F192">
            <v>373114</v>
          </cell>
          <cell r="G192" t="str">
            <v>THIAGO MARIA PROENCA ALMEIDA</v>
          </cell>
          <cell r="H192">
            <v>20038164</v>
          </cell>
          <cell r="I192">
            <v>44881</v>
          </cell>
          <cell r="J192"/>
        </row>
        <row r="193">
          <cell r="B193" t="str">
            <v>WANDERLEY RODRIGUES DA SILVA JUNIOR</v>
          </cell>
          <cell r="C193">
            <v>37012197</v>
          </cell>
          <cell r="D193" t="str">
            <v>MOD.08</v>
          </cell>
          <cell r="E193" t="str">
            <v>TECN OPERACOES FLORESTAIS II</v>
          </cell>
          <cell r="F193">
            <v>373105</v>
          </cell>
          <cell r="G193" t="str">
            <v>THIAGO MARIA PROENCA ALMEIDA</v>
          </cell>
          <cell r="H193">
            <v>20048548</v>
          </cell>
          <cell r="I193">
            <v>45034</v>
          </cell>
          <cell r="J193"/>
        </row>
        <row r="194">
          <cell r="B194" t="str">
            <v>EDERVANDSON BRITO FERREIRA</v>
          </cell>
          <cell r="C194">
            <v>37017036</v>
          </cell>
          <cell r="D194" t="str">
            <v>MOD.08</v>
          </cell>
          <cell r="E194" t="str">
            <v>OPERADOR DE ESTRADAS II</v>
          </cell>
          <cell r="F194">
            <v>373116</v>
          </cell>
          <cell r="G194" t="str">
            <v>THIAGO MARIA PROENCA ALMEIDA</v>
          </cell>
          <cell r="H194">
            <v>20066635</v>
          </cell>
          <cell r="I194">
            <v>45384</v>
          </cell>
          <cell r="J194"/>
        </row>
        <row r="195">
          <cell r="B195" t="str">
            <v>EDSON EDVALDO CAMILLO</v>
          </cell>
          <cell r="C195">
            <v>37017084</v>
          </cell>
          <cell r="D195" t="str">
            <v>MOD.08</v>
          </cell>
          <cell r="E195" t="str">
            <v>OPERADOR DE ESTRADAS II</v>
          </cell>
          <cell r="F195">
            <v>373116</v>
          </cell>
          <cell r="G195" t="str">
            <v>THIAGO MARIA PROENCA ALMEIDA</v>
          </cell>
          <cell r="H195">
            <v>20067078</v>
          </cell>
          <cell r="I195">
            <v>45384</v>
          </cell>
          <cell r="J195"/>
        </row>
        <row r="196">
          <cell r="B196" t="str">
            <v>MARCOS VINICIUS SOARES DA SILVA</v>
          </cell>
          <cell r="C196">
            <v>37017985</v>
          </cell>
          <cell r="D196" t="str">
            <v>MOD.08</v>
          </cell>
          <cell r="E196" t="str">
            <v>OPERADOR DE ESTRADAS III</v>
          </cell>
          <cell r="F196">
            <v>373116</v>
          </cell>
          <cell r="G196" t="str">
            <v>THIAGO MARIA PROENCA ALMEIDA</v>
          </cell>
          <cell r="H196">
            <v>20056390</v>
          </cell>
          <cell r="I196">
            <v>45447</v>
          </cell>
          <cell r="J196"/>
        </row>
        <row r="197">
          <cell r="B197" t="str">
            <v>Paulo Sergio Anzolin</v>
          </cell>
          <cell r="C197">
            <v>37017222</v>
          </cell>
          <cell r="D197" t="str">
            <v>MOD.08</v>
          </cell>
          <cell r="E197" t="str">
            <v>OPERADOR DE ESTRADAS III</v>
          </cell>
          <cell r="F197">
            <v>373116</v>
          </cell>
          <cell r="G197" t="str">
            <v>THIAGO MARIA PROENCA ALMEIDA</v>
          </cell>
          <cell r="H197">
            <v>20052324</v>
          </cell>
          <cell r="I197">
            <v>45398</v>
          </cell>
          <cell r="J197"/>
        </row>
        <row r="198">
          <cell r="B198" t="str">
            <v>Adriano Sanabria Flores Monte Serrat</v>
          </cell>
          <cell r="C198">
            <v>37006608</v>
          </cell>
          <cell r="D198" t="str">
            <v>MOD.09</v>
          </cell>
          <cell r="E198" t="str">
            <v>Supervisor Logistica Florestal - Transporte</v>
          </cell>
          <cell r="F198">
            <v>373105</v>
          </cell>
          <cell r="G198" t="str">
            <v>Angelo Antonio Martins Taparo</v>
          </cell>
          <cell r="H198">
            <v>20018176</v>
          </cell>
          <cell r="I198">
            <v>44487</v>
          </cell>
          <cell r="J198"/>
        </row>
        <row r="199">
          <cell r="B199" t="str">
            <v>Elias Paulo da Silva</v>
          </cell>
          <cell r="C199">
            <v>37013006</v>
          </cell>
          <cell r="D199" t="str">
            <v>MOD.09</v>
          </cell>
          <cell r="E199" t="str">
            <v>TECN OPERACOES FLORESTAIS II</v>
          </cell>
          <cell r="F199"/>
          <cell r="G199" t="str">
            <v>ADRIANO SANABRIA</v>
          </cell>
          <cell r="H199">
            <v>20052425</v>
          </cell>
          <cell r="I199">
            <v>45083</v>
          </cell>
          <cell r="J199"/>
        </row>
        <row r="200">
          <cell r="B200" t="str">
            <v>FRANK CEL DE SOUZA LIRA</v>
          </cell>
          <cell r="C200">
            <v>37010940</v>
          </cell>
          <cell r="D200" t="str">
            <v>MOD.09</v>
          </cell>
          <cell r="E200" t="str">
            <v>TECN OPERACOES FLORESTAIS II</v>
          </cell>
          <cell r="F200"/>
          <cell r="G200" t="str">
            <v>ADRIANO SANABRIA</v>
          </cell>
          <cell r="H200">
            <v>20041612</v>
          </cell>
          <cell r="I200">
            <v>44949</v>
          </cell>
          <cell r="J200"/>
        </row>
        <row r="201">
          <cell r="B201" t="str">
            <v>Marcio Nogueira Dos Santos</v>
          </cell>
          <cell r="C201">
            <v>37009387</v>
          </cell>
          <cell r="D201" t="str">
            <v>MOD.09</v>
          </cell>
          <cell r="E201" t="str">
            <v>TECN OPERACOES FLORESTAIS II - estradas</v>
          </cell>
          <cell r="F201"/>
          <cell r="G201" t="str">
            <v>ADRIANO SANABRIA</v>
          </cell>
          <cell r="H201">
            <v>20033693</v>
          </cell>
          <cell r="I201">
            <v>44816</v>
          </cell>
          <cell r="J201"/>
        </row>
        <row r="202">
          <cell r="B202" t="str">
            <v>RICARDO MONZANI</v>
          </cell>
          <cell r="C202">
            <v>37003203</v>
          </cell>
          <cell r="D202" t="str">
            <v>MOD.10</v>
          </cell>
          <cell r="E202" t="str">
            <v>TECN OPERACOES FLORESTAIS III</v>
          </cell>
          <cell r="F202">
            <v>373105</v>
          </cell>
          <cell r="G202" t="str">
            <v>THIAGO MARIA PROENCA ALMEIDA</v>
          </cell>
          <cell r="H202">
            <v>20009839</v>
          </cell>
          <cell r="I202">
            <v>43605</v>
          </cell>
          <cell r="J202"/>
        </row>
        <row r="203">
          <cell r="B203" t="str">
            <v>GILLIARD LEPINSCK</v>
          </cell>
          <cell r="C203">
            <v>37014825</v>
          </cell>
          <cell r="D203" t="str">
            <v>MOD.11</v>
          </cell>
          <cell r="E203" t="str">
            <v>Supervisor Logistica Florestal</v>
          </cell>
          <cell r="F203">
            <v>373110</v>
          </cell>
          <cell r="G203" t="str">
            <v xml:space="preserve">Djalma de Freitas Ribeiro Neto </v>
          </cell>
          <cell r="H203">
            <v>20060104</v>
          </cell>
          <cell r="I203">
            <v>45202</v>
          </cell>
          <cell r="J203"/>
        </row>
        <row r="204">
          <cell r="B204" t="str">
            <v>Denilson Paulo Amaral</v>
          </cell>
          <cell r="C204">
            <v>37016876</v>
          </cell>
          <cell r="D204" t="str">
            <v>MOD.11</v>
          </cell>
          <cell r="E204" t="str">
            <v>TECN OPERACOES FLORESTAIS II</v>
          </cell>
          <cell r="F204">
            <v>373105</v>
          </cell>
          <cell r="G204" t="str">
            <v>GILLIARD LEPINSCK</v>
          </cell>
          <cell r="H204">
            <v>20065472</v>
          </cell>
          <cell r="I204">
            <v>45363</v>
          </cell>
          <cell r="J204"/>
        </row>
        <row r="205">
          <cell r="B205" t="str">
            <v>RAFAEL HENRIQUE DE LIMA</v>
          </cell>
          <cell r="C205">
            <v>37011935</v>
          </cell>
          <cell r="D205" t="str">
            <v>MOD.11</v>
          </cell>
          <cell r="E205" t="str">
            <v>TECN OPERACOES FLORESTAIS II</v>
          </cell>
          <cell r="F205">
            <v>373105</v>
          </cell>
          <cell r="G205" t="str">
            <v>GILLIARD LEPINSCK</v>
          </cell>
          <cell r="H205">
            <v>20046764</v>
          </cell>
          <cell r="I205">
            <v>45019</v>
          </cell>
          <cell r="J205"/>
        </row>
        <row r="206">
          <cell r="B206" t="str">
            <v>Itamar Magela Severiano</v>
          </cell>
          <cell r="C206">
            <v>37019476</v>
          </cell>
          <cell r="D206" t="str">
            <v>MOD.11</v>
          </cell>
          <cell r="E206" t="str">
            <v>TECN OPERACOES FLORESTAIS II</v>
          </cell>
          <cell r="F206">
            <v>373105</v>
          </cell>
          <cell r="G206" t="str">
            <v>GILLIARD LEPINSCK</v>
          </cell>
          <cell r="H206">
            <v>20078661</v>
          </cell>
          <cell r="I206">
            <v>45573</v>
          </cell>
          <cell r="J206"/>
        </row>
        <row r="207">
          <cell r="B207" t="str">
            <v>Rafael Machado Reis</v>
          </cell>
          <cell r="C207">
            <v>37020285</v>
          </cell>
          <cell r="D207" t="str">
            <v>MOD.ITINERANTE</v>
          </cell>
          <cell r="E207" t="str">
            <v>OPERADOR DE ESTRADAS III</v>
          </cell>
          <cell r="F207"/>
          <cell r="G207" t="str">
            <v>Vanderlei Jose Honorio</v>
          </cell>
          <cell r="H207">
            <v>20083244</v>
          </cell>
          <cell r="I207">
            <v>45636</v>
          </cell>
          <cell r="J207"/>
        </row>
        <row r="208">
          <cell r="B208" t="str">
            <v>Nilton Cesar Moreira Ribeiro</v>
          </cell>
          <cell r="C208">
            <v>37020100</v>
          </cell>
          <cell r="D208" t="str">
            <v>MOD.ITINERANTE</v>
          </cell>
          <cell r="E208" t="str">
            <v>MOTORISTA II</v>
          </cell>
          <cell r="F208"/>
          <cell r="G208" t="str">
            <v>Vanderlei Jose Honorio</v>
          </cell>
          <cell r="H208">
            <v>20082552</v>
          </cell>
          <cell r="I208">
            <v>45629</v>
          </cell>
          <cell r="J208"/>
        </row>
        <row r="209">
          <cell r="B209" t="str">
            <v>Luiz Antonio Cardoso</v>
          </cell>
          <cell r="C209">
            <v>37020281</v>
          </cell>
          <cell r="D209" t="str">
            <v>MOD.ITINERANTE</v>
          </cell>
          <cell r="E209" t="str">
            <v>OPERADOR DE ESTRADAS III</v>
          </cell>
          <cell r="F209"/>
          <cell r="G209" t="str">
            <v>Vanderlei Jose Honorio</v>
          </cell>
          <cell r="H209">
            <v>20083240</v>
          </cell>
          <cell r="I209">
            <v>45636</v>
          </cell>
          <cell r="J209"/>
        </row>
        <row r="210">
          <cell r="B210" t="str">
            <v>Hailton Cunha Brito</v>
          </cell>
          <cell r="C210">
            <v>37020297</v>
          </cell>
          <cell r="D210" t="str">
            <v>MOD.ITINERANTE</v>
          </cell>
          <cell r="E210" t="str">
            <v>OPERADOR DE ESTRADAS II</v>
          </cell>
          <cell r="F210"/>
          <cell r="G210" t="str">
            <v>Vanderlei Jose Honorio</v>
          </cell>
          <cell r="H210">
            <v>20083256</v>
          </cell>
          <cell r="I210">
            <v>45636</v>
          </cell>
          <cell r="J210"/>
        </row>
        <row r="211">
          <cell r="B211" t="str">
            <v>VANDERLEI JOSE HONORIO</v>
          </cell>
          <cell r="C211">
            <v>37005557</v>
          </cell>
          <cell r="D211" t="str">
            <v>MOD.NOTURNO</v>
          </cell>
          <cell r="E211" t="str">
            <v>Supervisor Logistica Florestal</v>
          </cell>
          <cell r="F211">
            <v>373105</v>
          </cell>
          <cell r="G211" t="str">
            <v>MARIO FRAIZ COELHO MAIA DE ANDRADE</v>
          </cell>
          <cell r="H211">
            <v>20013587</v>
          </cell>
          <cell r="I211">
            <v>44291</v>
          </cell>
          <cell r="J211"/>
        </row>
        <row r="212">
          <cell r="B212" t="str">
            <v>CAIO DE OLIVEIRA SILVA</v>
          </cell>
          <cell r="C212">
            <v>37008812</v>
          </cell>
          <cell r="D212" t="str">
            <v>MOD.NOTURNO</v>
          </cell>
          <cell r="E212" t="str">
            <v>TECN OPERACOES FLORESTAIS II</v>
          </cell>
          <cell r="F212">
            <v>373105</v>
          </cell>
          <cell r="G212" t="str">
            <v>VANDERLEI JOSE HONORIO</v>
          </cell>
          <cell r="H212">
            <v>20036622</v>
          </cell>
          <cell r="I212">
            <v>44777</v>
          </cell>
          <cell r="J212"/>
        </row>
        <row r="213">
          <cell r="B213" t="str">
            <v>EZEQUIEL MERCADANTE</v>
          </cell>
          <cell r="C213">
            <v>37016626</v>
          </cell>
          <cell r="D213" t="str">
            <v>MOD.NOTURNO</v>
          </cell>
          <cell r="E213" t="str">
            <v>TECN OPERACOES FLORESTAIS II</v>
          </cell>
          <cell r="F213">
            <v>373105</v>
          </cell>
          <cell r="G213" t="str">
            <v>VANDERLEI JOSE HONORIO</v>
          </cell>
          <cell r="H213">
            <v>20064721</v>
          </cell>
          <cell r="I213">
            <v>45342</v>
          </cell>
          <cell r="J213"/>
        </row>
        <row r="214">
          <cell r="B214" t="str">
            <v>JORGE LUIS FERNANDES</v>
          </cell>
          <cell r="C214">
            <v>37010474</v>
          </cell>
          <cell r="D214" t="str">
            <v>MOD.NOTURNO</v>
          </cell>
          <cell r="E214" t="str">
            <v>TECN OPERACOES FLORESTAIS II</v>
          </cell>
          <cell r="F214">
            <v>373105</v>
          </cell>
          <cell r="G214" t="str">
            <v>VANDERLEI JOSE HONORIO</v>
          </cell>
          <cell r="H214">
            <v>20040207</v>
          </cell>
          <cell r="I214">
            <v>44914</v>
          </cell>
          <cell r="J214"/>
        </row>
        <row r="215">
          <cell r="B215" t="str">
            <v>JULIO CRISTINO MORENO</v>
          </cell>
          <cell r="C215">
            <v>37001183</v>
          </cell>
          <cell r="D215" t="str">
            <v>MOD.NOTURNO</v>
          </cell>
          <cell r="E215" t="str">
            <v>TECN OPERACOES FLORESTAIS II</v>
          </cell>
          <cell r="F215">
            <v>373105</v>
          </cell>
          <cell r="G215" t="str">
            <v>VANDERLEI JOSE HONORIO</v>
          </cell>
          <cell r="H215">
            <v>20009437</v>
          </cell>
          <cell r="I215">
            <v>41386</v>
          </cell>
          <cell r="J215"/>
        </row>
        <row r="216">
          <cell r="B216" t="str">
            <v>LAERCIO DOS SANTOS CAMARGO</v>
          </cell>
          <cell r="C216">
            <v>37009320</v>
          </cell>
          <cell r="D216" t="str">
            <v>MOD.NOTURNO</v>
          </cell>
          <cell r="E216" t="str">
            <v>TECN OPERACOES FLORESTAIS II</v>
          </cell>
          <cell r="F216">
            <v>373105</v>
          </cell>
          <cell r="G216" t="str">
            <v>VANDERLEI JOSE HONORIO</v>
          </cell>
          <cell r="H216">
            <v>20032608</v>
          </cell>
          <cell r="I216">
            <v>44809</v>
          </cell>
          <cell r="J21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lanilha1"/>
      <sheetName val="Conferência mensal Maio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S"/>
      <sheetName val="Planilha1"/>
    </sheetNames>
    <sheetDataSet>
      <sheetData sheetId="0" refreshError="1">
        <row r="1">
          <cell r="A1" t="str">
            <v>NOME DO COLABORADOR</v>
          </cell>
          <cell r="B1" t="str">
            <v>ID SAP</v>
          </cell>
          <cell r="C1" t="str">
            <v>ID WD</v>
          </cell>
          <cell r="D1" t="str">
            <v>DATA DE ADMISSÃO</v>
          </cell>
        </row>
        <row r="2">
          <cell r="A2" t="str">
            <v>Pablo Bezerra Marques</v>
          </cell>
          <cell r="B2">
            <v>37004494</v>
          </cell>
          <cell r="C2">
            <v>20008264</v>
          </cell>
          <cell r="D2">
            <v>43906</v>
          </cell>
        </row>
        <row r="3">
          <cell r="A3" t="str">
            <v>Azenildo De Lima</v>
          </cell>
          <cell r="B3">
            <v>37000598</v>
          </cell>
          <cell r="C3">
            <v>20008693</v>
          </cell>
          <cell r="D3">
            <v>39468</v>
          </cell>
        </row>
        <row r="4">
          <cell r="A4" t="str">
            <v>Claudemir Cadastro Eiras</v>
          </cell>
          <cell r="B4">
            <v>37003139</v>
          </cell>
          <cell r="C4">
            <v>20008800</v>
          </cell>
          <cell r="D4">
            <v>43588</v>
          </cell>
        </row>
        <row r="5">
          <cell r="A5" t="str">
            <v>Maria Madalena Da Silva</v>
          </cell>
          <cell r="B5">
            <v>37000756</v>
          </cell>
          <cell r="C5">
            <v>20009650</v>
          </cell>
          <cell r="D5">
            <v>40252</v>
          </cell>
        </row>
        <row r="6">
          <cell r="A6" t="str">
            <v>Natal De Jesus Martins</v>
          </cell>
          <cell r="B6">
            <v>37000641</v>
          </cell>
          <cell r="C6">
            <v>20009711</v>
          </cell>
          <cell r="D6">
            <v>39573</v>
          </cell>
        </row>
        <row r="7">
          <cell r="A7" t="str">
            <v>Raimunda Silvestre Dos Santos</v>
          </cell>
          <cell r="B7">
            <v>37001278</v>
          </cell>
          <cell r="C7">
            <v>20009811</v>
          </cell>
          <cell r="D7">
            <v>41610</v>
          </cell>
        </row>
        <row r="8">
          <cell r="A8" t="str">
            <v>Claudemir Aparecido Vieira Ribeiro</v>
          </cell>
          <cell r="B8">
            <v>37003179</v>
          </cell>
          <cell r="C8">
            <v>20008799</v>
          </cell>
          <cell r="D8">
            <v>43598</v>
          </cell>
        </row>
        <row r="9">
          <cell r="A9" t="str">
            <v>Marcio Eduardo Campanhoni</v>
          </cell>
          <cell r="B9">
            <v>37000913</v>
          </cell>
          <cell r="C9">
            <v>20009608</v>
          </cell>
          <cell r="D9">
            <v>40756</v>
          </cell>
        </row>
        <row r="10">
          <cell r="A10" t="str">
            <v>Leandro Luciano Dos Anjos</v>
          </cell>
          <cell r="B10">
            <v>37005638</v>
          </cell>
          <cell r="C10">
            <v>20013940</v>
          </cell>
          <cell r="D10">
            <v>44326</v>
          </cell>
        </row>
        <row r="11">
          <cell r="A11" t="str">
            <v>Everton Aparecido Da Silva</v>
          </cell>
          <cell r="B11">
            <v>37005686</v>
          </cell>
          <cell r="C11">
            <v>20014388</v>
          </cell>
          <cell r="D11">
            <v>44333</v>
          </cell>
        </row>
        <row r="12">
          <cell r="A12" t="str">
            <v>Jhonatan Moreira Cunha</v>
          </cell>
          <cell r="B12">
            <v>37005688</v>
          </cell>
          <cell r="C12">
            <v>20014390</v>
          </cell>
          <cell r="D12">
            <v>44333</v>
          </cell>
        </row>
        <row r="13">
          <cell r="A13" t="str">
            <v>Danilo Pereira Macario</v>
          </cell>
          <cell r="B13">
            <v>37005341</v>
          </cell>
          <cell r="C13">
            <v>20014612</v>
          </cell>
          <cell r="D13">
            <v>44235</v>
          </cell>
        </row>
        <row r="14">
          <cell r="A14" t="str">
            <v>Jose Junior Rocha</v>
          </cell>
          <cell r="B14">
            <v>37005794</v>
          </cell>
          <cell r="C14">
            <v>20015608</v>
          </cell>
          <cell r="D14">
            <v>44348</v>
          </cell>
        </row>
        <row r="15">
          <cell r="A15" t="str">
            <v>Renato Taceo Pinheiro</v>
          </cell>
          <cell r="B15">
            <v>37005848</v>
          </cell>
          <cell r="C15">
            <v>20015620</v>
          </cell>
          <cell r="D15">
            <v>44361</v>
          </cell>
        </row>
        <row r="16">
          <cell r="A16" t="str">
            <v>Jose Alessandro Bueno</v>
          </cell>
          <cell r="B16">
            <v>37005856</v>
          </cell>
          <cell r="C16">
            <v>20016076</v>
          </cell>
          <cell r="D16">
            <v>44361</v>
          </cell>
        </row>
        <row r="17">
          <cell r="A17" t="str">
            <v>Mario Washington Barbosa De Oliveira Ram</v>
          </cell>
          <cell r="B17" t="e">
            <v>#N/A</v>
          </cell>
          <cell r="C17">
            <v>20016084</v>
          </cell>
          <cell r="D17" t="e">
            <v>#N/A</v>
          </cell>
        </row>
        <row r="18">
          <cell r="A18" t="str">
            <v>Fabiano Correa Damasceno</v>
          </cell>
          <cell r="B18">
            <v>37005983</v>
          </cell>
          <cell r="C18">
            <v>20016785</v>
          </cell>
          <cell r="D18">
            <v>44382</v>
          </cell>
        </row>
        <row r="19">
          <cell r="A19" t="str">
            <v>Valter Nunes</v>
          </cell>
          <cell r="B19">
            <v>37005989</v>
          </cell>
          <cell r="C19">
            <v>20016791</v>
          </cell>
          <cell r="D19">
            <v>44382</v>
          </cell>
        </row>
        <row r="20">
          <cell r="A20" t="str">
            <v>Graziela Aparecida Da Silva</v>
          </cell>
          <cell r="B20">
            <v>37006321</v>
          </cell>
          <cell r="C20">
            <v>20017048</v>
          </cell>
          <cell r="D20">
            <v>44447</v>
          </cell>
        </row>
        <row r="21">
          <cell r="A21" t="str">
            <v>Lucio Cardoso Nunes</v>
          </cell>
          <cell r="B21">
            <v>37006322</v>
          </cell>
          <cell r="C21">
            <v>20017049</v>
          </cell>
          <cell r="D21">
            <v>44447</v>
          </cell>
        </row>
        <row r="22">
          <cell r="A22" t="str">
            <v>Aguinaldo Ferraz Da Silva</v>
          </cell>
          <cell r="B22">
            <v>37006323</v>
          </cell>
          <cell r="C22">
            <v>20017050</v>
          </cell>
          <cell r="D22">
            <v>44447</v>
          </cell>
        </row>
        <row r="23">
          <cell r="A23" t="str">
            <v>Marcelo Da Silva Sousa</v>
          </cell>
          <cell r="B23">
            <v>37006330</v>
          </cell>
          <cell r="C23">
            <v>20017057</v>
          </cell>
          <cell r="D23">
            <v>44447</v>
          </cell>
        </row>
        <row r="24">
          <cell r="A24" t="str">
            <v>Jose Alexandre Monzani</v>
          </cell>
          <cell r="B24">
            <v>37006338</v>
          </cell>
          <cell r="C24">
            <v>20017065</v>
          </cell>
          <cell r="D24">
            <v>44447</v>
          </cell>
        </row>
        <row r="25">
          <cell r="A25" t="str">
            <v>Edmilson De Jesus Da Silva</v>
          </cell>
          <cell r="B25">
            <v>37006344</v>
          </cell>
          <cell r="C25">
            <v>20017071</v>
          </cell>
          <cell r="D25">
            <v>44447</v>
          </cell>
        </row>
        <row r="26">
          <cell r="A26" t="str">
            <v>Carlos Eduardo Monteiro Barroso</v>
          </cell>
          <cell r="B26">
            <v>37006365</v>
          </cell>
          <cell r="C26">
            <v>20017092</v>
          </cell>
          <cell r="D26">
            <v>44447</v>
          </cell>
        </row>
        <row r="27">
          <cell r="A27" t="str">
            <v>Cleildo Pereira De Andrade</v>
          </cell>
          <cell r="B27">
            <v>37006456</v>
          </cell>
          <cell r="C27">
            <v>20017968</v>
          </cell>
          <cell r="D27">
            <v>44459</v>
          </cell>
        </row>
        <row r="28">
          <cell r="A28" t="str">
            <v>Cristiano Dias De Franca</v>
          </cell>
          <cell r="B28">
            <v>37006388</v>
          </cell>
          <cell r="C28">
            <v>20018080</v>
          </cell>
          <cell r="D28">
            <v>44452</v>
          </cell>
        </row>
        <row r="29">
          <cell r="A29" t="str">
            <v>Victor Avelino</v>
          </cell>
          <cell r="B29">
            <v>37006408</v>
          </cell>
          <cell r="C29">
            <v>20018093</v>
          </cell>
          <cell r="D29">
            <v>44452</v>
          </cell>
        </row>
        <row r="30">
          <cell r="A30" t="str">
            <v>Wilian Barbosa Rodrigues</v>
          </cell>
          <cell r="B30">
            <v>37006412</v>
          </cell>
          <cell r="C30">
            <v>20018105</v>
          </cell>
          <cell r="D30">
            <v>44452</v>
          </cell>
        </row>
        <row r="31">
          <cell r="A31" t="str">
            <v>Diego Dias Da Silva</v>
          </cell>
          <cell r="B31">
            <v>37006598</v>
          </cell>
          <cell r="C31">
            <v>20018168</v>
          </cell>
          <cell r="D31">
            <v>44482</v>
          </cell>
        </row>
        <row r="32">
          <cell r="A32" t="str">
            <v>Marcos Maciel Salau</v>
          </cell>
          <cell r="B32">
            <v>37006600</v>
          </cell>
          <cell r="C32">
            <v>20018170</v>
          </cell>
          <cell r="D32">
            <v>44482</v>
          </cell>
        </row>
        <row r="33">
          <cell r="A33" t="str">
            <v>Maria Antonia De Castro Diniz</v>
          </cell>
          <cell r="B33">
            <v>37006680</v>
          </cell>
          <cell r="C33">
            <v>20018757</v>
          </cell>
          <cell r="D33">
            <v>44503</v>
          </cell>
        </row>
        <row r="34">
          <cell r="A34" t="str">
            <v>Jessica Pereira Da Silva</v>
          </cell>
          <cell r="B34">
            <v>37006691</v>
          </cell>
          <cell r="C34">
            <v>20018764</v>
          </cell>
          <cell r="D34">
            <v>44503</v>
          </cell>
        </row>
        <row r="35">
          <cell r="A35" t="str">
            <v>Paulo Fernandes De Melo</v>
          </cell>
          <cell r="B35">
            <v>37006696</v>
          </cell>
          <cell r="C35">
            <v>20018769</v>
          </cell>
          <cell r="D35">
            <v>44503</v>
          </cell>
        </row>
        <row r="36">
          <cell r="A36" t="str">
            <v>Ricardo De Oliveira</v>
          </cell>
          <cell r="B36">
            <v>37006711</v>
          </cell>
          <cell r="C36">
            <v>20018779</v>
          </cell>
          <cell r="D36">
            <v>44508</v>
          </cell>
        </row>
        <row r="37">
          <cell r="A37" t="str">
            <v>Luis Antonio Da Silva</v>
          </cell>
          <cell r="B37">
            <v>37006718</v>
          </cell>
          <cell r="C37">
            <v>20018795</v>
          </cell>
          <cell r="D37">
            <v>44516</v>
          </cell>
        </row>
        <row r="38">
          <cell r="A38" t="str">
            <v>Adilson Clarindo Alves</v>
          </cell>
          <cell r="B38">
            <v>37006741</v>
          </cell>
          <cell r="C38">
            <v>20018803</v>
          </cell>
          <cell r="D38">
            <v>44516</v>
          </cell>
        </row>
        <row r="39">
          <cell r="A39" t="str">
            <v>Arcelino Schauffler De Oliveira</v>
          </cell>
          <cell r="B39">
            <v>37006841</v>
          </cell>
          <cell r="C39">
            <v>20020017</v>
          </cell>
          <cell r="D39">
            <v>44536</v>
          </cell>
        </row>
        <row r="40">
          <cell r="A40" t="str">
            <v>Marina Favero Mendes</v>
          </cell>
          <cell r="B40">
            <v>37006849</v>
          </cell>
          <cell r="C40">
            <v>20020026</v>
          </cell>
          <cell r="D40">
            <v>44536</v>
          </cell>
        </row>
        <row r="41">
          <cell r="A41" t="str">
            <v>Luan Alves Da Silva</v>
          </cell>
          <cell r="B41">
            <v>37006858</v>
          </cell>
          <cell r="C41">
            <v>20020033</v>
          </cell>
          <cell r="D41">
            <v>44536</v>
          </cell>
        </row>
        <row r="42">
          <cell r="A42" t="str">
            <v>Jose Antonio Silva Brito</v>
          </cell>
          <cell r="B42">
            <v>37006861</v>
          </cell>
          <cell r="C42">
            <v>20020036</v>
          </cell>
          <cell r="D42">
            <v>44536</v>
          </cell>
        </row>
        <row r="43">
          <cell r="A43" t="str">
            <v>Osvaldo Zacharias</v>
          </cell>
          <cell r="B43">
            <v>37006877</v>
          </cell>
          <cell r="C43">
            <v>20020049</v>
          </cell>
          <cell r="D43">
            <v>44539</v>
          </cell>
        </row>
        <row r="44">
          <cell r="A44" t="str">
            <v>Joaquim Dourado Da Silva</v>
          </cell>
          <cell r="B44">
            <v>37006883</v>
          </cell>
          <cell r="C44">
            <v>20020052</v>
          </cell>
          <cell r="D44">
            <v>44539</v>
          </cell>
        </row>
        <row r="45">
          <cell r="A45" t="str">
            <v>John Lennon Dutra Da Silva</v>
          </cell>
          <cell r="B45">
            <v>37006969</v>
          </cell>
          <cell r="C45">
            <v>20021020</v>
          </cell>
          <cell r="D45">
            <v>44571</v>
          </cell>
        </row>
        <row r="46">
          <cell r="A46" t="str">
            <v>Adriano Valerio</v>
          </cell>
          <cell r="B46">
            <v>37006971</v>
          </cell>
          <cell r="C46">
            <v>20021022</v>
          </cell>
          <cell r="D46">
            <v>44571</v>
          </cell>
        </row>
        <row r="47">
          <cell r="A47" t="str">
            <v>Adriano Rodrigo De Oliveira</v>
          </cell>
          <cell r="B47">
            <v>37006972</v>
          </cell>
          <cell r="C47">
            <v>20021023</v>
          </cell>
          <cell r="D47">
            <v>44571</v>
          </cell>
        </row>
        <row r="48">
          <cell r="A48" t="str">
            <v>Rodrigo Marcelino Dos Santos Silva</v>
          </cell>
          <cell r="B48">
            <v>37006973</v>
          </cell>
          <cell r="C48">
            <v>20021024</v>
          </cell>
          <cell r="D48">
            <v>44571</v>
          </cell>
        </row>
        <row r="49">
          <cell r="A49" t="str">
            <v>Jose Wagner Rodrigues</v>
          </cell>
          <cell r="B49">
            <v>37007011</v>
          </cell>
          <cell r="C49">
            <v>20021045</v>
          </cell>
          <cell r="D49">
            <v>44578</v>
          </cell>
        </row>
        <row r="50">
          <cell r="A50" t="str">
            <v>Ezequiel Ferreira Da Silva</v>
          </cell>
          <cell r="B50">
            <v>37007016</v>
          </cell>
          <cell r="C50">
            <v>20021049</v>
          </cell>
          <cell r="D50">
            <v>44578</v>
          </cell>
        </row>
        <row r="51">
          <cell r="A51" t="str">
            <v>Alailson Pereira</v>
          </cell>
          <cell r="B51">
            <v>37006901</v>
          </cell>
          <cell r="C51">
            <v>20021300</v>
          </cell>
          <cell r="D51">
            <v>44550</v>
          </cell>
        </row>
        <row r="52">
          <cell r="A52" t="str">
            <v>Sidnei Vieira</v>
          </cell>
          <cell r="B52">
            <v>37006902</v>
          </cell>
          <cell r="C52">
            <v>20021301</v>
          </cell>
          <cell r="D52">
            <v>44550</v>
          </cell>
        </row>
        <row r="53">
          <cell r="A53" t="str">
            <v>Paulo Cesar Vicente</v>
          </cell>
          <cell r="B53">
            <v>37006922</v>
          </cell>
          <cell r="C53">
            <v>20021304</v>
          </cell>
          <cell r="D53">
            <v>44550</v>
          </cell>
        </row>
        <row r="54">
          <cell r="A54" t="str">
            <v>Marcelo Romano Da Silva</v>
          </cell>
          <cell r="B54">
            <v>37007023</v>
          </cell>
          <cell r="C54">
            <v>20021311</v>
          </cell>
          <cell r="D54">
            <v>44578</v>
          </cell>
        </row>
        <row r="55">
          <cell r="A55" t="str">
            <v>Marcos Elias De Freitas Togneti</v>
          </cell>
          <cell r="B55">
            <v>37007052</v>
          </cell>
          <cell r="C55">
            <v>20022868</v>
          </cell>
          <cell r="D55">
            <v>44593</v>
          </cell>
        </row>
        <row r="56">
          <cell r="A56" t="str">
            <v>Juliano Roberto Demai</v>
          </cell>
          <cell r="B56">
            <v>37007056</v>
          </cell>
          <cell r="C56">
            <v>20022872</v>
          </cell>
          <cell r="D56">
            <v>44593</v>
          </cell>
        </row>
        <row r="57">
          <cell r="A57" t="str">
            <v>Luiz Carlos Felix Filho</v>
          </cell>
          <cell r="B57">
            <v>37003287</v>
          </cell>
          <cell r="C57">
            <v>20009556</v>
          </cell>
          <cell r="D57">
            <v>43633</v>
          </cell>
        </row>
        <row r="58">
          <cell r="A58" t="str">
            <v>Lucas Barbosa</v>
          </cell>
          <cell r="B58">
            <v>37005232</v>
          </cell>
          <cell r="C58">
            <v>20011097</v>
          </cell>
          <cell r="D58">
            <v>44123</v>
          </cell>
        </row>
        <row r="59">
          <cell r="A59" t="str">
            <v>Luis Paulo Aparecido Ribeiro</v>
          </cell>
          <cell r="B59">
            <v>37007493</v>
          </cell>
          <cell r="C59">
            <v>20025572</v>
          </cell>
          <cell r="D59">
            <v>44669</v>
          </cell>
        </row>
        <row r="60">
          <cell r="A60" t="str">
            <v>Leandro Zacarias Dos Santos</v>
          </cell>
          <cell r="B60">
            <v>37007655</v>
          </cell>
          <cell r="C60">
            <v>20025680</v>
          </cell>
          <cell r="D60">
            <v>44683</v>
          </cell>
        </row>
        <row r="61">
          <cell r="A61" t="str">
            <v>Gustavo Nunes Maciel</v>
          </cell>
          <cell r="B61">
            <v>37007715</v>
          </cell>
          <cell r="C61">
            <v>20025788</v>
          </cell>
          <cell r="D61">
            <v>44690</v>
          </cell>
        </row>
        <row r="62">
          <cell r="A62" t="str">
            <v>Reinaldo Aparecido Piotto</v>
          </cell>
          <cell r="B62">
            <v>37007831</v>
          </cell>
          <cell r="C62">
            <v>20026021</v>
          </cell>
          <cell r="D62">
            <v>44704</v>
          </cell>
        </row>
        <row r="63">
          <cell r="A63" t="str">
            <v>Cristiane Emidio Elias</v>
          </cell>
          <cell r="B63">
            <v>37007801</v>
          </cell>
          <cell r="C63">
            <v>20026022</v>
          </cell>
          <cell r="D63">
            <v>44704</v>
          </cell>
        </row>
        <row r="64">
          <cell r="A64" t="str">
            <v>Vanderlei Miguel Da Silva</v>
          </cell>
          <cell r="B64">
            <v>37008073</v>
          </cell>
          <cell r="C64">
            <v>20026783</v>
          </cell>
          <cell r="D64">
            <v>44713</v>
          </cell>
        </row>
        <row r="65">
          <cell r="A65" t="str">
            <v>Valter Alves Cunha</v>
          </cell>
          <cell r="B65">
            <v>37008072</v>
          </cell>
          <cell r="C65">
            <v>20026784</v>
          </cell>
          <cell r="D65">
            <v>44713</v>
          </cell>
        </row>
        <row r="66">
          <cell r="A66" t="str">
            <v>Paulo Nogueira</v>
          </cell>
          <cell r="B66">
            <v>37007972</v>
          </cell>
          <cell r="C66">
            <v>20026785</v>
          </cell>
          <cell r="D66">
            <v>44713</v>
          </cell>
        </row>
        <row r="67">
          <cell r="A67" t="str">
            <v>Katia Elaine Dos Santos</v>
          </cell>
          <cell r="B67">
            <v>37009156</v>
          </cell>
          <cell r="C67">
            <v>20031838</v>
          </cell>
          <cell r="D67">
            <v>44795</v>
          </cell>
        </row>
        <row r="68">
          <cell r="A68" t="str">
            <v>Jaqueline Pereira Lima</v>
          </cell>
          <cell r="B68">
            <v>37009290</v>
          </cell>
          <cell r="C68">
            <v>20032957</v>
          </cell>
          <cell r="D68">
            <v>44809</v>
          </cell>
        </row>
        <row r="69">
          <cell r="A69" t="str">
            <v>Giovana Lucia De Lima</v>
          </cell>
          <cell r="B69">
            <v>37009345</v>
          </cell>
          <cell r="C69">
            <v>20033097</v>
          </cell>
          <cell r="D69">
            <v>44809</v>
          </cell>
        </row>
        <row r="70">
          <cell r="A70" t="str">
            <v>Joao Henrique Giorgetti</v>
          </cell>
          <cell r="B70">
            <v>37009403</v>
          </cell>
          <cell r="C70">
            <v>20033697</v>
          </cell>
          <cell r="D70">
            <v>44816</v>
          </cell>
        </row>
        <row r="71">
          <cell r="A71" t="str">
            <v>Bianca Araujo Candido</v>
          </cell>
          <cell r="B71">
            <v>37009457</v>
          </cell>
          <cell r="C71">
            <v>20034179</v>
          </cell>
          <cell r="D71">
            <v>44823</v>
          </cell>
        </row>
        <row r="72">
          <cell r="A72" t="str">
            <v>Tiago Maicon Rezende Da Silva</v>
          </cell>
          <cell r="B72">
            <v>37008795</v>
          </cell>
          <cell r="C72">
            <v>20034597</v>
          </cell>
          <cell r="D72">
            <v>44774</v>
          </cell>
        </row>
        <row r="73">
          <cell r="A73" t="str">
            <v>Douglas Mariano De Souza</v>
          </cell>
          <cell r="B73">
            <v>37004160</v>
          </cell>
          <cell r="C73">
            <v>20008927</v>
          </cell>
          <cell r="D73">
            <v>43850</v>
          </cell>
        </row>
        <row r="74">
          <cell r="A74" t="str">
            <v>Mateus Henrique Gomes</v>
          </cell>
          <cell r="B74">
            <v>37004391</v>
          </cell>
          <cell r="C74">
            <v>20009667</v>
          </cell>
          <cell r="D74">
            <v>43878</v>
          </cell>
        </row>
        <row r="75">
          <cell r="A75" t="str">
            <v>Cristiano Jose Fiques</v>
          </cell>
          <cell r="B75">
            <v>37003141</v>
          </cell>
          <cell r="C75">
            <v>20008838</v>
          </cell>
          <cell r="D75">
            <v>43588</v>
          </cell>
        </row>
        <row r="76">
          <cell r="A76" t="str">
            <v>Cesar Henrique Rodrigues</v>
          </cell>
          <cell r="B76">
            <v>37004365</v>
          </cell>
          <cell r="C76">
            <v>20008790</v>
          </cell>
          <cell r="D76">
            <v>43878</v>
          </cell>
        </row>
        <row r="77">
          <cell r="A77" t="str">
            <v>Natanael Cilli Alves</v>
          </cell>
          <cell r="B77">
            <v>37003128</v>
          </cell>
          <cell r="C77">
            <v>20009717</v>
          </cell>
          <cell r="D77">
            <v>43577</v>
          </cell>
        </row>
        <row r="78">
          <cell r="A78" t="str">
            <v>Paulo Henrique De Oliveira</v>
          </cell>
          <cell r="B78">
            <v>37001213</v>
          </cell>
          <cell r="C78">
            <v>20009754</v>
          </cell>
          <cell r="D78">
            <v>41477</v>
          </cell>
        </row>
        <row r="79">
          <cell r="A79" t="str">
            <v>Wesley Henrique Lopes</v>
          </cell>
          <cell r="B79">
            <v>37004411</v>
          </cell>
          <cell r="C79">
            <v>20008349</v>
          </cell>
          <cell r="D79">
            <v>43878</v>
          </cell>
        </row>
        <row r="80">
          <cell r="A80" t="str">
            <v>Alex Fideles Da Luz</v>
          </cell>
          <cell r="B80">
            <v>37004361</v>
          </cell>
          <cell r="C80">
            <v>20008538</v>
          </cell>
          <cell r="D80">
            <v>43878</v>
          </cell>
        </row>
        <row r="81">
          <cell r="A81" t="str">
            <v>Cesar Gilioli</v>
          </cell>
          <cell r="B81">
            <v>37008879</v>
          </cell>
          <cell r="C81">
            <v>20030021</v>
          </cell>
          <cell r="D81">
            <v>44777</v>
          </cell>
        </row>
        <row r="82">
          <cell r="A82" t="str">
            <v>Talles Tammer Matos Goncalves</v>
          </cell>
          <cell r="B82">
            <v>37008986</v>
          </cell>
          <cell r="C82">
            <v>20036762</v>
          </cell>
          <cell r="D82">
            <v>44777</v>
          </cell>
        </row>
        <row r="83">
          <cell r="A83" t="str">
            <v>Otavio Penteado De Campos</v>
          </cell>
          <cell r="B83">
            <v>37004394</v>
          </cell>
          <cell r="C83">
            <v>20008262</v>
          </cell>
          <cell r="D83">
            <v>43878</v>
          </cell>
        </row>
        <row r="84">
          <cell r="A84" t="str">
            <v>Jonas Da Silva</v>
          </cell>
          <cell r="B84">
            <v>37004387</v>
          </cell>
          <cell r="C84">
            <v>20008201</v>
          </cell>
          <cell r="D84">
            <v>43878</v>
          </cell>
        </row>
        <row r="85">
          <cell r="A85" t="str">
            <v>Wellynton Santos De Souza</v>
          </cell>
          <cell r="B85">
            <v>37004438</v>
          </cell>
          <cell r="C85">
            <v>20010044</v>
          </cell>
          <cell r="D85">
            <v>43892</v>
          </cell>
        </row>
        <row r="86">
          <cell r="A86" t="str">
            <v>Wagner Gabriel Rico</v>
          </cell>
          <cell r="B86">
            <v>37004410</v>
          </cell>
          <cell r="C86">
            <v>20008344</v>
          </cell>
          <cell r="D86">
            <v>43878</v>
          </cell>
        </row>
        <row r="87">
          <cell r="A87" t="str">
            <v>Flavio Aparecido Sbaraglini</v>
          </cell>
          <cell r="B87">
            <v>37004371</v>
          </cell>
          <cell r="C87">
            <v>20009110</v>
          </cell>
          <cell r="D87">
            <v>43878</v>
          </cell>
        </row>
        <row r="88">
          <cell r="A88" t="str">
            <v>Cleiton Patez De Carvalho</v>
          </cell>
          <cell r="B88">
            <v>37004367</v>
          </cell>
          <cell r="C88">
            <v>20008823</v>
          </cell>
          <cell r="D88">
            <v>43878</v>
          </cell>
        </row>
        <row r="89">
          <cell r="A89" t="str">
            <v>Gabriel Cristiano Tamborim</v>
          </cell>
          <cell r="B89">
            <v>37003146</v>
          </cell>
          <cell r="C89">
            <v>20009129</v>
          </cell>
          <cell r="D89">
            <v>43588</v>
          </cell>
        </row>
        <row r="90">
          <cell r="A90" t="str">
            <v>Anderson Fernando Stopa Da Silva</v>
          </cell>
          <cell r="B90">
            <v>37004698</v>
          </cell>
          <cell r="C90">
            <v>20008386</v>
          </cell>
          <cell r="D90">
            <v>44053</v>
          </cell>
        </row>
        <row r="91">
          <cell r="A91" t="str">
            <v>Aline Aparecida Floriano Fusco</v>
          </cell>
          <cell r="B91">
            <v>37010202</v>
          </cell>
          <cell r="C91">
            <v>20038628</v>
          </cell>
          <cell r="D91">
            <v>44886</v>
          </cell>
        </row>
        <row r="92">
          <cell r="A92" t="str">
            <v>Lucilene Maria Vieira Alves</v>
          </cell>
          <cell r="B92">
            <v>37010214</v>
          </cell>
          <cell r="C92">
            <v>20038640</v>
          </cell>
          <cell r="D92">
            <v>44886</v>
          </cell>
        </row>
        <row r="93">
          <cell r="A93" t="str">
            <v>Rodrigo Antoniolli Inheta</v>
          </cell>
          <cell r="B93">
            <v>37006120</v>
          </cell>
          <cell r="C93">
            <v>20016891</v>
          </cell>
          <cell r="D93">
            <v>44417</v>
          </cell>
        </row>
        <row r="94">
          <cell r="A94" t="str">
            <v>Ana Carolina Pinto</v>
          </cell>
          <cell r="B94">
            <v>37010556</v>
          </cell>
          <cell r="C94">
            <v>20040293</v>
          </cell>
          <cell r="D94">
            <v>44914</v>
          </cell>
        </row>
        <row r="95">
          <cell r="A95" t="str">
            <v>Marcio Oliver</v>
          </cell>
          <cell r="B95">
            <v>37002939</v>
          </cell>
          <cell r="C95">
            <v>20009614</v>
          </cell>
          <cell r="D95">
            <v>43507</v>
          </cell>
        </row>
        <row r="96">
          <cell r="A96" t="str">
            <v>Fabio Martins Sarzi</v>
          </cell>
          <cell r="B96">
            <v>37000691</v>
          </cell>
          <cell r="C96">
            <v>20009055</v>
          </cell>
          <cell r="D96">
            <v>39741</v>
          </cell>
        </row>
        <row r="97">
          <cell r="A97" t="str">
            <v>Jose Antonio Ribeiro</v>
          </cell>
          <cell r="B97">
            <v>37000616</v>
          </cell>
          <cell r="C97">
            <v>20009375</v>
          </cell>
          <cell r="D97">
            <v>39489</v>
          </cell>
        </row>
        <row r="98">
          <cell r="A98" t="str">
            <v>Flavio Henrique Rodrigues</v>
          </cell>
          <cell r="B98">
            <v>37010712</v>
          </cell>
          <cell r="C98">
            <v>20040847</v>
          </cell>
          <cell r="D98">
            <v>44935</v>
          </cell>
        </row>
        <row r="99">
          <cell r="A99" t="str">
            <v>Jose Mauricio Rapello</v>
          </cell>
          <cell r="B99">
            <v>37010764</v>
          </cell>
          <cell r="C99">
            <v>20040974</v>
          </cell>
          <cell r="D99">
            <v>44942</v>
          </cell>
        </row>
        <row r="100">
          <cell r="A100" t="str">
            <v>Deusivan Do Nascimento Sousa</v>
          </cell>
          <cell r="B100">
            <v>37005687</v>
          </cell>
          <cell r="C100">
            <v>20014389</v>
          </cell>
          <cell r="D100">
            <v>44333</v>
          </cell>
        </row>
        <row r="101">
          <cell r="A101" t="str">
            <v>Rogerio Dos Santos Araujo</v>
          </cell>
          <cell r="B101">
            <v>37005681</v>
          </cell>
          <cell r="C101">
            <v>20014472</v>
          </cell>
          <cell r="D101">
            <v>44333</v>
          </cell>
        </row>
        <row r="102">
          <cell r="A102" t="str">
            <v>Giovanni Aroca</v>
          </cell>
          <cell r="B102">
            <v>37004375</v>
          </cell>
          <cell r="C102">
            <v>20008189</v>
          </cell>
          <cell r="D102">
            <v>43878</v>
          </cell>
        </row>
        <row r="103">
          <cell r="A103" t="str">
            <v>Juliano Jose De Freitas</v>
          </cell>
          <cell r="B103">
            <v>37006730</v>
          </cell>
          <cell r="C103">
            <v>20018784</v>
          </cell>
          <cell r="D103">
            <v>44516</v>
          </cell>
        </row>
        <row r="104">
          <cell r="A104" t="str">
            <v>Regiane De Moraes Carvalho Silva</v>
          </cell>
          <cell r="B104">
            <v>37011000</v>
          </cell>
          <cell r="C104">
            <v>20041815</v>
          </cell>
          <cell r="D104">
            <v>44958</v>
          </cell>
        </row>
        <row r="105">
          <cell r="A105" t="str">
            <v>Emerson Jose Lopes Da Silva</v>
          </cell>
          <cell r="B105">
            <v>37003195</v>
          </cell>
          <cell r="C105">
            <v>20009004</v>
          </cell>
          <cell r="D105">
            <v>43605</v>
          </cell>
        </row>
        <row r="106">
          <cell r="A106" t="str">
            <v>Laura Caroline Campos</v>
          </cell>
          <cell r="B106">
            <v>37011014</v>
          </cell>
          <cell r="C106">
            <v>20041846</v>
          </cell>
          <cell r="D106">
            <v>44958</v>
          </cell>
        </row>
        <row r="107">
          <cell r="A107" t="str">
            <v>Elton Alessandro De Oliveira</v>
          </cell>
          <cell r="B107">
            <v>37011077</v>
          </cell>
          <cell r="C107">
            <v>20042143</v>
          </cell>
          <cell r="D107">
            <v>44963</v>
          </cell>
        </row>
        <row r="108">
          <cell r="A108" t="str">
            <v>Marcos Roberto Pereira</v>
          </cell>
          <cell r="B108">
            <v>37011088</v>
          </cell>
          <cell r="C108">
            <v>20042160</v>
          </cell>
          <cell r="D108">
            <v>44963</v>
          </cell>
        </row>
        <row r="109">
          <cell r="A109" t="str">
            <v>Diego Aparecido De Assis</v>
          </cell>
          <cell r="B109">
            <v>37006940</v>
          </cell>
          <cell r="C109">
            <v>20021306</v>
          </cell>
          <cell r="D109">
            <v>44552</v>
          </cell>
        </row>
        <row r="110">
          <cell r="A110" t="str">
            <v>Valdinei Jose Bispo</v>
          </cell>
          <cell r="B110">
            <v>37011165</v>
          </cell>
          <cell r="C110">
            <v>20042511</v>
          </cell>
          <cell r="D110">
            <v>44970</v>
          </cell>
        </row>
        <row r="111">
          <cell r="A111" t="str">
            <v>Gleison Carlos De Araujo Carvalho</v>
          </cell>
          <cell r="B111">
            <v>37011307</v>
          </cell>
          <cell r="C111">
            <v>20042722</v>
          </cell>
          <cell r="D111">
            <v>44970</v>
          </cell>
        </row>
        <row r="112">
          <cell r="A112" t="str">
            <v>Marcos Lourenco Da Silva</v>
          </cell>
          <cell r="B112">
            <v>37011398</v>
          </cell>
          <cell r="C112">
            <v>20043879</v>
          </cell>
          <cell r="D112">
            <v>44986</v>
          </cell>
        </row>
        <row r="113">
          <cell r="A113" t="str">
            <v>Bruno Rafael Carneiro</v>
          </cell>
          <cell r="B113">
            <v>37011797</v>
          </cell>
          <cell r="C113">
            <v>20008727</v>
          </cell>
          <cell r="D113">
            <v>45005</v>
          </cell>
        </row>
        <row r="114">
          <cell r="A114" t="str">
            <v>Carlos Eduardo Felix</v>
          </cell>
          <cell r="B114">
            <v>37008718</v>
          </cell>
          <cell r="C114">
            <v>20029218</v>
          </cell>
          <cell r="D114">
            <v>44760</v>
          </cell>
        </row>
        <row r="115">
          <cell r="A115" t="str">
            <v>Luan Martins Lopes</v>
          </cell>
          <cell r="B115">
            <v>37011955</v>
          </cell>
          <cell r="C115">
            <v>20046855</v>
          </cell>
          <cell r="D115">
            <v>45019</v>
          </cell>
        </row>
        <row r="116">
          <cell r="A116" t="str">
            <v>Thiago Luiz Pasqualinoto</v>
          </cell>
          <cell r="B116">
            <v>37000664</v>
          </cell>
          <cell r="C116">
            <v>20009957</v>
          </cell>
          <cell r="D116">
            <v>39608</v>
          </cell>
        </row>
        <row r="117">
          <cell r="A117" t="str">
            <v>Hudson Fernando Bernardo</v>
          </cell>
          <cell r="B117">
            <v>37012038</v>
          </cell>
          <cell r="C117">
            <v>20047547</v>
          </cell>
          <cell r="D117">
            <v>45027</v>
          </cell>
        </row>
        <row r="118">
          <cell r="A118" t="str">
            <v>Marcio Miguel Madruga</v>
          </cell>
          <cell r="B118">
            <v>37012054</v>
          </cell>
          <cell r="C118">
            <v>20047565</v>
          </cell>
          <cell r="D118">
            <v>45027</v>
          </cell>
        </row>
        <row r="119">
          <cell r="A119" t="str">
            <v>Erasmo De Oliveira</v>
          </cell>
          <cell r="B119">
            <v>37012094</v>
          </cell>
          <cell r="C119">
            <v>20047786</v>
          </cell>
          <cell r="D119">
            <v>45034</v>
          </cell>
        </row>
        <row r="120">
          <cell r="A120" t="str">
            <v>Emerson Aparecido Nunes</v>
          </cell>
          <cell r="B120">
            <v>37012158</v>
          </cell>
          <cell r="C120">
            <v>20048386</v>
          </cell>
          <cell r="D120">
            <v>45034</v>
          </cell>
        </row>
        <row r="121">
          <cell r="A121" t="str">
            <v>Vanessa De Souza Nogueira</v>
          </cell>
          <cell r="B121">
            <v>37006303</v>
          </cell>
          <cell r="C121">
            <v>20017930</v>
          </cell>
          <cell r="D121">
            <v>44440</v>
          </cell>
        </row>
        <row r="122">
          <cell r="A122" t="str">
            <v>Aguinaldo Urives Scussel</v>
          </cell>
          <cell r="B122">
            <v>37006270</v>
          </cell>
          <cell r="C122">
            <v>20017921</v>
          </cell>
          <cell r="D122">
            <v>44431</v>
          </cell>
        </row>
        <row r="123">
          <cell r="A123" t="str">
            <v>Julio Cesar Rodrigues de Lima</v>
          </cell>
          <cell r="B123">
            <v>37012243</v>
          </cell>
          <cell r="C123">
            <v>20049067</v>
          </cell>
          <cell r="D123">
            <v>45048</v>
          </cell>
        </row>
        <row r="124">
          <cell r="A124" t="str">
            <v>Antonio Aparecido De Brito</v>
          </cell>
          <cell r="B124">
            <v>37007964</v>
          </cell>
          <cell r="C124">
            <v>20026047</v>
          </cell>
          <cell r="D124">
            <v>44713</v>
          </cell>
        </row>
        <row r="125">
          <cell r="A125" t="str">
            <v>Rodrigo Chaem Franciscon</v>
          </cell>
          <cell r="B125">
            <v>37012542</v>
          </cell>
          <cell r="C125">
            <v>20050383</v>
          </cell>
          <cell r="D125">
            <v>45069</v>
          </cell>
        </row>
        <row r="126">
          <cell r="A126" t="str">
            <v>Samuel Sales Candido</v>
          </cell>
          <cell r="B126">
            <v>37012629</v>
          </cell>
          <cell r="C126">
            <v>20051115</v>
          </cell>
          <cell r="D126">
            <v>45083</v>
          </cell>
        </row>
        <row r="127">
          <cell r="A127" t="str">
            <v>Alejandro Filipe Medeiros Pina</v>
          </cell>
          <cell r="B127">
            <v>37013007</v>
          </cell>
          <cell r="C127">
            <v>20025842</v>
          </cell>
          <cell r="D127">
            <v>45083</v>
          </cell>
        </row>
        <row r="128">
          <cell r="A128" t="str">
            <v>Maicon Diego Piras</v>
          </cell>
          <cell r="B128">
            <v>37012827</v>
          </cell>
          <cell r="C128">
            <v>20051782</v>
          </cell>
          <cell r="D128">
            <v>45083</v>
          </cell>
        </row>
        <row r="129">
          <cell r="A129" t="str">
            <v>Julio Cesar Siqueira</v>
          </cell>
          <cell r="B129">
            <v>37012882</v>
          </cell>
          <cell r="C129">
            <v>20051940</v>
          </cell>
          <cell r="D129">
            <v>45090</v>
          </cell>
        </row>
        <row r="130">
          <cell r="A130" t="str">
            <v>Marcel Goncalves De Matos</v>
          </cell>
          <cell r="B130">
            <v>37012909</v>
          </cell>
          <cell r="C130">
            <v>20051997</v>
          </cell>
          <cell r="D130">
            <v>45090</v>
          </cell>
        </row>
        <row r="131">
          <cell r="A131" t="str">
            <v>Kamila Saude da Silva Souza</v>
          </cell>
          <cell r="B131">
            <v>37012917</v>
          </cell>
          <cell r="C131">
            <v>20052005</v>
          </cell>
          <cell r="D131">
            <v>45090</v>
          </cell>
        </row>
        <row r="132">
          <cell r="A132" t="str">
            <v>Leonardo Augusto Pedroso De Lima</v>
          </cell>
          <cell r="B132">
            <v>37012939</v>
          </cell>
          <cell r="C132">
            <v>20052049</v>
          </cell>
          <cell r="D132">
            <v>45090</v>
          </cell>
        </row>
        <row r="133">
          <cell r="A133" t="str">
            <v>Joao Vitor Vertuan</v>
          </cell>
          <cell r="B133">
            <v>37012955</v>
          </cell>
          <cell r="C133">
            <v>20052092</v>
          </cell>
          <cell r="D133">
            <v>45090</v>
          </cell>
        </row>
        <row r="134">
          <cell r="A134" t="str">
            <v>Fagner Fassarella Nogueira</v>
          </cell>
          <cell r="B134">
            <v>37013040</v>
          </cell>
          <cell r="C134">
            <v>20052334</v>
          </cell>
          <cell r="D134">
            <v>45097</v>
          </cell>
        </row>
        <row r="135">
          <cell r="A135" t="str">
            <v>Luiz Gustavo Victal Maciel</v>
          </cell>
          <cell r="B135">
            <v>37013137</v>
          </cell>
          <cell r="C135">
            <v>20053233</v>
          </cell>
          <cell r="D135">
            <v>45111</v>
          </cell>
        </row>
        <row r="136">
          <cell r="A136" t="str">
            <v>Leonardo Bruno Jeronimo da Silva</v>
          </cell>
          <cell r="B136">
            <v>37013164</v>
          </cell>
          <cell r="C136">
            <v>20053291</v>
          </cell>
          <cell r="D136">
            <v>45111</v>
          </cell>
        </row>
        <row r="137">
          <cell r="A137" t="str">
            <v>Dejair Barbosa Dantas</v>
          </cell>
          <cell r="B137">
            <v>37013197</v>
          </cell>
          <cell r="C137">
            <v>20053389</v>
          </cell>
          <cell r="D137">
            <v>45118</v>
          </cell>
        </row>
        <row r="138">
          <cell r="A138" t="str">
            <v>Carlos Eduardo Figueiredo Martins</v>
          </cell>
          <cell r="B138">
            <v>37013215</v>
          </cell>
          <cell r="C138">
            <v>20053536</v>
          </cell>
          <cell r="D138">
            <v>45111</v>
          </cell>
        </row>
        <row r="139">
          <cell r="A139" t="str">
            <v>Ernestino Donizeti Rodrigues</v>
          </cell>
          <cell r="B139">
            <v>37007273</v>
          </cell>
          <cell r="C139">
            <v>20023646</v>
          </cell>
          <cell r="D139">
            <v>44627</v>
          </cell>
        </row>
        <row r="140">
          <cell r="A140" t="str">
            <v>Edson Aparecido Pereira Ronchesi</v>
          </cell>
          <cell r="B140">
            <v>37013236</v>
          </cell>
          <cell r="C140">
            <v>20053575</v>
          </cell>
          <cell r="D140">
            <v>45111</v>
          </cell>
        </row>
        <row r="141">
          <cell r="A141" t="str">
            <v>Rosangela Bernardes Silva</v>
          </cell>
          <cell r="B141">
            <v>37013349</v>
          </cell>
          <cell r="C141">
            <v>20054006</v>
          </cell>
          <cell r="D141">
            <v>45118</v>
          </cell>
        </row>
        <row r="142">
          <cell r="A142" t="str">
            <v>Clovis Goncalves de Freitas Junior </v>
          </cell>
          <cell r="B142">
            <v>37013428</v>
          </cell>
          <cell r="C142">
            <v>20054890</v>
          </cell>
          <cell r="D142">
            <v>45118</v>
          </cell>
        </row>
        <row r="143">
          <cell r="A143" t="str">
            <v>Adriano Jeronimo Veloso Do Carmo</v>
          </cell>
          <cell r="B143">
            <v>37004569</v>
          </cell>
          <cell r="C143">
            <v>20008036</v>
          </cell>
          <cell r="D143">
            <v>43997</v>
          </cell>
        </row>
        <row r="144">
          <cell r="A144" t="str">
            <v>Luan de Oliveira</v>
          </cell>
          <cell r="B144">
            <v>37013588</v>
          </cell>
          <cell r="C144">
            <v>20055818</v>
          </cell>
          <cell r="D144">
            <v>45125</v>
          </cell>
        </row>
        <row r="145">
          <cell r="A145" t="str">
            <v>Edvanio Lima Bezerra</v>
          </cell>
          <cell r="B145">
            <v>37013718</v>
          </cell>
          <cell r="C145">
            <v>20056313</v>
          </cell>
          <cell r="D145">
            <v>45139</v>
          </cell>
        </row>
        <row r="146">
          <cell r="A146" t="str">
            <v>Vagner Machado</v>
          </cell>
          <cell r="B146">
            <v>37013999</v>
          </cell>
          <cell r="C146">
            <v>20057489</v>
          </cell>
          <cell r="D146">
            <v>45153</v>
          </cell>
        </row>
        <row r="147">
          <cell r="A147" t="str">
            <v>Vinicius Felipe De Lima</v>
          </cell>
          <cell r="B147">
            <v>37013991</v>
          </cell>
          <cell r="C147">
            <v>20010012</v>
          </cell>
          <cell r="D147">
            <v>45153</v>
          </cell>
        </row>
        <row r="148">
          <cell r="A148" t="str">
            <v>Everton Luis Stati</v>
          </cell>
          <cell r="B148">
            <v>37002463</v>
          </cell>
          <cell r="C148">
            <v>20009031</v>
          </cell>
          <cell r="D148">
            <v>43367</v>
          </cell>
        </row>
        <row r="149">
          <cell r="A149" t="str">
            <v>Marcos Fernando Raphael</v>
          </cell>
          <cell r="B149">
            <v>37014096</v>
          </cell>
          <cell r="C149">
            <v>20057832</v>
          </cell>
          <cell r="D149">
            <v>45160</v>
          </cell>
        </row>
        <row r="150">
          <cell r="A150" t="str">
            <v>Nelson Ortiz Moquisay</v>
          </cell>
          <cell r="B150">
            <v>37014222</v>
          </cell>
          <cell r="C150">
            <v>20058126</v>
          </cell>
          <cell r="D150">
            <v>45174</v>
          </cell>
        </row>
        <row r="151">
          <cell r="A151" t="str">
            <v>Leonardo Heleno da Silva</v>
          </cell>
          <cell r="B151">
            <v>37014278</v>
          </cell>
          <cell r="C151">
            <v>20058357</v>
          </cell>
          <cell r="D151">
            <v>45174</v>
          </cell>
        </row>
        <row r="152">
          <cell r="A152" t="str">
            <v>Alisson Pereira</v>
          </cell>
          <cell r="B152">
            <v>37014286</v>
          </cell>
          <cell r="C152">
            <v>20058365</v>
          </cell>
          <cell r="D152">
            <v>45174</v>
          </cell>
        </row>
        <row r="153">
          <cell r="A153" t="str">
            <v>Juliana Fernandes Pereira</v>
          </cell>
          <cell r="B153">
            <v>37014334</v>
          </cell>
          <cell r="C153">
            <v>20046859</v>
          </cell>
          <cell r="D153">
            <v>45174</v>
          </cell>
        </row>
        <row r="154">
          <cell r="A154" t="str">
            <v>Rodrigo Dos Santos Martins</v>
          </cell>
          <cell r="B154">
            <v>37014534</v>
          </cell>
          <cell r="C154">
            <v>20059104</v>
          </cell>
          <cell r="D154">
            <v>45181</v>
          </cell>
        </row>
        <row r="155">
          <cell r="A155" t="str">
            <v>Paulo Jose Ramalho</v>
          </cell>
          <cell r="B155">
            <v>37014728</v>
          </cell>
          <cell r="C155">
            <v>20009758</v>
          </cell>
          <cell r="D155">
            <v>45202</v>
          </cell>
        </row>
        <row r="156">
          <cell r="A156" t="str">
            <v>Luiz Felipe Bispo</v>
          </cell>
          <cell r="B156">
            <v>37014815</v>
          </cell>
          <cell r="C156">
            <v>20060079</v>
          </cell>
          <cell r="D156">
            <v>45202</v>
          </cell>
        </row>
        <row r="157">
          <cell r="A157" t="str">
            <v>Natalia De Luna da Rocha</v>
          </cell>
          <cell r="B157">
            <v>37014835</v>
          </cell>
          <cell r="C157">
            <v>20060317</v>
          </cell>
          <cell r="D157">
            <v>45209</v>
          </cell>
        </row>
        <row r="158">
          <cell r="A158" t="str">
            <v>Carlos Antonione da Costa Araujo</v>
          </cell>
          <cell r="B158">
            <v>37014905</v>
          </cell>
          <cell r="C158">
            <v>20060498</v>
          </cell>
          <cell r="D158">
            <v>45237</v>
          </cell>
        </row>
        <row r="159">
          <cell r="A159" t="str">
            <v>Guilherme Siqueira Da Luz</v>
          </cell>
          <cell r="B159">
            <v>37004678</v>
          </cell>
          <cell r="C159">
            <v>20010075</v>
          </cell>
          <cell r="D159">
            <v>44046</v>
          </cell>
        </row>
        <row r="160">
          <cell r="A160" t="str">
            <v>Anderson Rogerio Piccoli</v>
          </cell>
          <cell r="B160">
            <v>37004257</v>
          </cell>
          <cell r="C160">
            <v>20008615</v>
          </cell>
          <cell r="D160">
            <v>43864</v>
          </cell>
        </row>
        <row r="161">
          <cell r="A161" t="str">
            <v>Elaine Cristina Amaral da Silva</v>
          </cell>
          <cell r="B161">
            <v>37015278</v>
          </cell>
          <cell r="C161">
            <v>20061990</v>
          </cell>
          <cell r="D161">
            <v>45243</v>
          </cell>
        </row>
        <row r="162">
          <cell r="A162" t="str">
            <v>Josefa Aline Andrade Dos Santos Mendes</v>
          </cell>
          <cell r="B162">
            <v>37015292</v>
          </cell>
          <cell r="C162">
            <v>20062004</v>
          </cell>
          <cell r="D162">
            <v>45243</v>
          </cell>
        </row>
        <row r="163">
          <cell r="A163" t="str">
            <v>Jose Amarildo Machado</v>
          </cell>
          <cell r="B163">
            <v>37006558</v>
          </cell>
          <cell r="C163">
            <v>20018134</v>
          </cell>
          <cell r="D163">
            <v>44473</v>
          </cell>
        </row>
        <row r="164">
          <cell r="A164" t="str">
            <v>Bruno Costa Goncalves</v>
          </cell>
          <cell r="B164">
            <v>37002176</v>
          </cell>
          <cell r="C164">
            <v>20008717</v>
          </cell>
          <cell r="D164">
            <v>43136</v>
          </cell>
        </row>
        <row r="165">
          <cell r="A165" t="str">
            <v>Luiz Felipe Arruda Santos</v>
          </cell>
          <cell r="B165">
            <v>37005891</v>
          </cell>
          <cell r="C165">
            <v>20015631</v>
          </cell>
          <cell r="D165">
            <v>44368</v>
          </cell>
        </row>
        <row r="166">
          <cell r="A166" t="str">
            <v>Andre Luiz De Castro Silva</v>
          </cell>
          <cell r="B166">
            <v>37005560</v>
          </cell>
          <cell r="C166">
            <v>20016016</v>
          </cell>
          <cell r="D166">
            <v>44291</v>
          </cell>
        </row>
        <row r="167">
          <cell r="A167" t="str">
            <v>Cleberson Batista Vicente</v>
          </cell>
          <cell r="B167">
            <v>37015553</v>
          </cell>
          <cell r="C167">
            <v>20062939</v>
          </cell>
          <cell r="D167">
            <v>45272</v>
          </cell>
        </row>
        <row r="168">
          <cell r="A168" t="str">
            <v>Kaio Donizetti Carvalho</v>
          </cell>
          <cell r="B168">
            <v>37015581</v>
          </cell>
          <cell r="C168">
            <v>20062969</v>
          </cell>
          <cell r="D168">
            <v>45272</v>
          </cell>
        </row>
        <row r="169">
          <cell r="A169" t="str">
            <v>Juliana Batista Bispo</v>
          </cell>
          <cell r="B169">
            <v>37006079</v>
          </cell>
          <cell r="C169">
            <v>20016852</v>
          </cell>
          <cell r="D169">
            <v>44410</v>
          </cell>
        </row>
        <row r="170">
          <cell r="A170" t="str">
            <v>Leandro Ricardo Malavasi</v>
          </cell>
          <cell r="B170">
            <v>37000550</v>
          </cell>
          <cell r="C170">
            <v>20009480</v>
          </cell>
          <cell r="D170">
            <v>39244</v>
          </cell>
        </row>
        <row r="171">
          <cell r="A171" t="str">
            <v>Pedro Paulo Mariano</v>
          </cell>
          <cell r="B171">
            <v>37012448</v>
          </cell>
          <cell r="C171">
            <v>20049748</v>
          </cell>
          <cell r="D171">
            <v>45055</v>
          </cell>
        </row>
        <row r="172">
          <cell r="A172" t="str">
            <v>Edi Carlos Dominguete</v>
          </cell>
          <cell r="B172">
            <v>37015634</v>
          </cell>
          <cell r="C172">
            <v>20063045</v>
          </cell>
          <cell r="D172">
            <v>45272</v>
          </cell>
        </row>
        <row r="173">
          <cell r="A173" t="str">
            <v>Flavio Souto</v>
          </cell>
          <cell r="B173">
            <v>37015636</v>
          </cell>
          <cell r="C173">
            <v>20063047</v>
          </cell>
          <cell r="D173">
            <v>45272</v>
          </cell>
        </row>
        <row r="174">
          <cell r="A174" t="str">
            <v>Marcone Lima De almeida</v>
          </cell>
          <cell r="B174">
            <v>37015951</v>
          </cell>
          <cell r="C174">
            <v>20063677</v>
          </cell>
          <cell r="D174">
            <v>45300</v>
          </cell>
        </row>
        <row r="175">
          <cell r="A175" t="str">
            <v>David Crispim De Oliveira</v>
          </cell>
          <cell r="B175">
            <v>37016029</v>
          </cell>
          <cell r="C175">
            <v>20063709</v>
          </cell>
          <cell r="D175">
            <v>45300</v>
          </cell>
        </row>
        <row r="176">
          <cell r="A176" t="str">
            <v>Helton Marcos Dias</v>
          </cell>
          <cell r="B176">
            <v>37016211</v>
          </cell>
          <cell r="C176">
            <v>20063890</v>
          </cell>
          <cell r="D176">
            <v>45307</v>
          </cell>
        </row>
        <row r="177">
          <cell r="A177" t="str">
            <v>Isabella Cardoso Ramos</v>
          </cell>
          <cell r="B177">
            <v>37016311</v>
          </cell>
          <cell r="C177">
            <v>20063975</v>
          </cell>
          <cell r="D177">
            <v>45314</v>
          </cell>
        </row>
        <row r="178">
          <cell r="A178" t="str">
            <v>Willian Gustavo Mendonca</v>
          </cell>
          <cell r="B178">
            <v>37016453</v>
          </cell>
          <cell r="C178">
            <v>20064310</v>
          </cell>
          <cell r="D178">
            <v>45328</v>
          </cell>
        </row>
        <row r="179">
          <cell r="A179" t="str">
            <v>Luiz Fernando Reginatto Martins</v>
          </cell>
          <cell r="B179">
            <v>37012461</v>
          </cell>
          <cell r="C179">
            <v>20049857</v>
          </cell>
          <cell r="D179">
            <v>45055</v>
          </cell>
        </row>
        <row r="180">
          <cell r="A180" t="str">
            <v>Ewerton Thales Batista</v>
          </cell>
          <cell r="B180">
            <v>37009830</v>
          </cell>
          <cell r="C180">
            <v>20037109</v>
          </cell>
          <cell r="D180">
            <v>44872</v>
          </cell>
        </row>
        <row r="181">
          <cell r="A181" t="str">
            <v>Thamirys da Silva Bezerra</v>
          </cell>
          <cell r="B181">
            <v>37016639</v>
          </cell>
          <cell r="C181">
            <v>20064740</v>
          </cell>
          <cell r="D181">
            <v>45342</v>
          </cell>
        </row>
        <row r="182">
          <cell r="A182" t="str">
            <v>Jose Manoel Bernardo</v>
          </cell>
          <cell r="B182">
            <v>37016663</v>
          </cell>
          <cell r="C182">
            <v>20064764</v>
          </cell>
          <cell r="D182">
            <v>45342</v>
          </cell>
        </row>
        <row r="183">
          <cell r="A183" t="str">
            <v>Thiago Henrique Quintana da Silva</v>
          </cell>
          <cell r="B183">
            <v>37013713</v>
          </cell>
          <cell r="C183">
            <v>20056308</v>
          </cell>
          <cell r="D183">
            <v>45139</v>
          </cell>
        </row>
        <row r="184">
          <cell r="A184" t="str">
            <v>Michel Jose Da Silva Moreno</v>
          </cell>
          <cell r="B184">
            <v>37006219</v>
          </cell>
          <cell r="C184">
            <v>20017916</v>
          </cell>
          <cell r="D184">
            <v>44424</v>
          </cell>
        </row>
        <row r="185">
          <cell r="A185" t="str">
            <v>Jose Laurindo Correa Da Silva Santos</v>
          </cell>
          <cell r="B185">
            <v>37001849</v>
          </cell>
          <cell r="C185">
            <v>20009397</v>
          </cell>
          <cell r="D185">
            <v>42751</v>
          </cell>
        </row>
        <row r="186">
          <cell r="A186" t="str">
            <v>Vagner Donizete Luciano</v>
          </cell>
          <cell r="B186">
            <v>37001952</v>
          </cell>
          <cell r="C186">
            <v>20009978</v>
          </cell>
          <cell r="D186">
            <v>42870</v>
          </cell>
        </row>
        <row r="187">
          <cell r="A187" t="str">
            <v>Danilo Da Silva Jacob</v>
          </cell>
          <cell r="B187">
            <v>37017052</v>
          </cell>
          <cell r="C187">
            <v>20066795</v>
          </cell>
          <cell r="D187">
            <v>45384</v>
          </cell>
        </row>
        <row r="188">
          <cell r="A188" t="str">
            <v>Jose Eduardo da Silva Junior</v>
          </cell>
          <cell r="B188">
            <v>37017088</v>
          </cell>
          <cell r="C188">
            <v>20067082</v>
          </cell>
          <cell r="D188">
            <v>45384</v>
          </cell>
        </row>
        <row r="189">
          <cell r="A189" t="str">
            <v>Everton Castelhano</v>
          </cell>
          <cell r="B189">
            <v>37017177</v>
          </cell>
          <cell r="C189">
            <v>20068024</v>
          </cell>
          <cell r="D189">
            <v>45391</v>
          </cell>
        </row>
        <row r="190">
          <cell r="A190" t="str">
            <v>Cleiton Placido De Oliveira</v>
          </cell>
          <cell r="B190">
            <v>37006375</v>
          </cell>
          <cell r="C190">
            <v>20018072</v>
          </cell>
          <cell r="D190">
            <v>44452</v>
          </cell>
        </row>
        <row r="191">
          <cell r="A191" t="str">
            <v>Rodrigo Correia</v>
          </cell>
          <cell r="B191">
            <v>37017342</v>
          </cell>
          <cell r="C191">
            <v>20069466</v>
          </cell>
          <cell r="D191">
            <v>45419</v>
          </cell>
        </row>
        <row r="192">
          <cell r="A192" t="str">
            <v>Christian Carrilho de Castro</v>
          </cell>
          <cell r="B192">
            <v>37017520</v>
          </cell>
          <cell r="C192">
            <v>20069664</v>
          </cell>
          <cell r="D192">
            <v>45419</v>
          </cell>
        </row>
        <row r="193">
          <cell r="A193" t="str">
            <v>Pedro Neves Alves Ferreira</v>
          </cell>
          <cell r="B193">
            <v>37009775</v>
          </cell>
          <cell r="C193">
            <v>20036480</v>
          </cell>
          <cell r="D193">
            <v>44851</v>
          </cell>
        </row>
        <row r="194">
          <cell r="A194" t="str">
            <v>Jhone Cardoso dos Santos</v>
          </cell>
          <cell r="B194">
            <v>37017598</v>
          </cell>
          <cell r="C194">
            <v>20069977</v>
          </cell>
          <cell r="D194">
            <v>45426</v>
          </cell>
        </row>
        <row r="195">
          <cell r="A195" t="str">
            <v>Fabio De Oliveira Marciano</v>
          </cell>
          <cell r="B195">
            <v>37009751</v>
          </cell>
          <cell r="C195">
            <v>20036477</v>
          </cell>
          <cell r="D195">
            <v>44851</v>
          </cell>
        </row>
        <row r="196">
          <cell r="A196" t="str">
            <v>Tiago Dos Santos Xavier</v>
          </cell>
          <cell r="B196">
            <v>37009650</v>
          </cell>
          <cell r="C196">
            <v>20035714</v>
          </cell>
          <cell r="D196">
            <v>44844</v>
          </cell>
        </row>
        <row r="197">
          <cell r="A197" t="str">
            <v>Isabella Consales</v>
          </cell>
          <cell r="B197">
            <v>37018031</v>
          </cell>
          <cell r="C197">
            <v>20061049</v>
          </cell>
          <cell r="D197">
            <v>45447</v>
          </cell>
        </row>
        <row r="198">
          <cell r="A198" t="str">
            <v>Thiago De Britto Nonato</v>
          </cell>
          <cell r="B198">
            <v>37003815</v>
          </cell>
          <cell r="C198">
            <v>20009951</v>
          </cell>
          <cell r="D198">
            <v>43752</v>
          </cell>
        </row>
        <row r="199">
          <cell r="A199" t="str">
            <v>Ana Maria Tomaz Uvinha</v>
          </cell>
          <cell r="B199">
            <v>37005123</v>
          </cell>
          <cell r="C199">
            <v>20011591</v>
          </cell>
          <cell r="D199">
            <v>44200</v>
          </cell>
        </row>
        <row r="200">
          <cell r="A200" t="str">
            <v>Valter Luiz Della Coletta Junior</v>
          </cell>
          <cell r="B200">
            <v>37018318</v>
          </cell>
          <cell r="C200">
            <v>20073102</v>
          </cell>
          <cell r="D200">
            <v>45475</v>
          </cell>
        </row>
        <row r="201">
          <cell r="A201" t="str">
            <v>Geisiane Pereira Vitoria</v>
          </cell>
          <cell r="B201">
            <v>37018434</v>
          </cell>
          <cell r="C201">
            <v>20073629</v>
          </cell>
          <cell r="D201">
            <v>45483</v>
          </cell>
        </row>
        <row r="202">
          <cell r="A202" t="str">
            <v>Adriano Caetano Inacio</v>
          </cell>
          <cell r="B202">
            <v>37014740</v>
          </cell>
          <cell r="C202">
            <v>20059824</v>
          </cell>
          <cell r="D202">
            <v>45202</v>
          </cell>
        </row>
        <row r="203">
          <cell r="A203" t="str">
            <v>Stanley Pressa Chayen</v>
          </cell>
          <cell r="B203">
            <v>37014016</v>
          </cell>
          <cell r="C203">
            <v>20057506</v>
          </cell>
          <cell r="D203">
            <v>45160</v>
          </cell>
        </row>
        <row r="204">
          <cell r="A204" t="str">
            <v>Otavio Luis Alves Salvador</v>
          </cell>
          <cell r="B204">
            <v>37014595</v>
          </cell>
          <cell r="C204">
            <v>20059183</v>
          </cell>
          <cell r="D204">
            <v>45188</v>
          </cell>
        </row>
        <row r="205">
          <cell r="A205" t="str">
            <v>Amarildo Alves Ferraz</v>
          </cell>
          <cell r="B205">
            <v>37014058</v>
          </cell>
          <cell r="C205">
            <v>20057744</v>
          </cell>
          <cell r="D205">
            <v>45160</v>
          </cell>
        </row>
        <row r="206">
          <cell r="A206" t="str">
            <v>Adaildo Dos Santos Pereira</v>
          </cell>
          <cell r="B206">
            <v>37003642</v>
          </cell>
          <cell r="C206">
            <v>20003317</v>
          </cell>
          <cell r="D206">
            <v>43711</v>
          </cell>
        </row>
        <row r="207">
          <cell r="A207" t="str">
            <v>Jeniffer Alana Ferreira Amaral</v>
          </cell>
          <cell r="B207">
            <v>37018694</v>
          </cell>
          <cell r="C207">
            <v>20074851</v>
          </cell>
          <cell r="D207">
            <v>45510</v>
          </cell>
        </row>
        <row r="208">
          <cell r="A208" t="str">
            <v>Renato Zimerman De Souza</v>
          </cell>
          <cell r="B208">
            <v>37018750</v>
          </cell>
          <cell r="C208">
            <v>20074967</v>
          </cell>
          <cell r="D208">
            <v>45510</v>
          </cell>
        </row>
        <row r="209">
          <cell r="A209" t="str">
            <v>Joao Victor Souza Braz</v>
          </cell>
          <cell r="B209">
            <v>37006917</v>
          </cell>
          <cell r="C209">
            <v>20020994</v>
          </cell>
          <cell r="D209">
            <v>44550</v>
          </cell>
        </row>
        <row r="210">
          <cell r="A210" t="str">
            <v>Rodrigo Siqueira</v>
          </cell>
          <cell r="B210">
            <v>37006752</v>
          </cell>
          <cell r="C210">
            <v>20018982</v>
          </cell>
          <cell r="D210">
            <v>44522</v>
          </cell>
        </row>
        <row r="211">
          <cell r="A211" t="str">
            <v>Paulo Sergio Correa De Aquino</v>
          </cell>
          <cell r="B211">
            <v>37007263</v>
          </cell>
          <cell r="C211">
            <v>20023623</v>
          </cell>
          <cell r="D211">
            <v>44627</v>
          </cell>
        </row>
        <row r="212">
          <cell r="A212" t="str">
            <v>Paulo Cesar Januario</v>
          </cell>
          <cell r="B212">
            <v>37007619</v>
          </cell>
          <cell r="C212">
            <v>20025617</v>
          </cell>
          <cell r="D212">
            <v>44683</v>
          </cell>
        </row>
        <row r="213">
          <cell r="A213" t="str">
            <v>Rodrigo José Antunes</v>
          </cell>
          <cell r="B213">
            <v>37018897</v>
          </cell>
          <cell r="C213">
            <v>20075553</v>
          </cell>
          <cell r="D213">
            <v>45524</v>
          </cell>
        </row>
        <row r="214">
          <cell r="A214" t="str">
            <v>Valdir Aparecido Dos santos</v>
          </cell>
          <cell r="B214">
            <v>37018896</v>
          </cell>
          <cell r="C214">
            <v>20075552</v>
          </cell>
          <cell r="D214">
            <v>45524</v>
          </cell>
        </row>
        <row r="215">
          <cell r="A215" t="str">
            <v>Rubens Rezende David</v>
          </cell>
          <cell r="B215">
            <v>37006101</v>
          </cell>
          <cell r="C215">
            <v>20016873</v>
          </cell>
          <cell r="D215">
            <v>44410</v>
          </cell>
        </row>
        <row r="216">
          <cell r="A216" t="str">
            <v>Osni De Jesus Machado Rodrigues</v>
          </cell>
          <cell r="B216">
            <v>37009357</v>
          </cell>
          <cell r="C216">
            <v>20033156</v>
          </cell>
          <cell r="D216">
            <v>44816</v>
          </cell>
        </row>
        <row r="217">
          <cell r="A217" t="str">
            <v>Marcos Roberto dos Santos</v>
          </cell>
          <cell r="B217">
            <v>37011949</v>
          </cell>
          <cell r="C217">
            <v>20046758</v>
          </cell>
          <cell r="D217">
            <v>45019</v>
          </cell>
        </row>
        <row r="218">
          <cell r="A218" t="str">
            <v>Samuel Heck Junior</v>
          </cell>
          <cell r="B218">
            <v>37018914</v>
          </cell>
          <cell r="C218">
            <v>20076048</v>
          </cell>
          <cell r="D218">
            <v>45538</v>
          </cell>
        </row>
        <row r="219">
          <cell r="A219" t="str">
            <v>Vaner Augusto Delfino Da Silva</v>
          </cell>
          <cell r="B219">
            <v>37018970</v>
          </cell>
          <cell r="C219">
            <v>20076181</v>
          </cell>
          <cell r="D219">
            <v>45524</v>
          </cell>
        </row>
        <row r="220">
          <cell r="A220" t="str">
            <v>Sergio Roberto Teixeira Gomes</v>
          </cell>
          <cell r="B220">
            <v>37018981</v>
          </cell>
          <cell r="C220">
            <v>20076207</v>
          </cell>
          <cell r="D220">
            <v>45538</v>
          </cell>
        </row>
        <row r="221">
          <cell r="A221" t="str">
            <v>Mariana Ferreira De Sousa</v>
          </cell>
          <cell r="B221">
            <v>37019070</v>
          </cell>
          <cell r="C221">
            <v>20076923</v>
          </cell>
          <cell r="D221">
            <v>45538</v>
          </cell>
        </row>
        <row r="222">
          <cell r="A222" t="str">
            <v>Luis Gustavo Gomes de Oliveira</v>
          </cell>
          <cell r="B222">
            <v>37019071</v>
          </cell>
          <cell r="C222">
            <v>20076924</v>
          </cell>
          <cell r="D222">
            <v>45538</v>
          </cell>
        </row>
        <row r="223">
          <cell r="A223" t="str">
            <v>Jose Domingos De Jesus Santana</v>
          </cell>
          <cell r="B223">
            <v>37018076</v>
          </cell>
          <cell r="C223">
            <v>20071744</v>
          </cell>
          <cell r="D223">
            <v>45453</v>
          </cell>
        </row>
        <row r="224">
          <cell r="A224" t="str">
            <v>Ronaldo Dos Santos Lopes</v>
          </cell>
          <cell r="B224">
            <v>37014393</v>
          </cell>
          <cell r="C224">
            <v>20058529</v>
          </cell>
          <cell r="D224">
            <v>45174</v>
          </cell>
        </row>
        <row r="225">
          <cell r="A225" t="str">
            <v>Pedro De Oliveira Sousa Castro</v>
          </cell>
          <cell r="B225">
            <v>37011713</v>
          </cell>
          <cell r="C225">
            <v>20045237</v>
          </cell>
          <cell r="D225">
            <v>44998</v>
          </cell>
        </row>
        <row r="226">
          <cell r="A226" t="str">
            <v>Joilson Paixao Dos Santos</v>
          </cell>
          <cell r="B226">
            <v>37012112</v>
          </cell>
          <cell r="C226">
            <v>20048280</v>
          </cell>
          <cell r="D226">
            <v>45034</v>
          </cell>
        </row>
        <row r="227">
          <cell r="A227" t="str">
            <v>Larissa Gabriele Da Silva</v>
          </cell>
          <cell r="B227">
            <v>37019156</v>
          </cell>
          <cell r="C227">
            <v>20077363</v>
          </cell>
          <cell r="D227">
            <v>45545</v>
          </cell>
        </row>
        <row r="228">
          <cell r="A228" t="str">
            <v>Mateus Alves da Silva</v>
          </cell>
          <cell r="B228">
            <v>37019226</v>
          </cell>
          <cell r="C228">
            <v>20077871</v>
          </cell>
          <cell r="D228">
            <v>45552</v>
          </cell>
        </row>
        <row r="229">
          <cell r="A229" t="str">
            <v>Junior Oliveira Mendes</v>
          </cell>
          <cell r="B229">
            <v>37019320</v>
          </cell>
          <cell r="C229">
            <v>20078015</v>
          </cell>
          <cell r="D229">
            <v>45552</v>
          </cell>
        </row>
        <row r="230">
          <cell r="A230" t="str">
            <v>Raquel Aparecida Da Silva Almeida</v>
          </cell>
          <cell r="B230">
            <v>37900936</v>
          </cell>
          <cell r="C230">
            <v>20078120</v>
          </cell>
          <cell r="D230" t="str">
            <v>00/01/1900</v>
          </cell>
        </row>
        <row r="231">
          <cell r="A231" t="str">
            <v>Elias Silva dos Santos</v>
          </cell>
          <cell r="B231">
            <v>37010367</v>
          </cell>
          <cell r="C231">
            <v>20039095</v>
          </cell>
          <cell r="D231">
            <v>44900</v>
          </cell>
        </row>
        <row r="232">
          <cell r="A232" t="str">
            <v>Marcelo Santana Camargo Santana</v>
          </cell>
          <cell r="B232">
            <v>37019353</v>
          </cell>
          <cell r="C232">
            <v>20078323</v>
          </cell>
          <cell r="D232">
            <v>45566</v>
          </cell>
        </row>
        <row r="233">
          <cell r="A233" t="str">
            <v>Wiris Rodrigues Ventura</v>
          </cell>
          <cell r="B233">
            <v>37019403</v>
          </cell>
          <cell r="C233">
            <v>20078384</v>
          </cell>
          <cell r="D233">
            <v>45566</v>
          </cell>
        </row>
        <row r="234">
          <cell r="A234" t="str">
            <v>Weiky Vinicius Ribeiro de Almeida</v>
          </cell>
          <cell r="B234">
            <v>37019428</v>
          </cell>
          <cell r="C234">
            <v>20078412</v>
          </cell>
          <cell r="D234">
            <v>45566</v>
          </cell>
        </row>
        <row r="235">
          <cell r="A235" t="str">
            <v>Ronaldo dos Santos Carvalho</v>
          </cell>
          <cell r="B235">
            <v>37019451</v>
          </cell>
          <cell r="C235">
            <v>20078435</v>
          </cell>
          <cell r="D235">
            <v>45566</v>
          </cell>
        </row>
        <row r="236">
          <cell r="A236" t="str">
            <v>Douglas dos Anjos Medeiros</v>
          </cell>
          <cell r="B236" t="e">
            <v>#N/A</v>
          </cell>
          <cell r="C236">
            <v>20078669</v>
          </cell>
          <cell r="D236" t="e">
            <v>#N/A</v>
          </cell>
        </row>
        <row r="237">
          <cell r="A237" t="str">
            <v>Cássio Munhoz Junior</v>
          </cell>
          <cell r="B237" t="e">
            <v>#N/A</v>
          </cell>
          <cell r="C237">
            <v>20078673</v>
          </cell>
          <cell r="D237" t="e">
            <v>#N/A</v>
          </cell>
        </row>
        <row r="238">
          <cell r="A238" t="str">
            <v>Marciano Oliveira Costa Costa</v>
          </cell>
          <cell r="B238" t="e">
            <v>#N/A</v>
          </cell>
          <cell r="C238">
            <v>20078681</v>
          </cell>
          <cell r="D238" t="e">
            <v>#N/A</v>
          </cell>
        </row>
        <row r="239">
          <cell r="A239" t="str">
            <v>Rodrigo Prado do Prado Espirito Santo</v>
          </cell>
          <cell r="B239" t="e">
            <v>#N/A</v>
          </cell>
          <cell r="C239">
            <v>20078676</v>
          </cell>
          <cell r="D239" t="e">
            <v>#N/A</v>
          </cell>
        </row>
        <row r="240">
          <cell r="A240" t="str">
            <v>Alex De Santana</v>
          </cell>
          <cell r="B240">
            <v>37013152</v>
          </cell>
          <cell r="C240">
            <v>20053279</v>
          </cell>
          <cell r="D240">
            <v>45111</v>
          </cell>
        </row>
        <row r="241">
          <cell r="A241" t="str">
            <v>Eduardo Takano Masunari</v>
          </cell>
          <cell r="B241" t="e">
            <v>#N/A</v>
          </cell>
          <cell r="C241">
            <v>20079958</v>
          </cell>
          <cell r="D241" t="e">
            <v>#N/A</v>
          </cell>
        </row>
        <row r="242">
          <cell r="A242" t="str">
            <v>Rogerio Rodrigo Perez</v>
          </cell>
          <cell r="B242" t="e">
            <v>#N/A</v>
          </cell>
          <cell r="C242">
            <v>20080005</v>
          </cell>
          <cell r="D242" t="e">
            <v>#N/A</v>
          </cell>
        </row>
        <row r="243">
          <cell r="A243" t="str">
            <v>Carolina Vieira Gomes Felix</v>
          </cell>
          <cell r="B243">
            <v>37007774</v>
          </cell>
          <cell r="C243">
            <v>20026104</v>
          </cell>
          <cell r="D243">
            <v>44704</v>
          </cell>
        </row>
        <row r="244">
          <cell r="A244" t="str">
            <v>Antonio Carlos Peixoto</v>
          </cell>
          <cell r="B244">
            <v>37004740</v>
          </cell>
          <cell r="C244">
            <v>20008074</v>
          </cell>
          <cell r="D244">
            <v>44060</v>
          </cell>
        </row>
        <row r="245">
          <cell r="A245" t="str">
            <v>Wellider Guasti</v>
          </cell>
          <cell r="B245">
            <v>37004858</v>
          </cell>
          <cell r="C245">
            <v>20008117</v>
          </cell>
          <cell r="D245">
            <v>44082</v>
          </cell>
        </row>
        <row r="246">
          <cell r="A246" t="str">
            <v>Giancarlo Faria Fraga</v>
          </cell>
          <cell r="B246">
            <v>37004649</v>
          </cell>
          <cell r="C246">
            <v>20008186</v>
          </cell>
          <cell r="D246">
            <v>44032</v>
          </cell>
        </row>
        <row r="247">
          <cell r="A247" t="str">
            <v>Giovani Rebelato Lopes</v>
          </cell>
          <cell r="B247">
            <v>37004374</v>
          </cell>
          <cell r="C247">
            <v>20008188</v>
          </cell>
          <cell r="D247">
            <v>43878</v>
          </cell>
        </row>
        <row r="248">
          <cell r="A248" t="str">
            <v>Gisele Lourenco Gomes</v>
          </cell>
          <cell r="B248">
            <v>37004376</v>
          </cell>
          <cell r="C248">
            <v>20008190</v>
          </cell>
          <cell r="D248">
            <v>43878</v>
          </cell>
        </row>
        <row r="249">
          <cell r="A249" t="str">
            <v>Priscila Dos Santos Benjamim</v>
          </cell>
          <cell r="B249">
            <v>37004396</v>
          </cell>
          <cell r="C249">
            <v>20008281</v>
          </cell>
          <cell r="D249">
            <v>43878</v>
          </cell>
        </row>
        <row r="250">
          <cell r="A250" t="str">
            <v>Renan William De Almeida</v>
          </cell>
          <cell r="B250">
            <v>37004398</v>
          </cell>
          <cell r="C250">
            <v>20008296</v>
          </cell>
          <cell r="D250">
            <v>43878</v>
          </cell>
        </row>
        <row r="251">
          <cell r="A251" t="str">
            <v>Samara Bento Da Silva Camargo</v>
          </cell>
          <cell r="B251">
            <v>37004400</v>
          </cell>
          <cell r="C251">
            <v>20008309</v>
          </cell>
          <cell r="D251">
            <v>43878</v>
          </cell>
        </row>
        <row r="252">
          <cell r="A252" t="str">
            <v>Vinicius De Oliveira</v>
          </cell>
          <cell r="B252">
            <v>37004406</v>
          </cell>
          <cell r="C252">
            <v>20008339</v>
          </cell>
          <cell r="D252">
            <v>43878</v>
          </cell>
        </row>
        <row r="253">
          <cell r="A253" t="str">
            <v>Vinicius Nascimento De Godoi</v>
          </cell>
          <cell r="B253">
            <v>37004407</v>
          </cell>
          <cell r="C253">
            <v>20008341</v>
          </cell>
          <cell r="D253">
            <v>43878</v>
          </cell>
        </row>
        <row r="254">
          <cell r="A254" t="str">
            <v>Luiz Rogerio De Brito</v>
          </cell>
          <cell r="B254">
            <v>37004711</v>
          </cell>
          <cell r="C254">
            <v>20008373</v>
          </cell>
          <cell r="D254">
            <v>44053</v>
          </cell>
        </row>
        <row r="255">
          <cell r="A255" t="str">
            <v>Fernando Sanches Rodrigues</v>
          </cell>
          <cell r="B255">
            <v>37004706</v>
          </cell>
          <cell r="C255">
            <v>20008382</v>
          </cell>
          <cell r="D255">
            <v>44053</v>
          </cell>
        </row>
        <row r="256">
          <cell r="A256" t="str">
            <v>Marcos Antonio De Campos</v>
          </cell>
          <cell r="B256">
            <v>37004713</v>
          </cell>
          <cell r="C256">
            <v>20008385</v>
          </cell>
          <cell r="D256">
            <v>44053</v>
          </cell>
        </row>
        <row r="257">
          <cell r="A257" t="str">
            <v>Marcos Batista De Oliveira</v>
          </cell>
          <cell r="B257">
            <v>37004714</v>
          </cell>
          <cell r="C257">
            <v>20008387</v>
          </cell>
          <cell r="D257">
            <v>44053</v>
          </cell>
        </row>
        <row r="258">
          <cell r="A258" t="str">
            <v>Marcos Manoel Silva</v>
          </cell>
          <cell r="B258">
            <v>37004715</v>
          </cell>
          <cell r="C258">
            <v>20008388</v>
          </cell>
          <cell r="D258">
            <v>44053</v>
          </cell>
        </row>
        <row r="259">
          <cell r="A259" t="str">
            <v>Adalto Augusto Dos Santos</v>
          </cell>
          <cell r="B259">
            <v>37000099</v>
          </cell>
          <cell r="C259">
            <v>20008492</v>
          </cell>
          <cell r="D259">
            <v>33924</v>
          </cell>
        </row>
        <row r="260">
          <cell r="A260" t="str">
            <v>Adriana De Cassia Machado Morales</v>
          </cell>
          <cell r="B260">
            <v>37001345</v>
          </cell>
          <cell r="C260">
            <v>20008502</v>
          </cell>
          <cell r="D260">
            <v>41680</v>
          </cell>
        </row>
        <row r="261">
          <cell r="A261" t="str">
            <v>Agnaldo Felix Lima</v>
          </cell>
          <cell r="B261">
            <v>37001008</v>
          </cell>
          <cell r="C261">
            <v>20008513</v>
          </cell>
          <cell r="D261">
            <v>41092</v>
          </cell>
        </row>
        <row r="262">
          <cell r="A262" t="str">
            <v>Alessandro Jose Pereira</v>
          </cell>
          <cell r="B262">
            <v>37000228</v>
          </cell>
          <cell r="C262">
            <v>20008526</v>
          </cell>
          <cell r="D262">
            <v>35415</v>
          </cell>
        </row>
        <row r="263">
          <cell r="A263" t="str">
            <v>Alex De Almeida Dos Santos</v>
          </cell>
          <cell r="B263">
            <v>37003740</v>
          </cell>
          <cell r="C263">
            <v>20008534</v>
          </cell>
          <cell r="D263">
            <v>43752</v>
          </cell>
        </row>
        <row r="264">
          <cell r="A264" t="str">
            <v>Alex Fernando Ferreira De Paula</v>
          </cell>
          <cell r="B264">
            <v>37000312</v>
          </cell>
          <cell r="C264">
            <v>20008536</v>
          </cell>
          <cell r="D264">
            <v>36969</v>
          </cell>
        </row>
        <row r="265">
          <cell r="A265" t="str">
            <v>Andre Jacinto Da Silva</v>
          </cell>
          <cell r="B265">
            <v>37000250</v>
          </cell>
          <cell r="C265">
            <v>20008620</v>
          </cell>
          <cell r="D265">
            <v>35629</v>
          </cell>
        </row>
        <row r="266">
          <cell r="A266" t="str">
            <v>Anselmo De Almeida</v>
          </cell>
          <cell r="B266">
            <v>37000191</v>
          </cell>
          <cell r="C266">
            <v>20008642</v>
          </cell>
          <cell r="D266">
            <v>35041</v>
          </cell>
        </row>
        <row r="267">
          <cell r="A267" t="str">
            <v>Carlos Alberto Aroca</v>
          </cell>
          <cell r="B267">
            <v>37000052</v>
          </cell>
          <cell r="C267">
            <v>20008747</v>
          </cell>
          <cell r="D267">
            <v>32569</v>
          </cell>
        </row>
        <row r="268">
          <cell r="A268" t="str">
            <v>Carlos Alberto Pinto Guedes</v>
          </cell>
          <cell r="B268">
            <v>37000230</v>
          </cell>
          <cell r="C268">
            <v>20008749</v>
          </cell>
          <cell r="D268">
            <v>35415</v>
          </cell>
        </row>
        <row r="269">
          <cell r="A269" t="str">
            <v>Carlos Roberto Luciano Goes</v>
          </cell>
          <cell r="B269">
            <v>37000182</v>
          </cell>
          <cell r="C269">
            <v>20008766</v>
          </cell>
          <cell r="D269">
            <v>34950</v>
          </cell>
        </row>
        <row r="270">
          <cell r="A270" t="str">
            <v>Cassiano Ricardo Maciel</v>
          </cell>
          <cell r="B270">
            <v>37000408</v>
          </cell>
          <cell r="C270">
            <v>20008774</v>
          </cell>
          <cell r="D270">
            <v>38355</v>
          </cell>
        </row>
        <row r="271">
          <cell r="A271" t="str">
            <v>Celio Aparecido Borgato</v>
          </cell>
          <cell r="B271">
            <v>37000126</v>
          </cell>
          <cell r="C271">
            <v>20008778</v>
          </cell>
          <cell r="D271">
            <v>34715</v>
          </cell>
        </row>
        <row r="272">
          <cell r="A272" t="str">
            <v>Claudinei Henrique Pasqualinotto</v>
          </cell>
          <cell r="B272">
            <v>37000103</v>
          </cell>
          <cell r="C272">
            <v>20008808</v>
          </cell>
          <cell r="D272">
            <v>33987</v>
          </cell>
        </row>
        <row r="273">
          <cell r="A273" t="str">
            <v>Cleber Augusto De Almeida</v>
          </cell>
          <cell r="B273">
            <v>37000357</v>
          </cell>
          <cell r="C273">
            <v>20008820</v>
          </cell>
          <cell r="D273">
            <v>37571</v>
          </cell>
        </row>
        <row r="274">
          <cell r="A274" t="str">
            <v>Cristiano Euzebio Moreira</v>
          </cell>
          <cell r="B274">
            <v>37001565</v>
          </cell>
          <cell r="C274">
            <v>20008836</v>
          </cell>
          <cell r="D274">
            <v>42255</v>
          </cell>
        </row>
        <row r="275">
          <cell r="A275" t="str">
            <v>Cristiano Luiz Moretto</v>
          </cell>
          <cell r="B275">
            <v>37000253</v>
          </cell>
          <cell r="C275">
            <v>20008840</v>
          </cell>
          <cell r="D275">
            <v>35692</v>
          </cell>
        </row>
        <row r="276">
          <cell r="A276" t="str">
            <v>Daniel Donizeti Troiano</v>
          </cell>
          <cell r="B276">
            <v>37003560</v>
          </cell>
          <cell r="C276">
            <v>20008857</v>
          </cell>
          <cell r="D276">
            <v>43696</v>
          </cell>
        </row>
        <row r="277">
          <cell r="A277" t="str">
            <v>David Carlos Pedroso</v>
          </cell>
          <cell r="B277">
            <v>37000442</v>
          </cell>
          <cell r="C277">
            <v>20008884</v>
          </cell>
          <cell r="D277">
            <v>38453</v>
          </cell>
        </row>
        <row r="278">
          <cell r="A278" t="str">
            <v>Desio Aparecido Piras Neto</v>
          </cell>
          <cell r="B278">
            <v>37003758</v>
          </cell>
          <cell r="C278">
            <v>20008897</v>
          </cell>
          <cell r="D278">
            <v>43752</v>
          </cell>
        </row>
        <row r="279">
          <cell r="A279" t="str">
            <v>Diego Augusto Rossini</v>
          </cell>
          <cell r="B279">
            <v>37004368</v>
          </cell>
          <cell r="C279">
            <v>20008903</v>
          </cell>
          <cell r="D279">
            <v>43878</v>
          </cell>
        </row>
        <row r="280">
          <cell r="A280" t="str">
            <v>Eder Danilo Ignacio</v>
          </cell>
          <cell r="B280">
            <v>37000862</v>
          </cell>
          <cell r="C280">
            <v>20008933</v>
          </cell>
          <cell r="D280">
            <v>40679</v>
          </cell>
        </row>
        <row r="281">
          <cell r="A281" t="str">
            <v>Edilson Aroca</v>
          </cell>
          <cell r="B281">
            <v>37000039</v>
          </cell>
          <cell r="C281">
            <v>20008940</v>
          </cell>
          <cell r="D281">
            <v>32231</v>
          </cell>
        </row>
        <row r="282">
          <cell r="A282" t="str">
            <v>Edilson Miranda Primo</v>
          </cell>
          <cell r="B282">
            <v>37001600</v>
          </cell>
          <cell r="C282">
            <v>20008942</v>
          </cell>
          <cell r="D282">
            <v>42311</v>
          </cell>
        </row>
        <row r="283">
          <cell r="A283" t="str">
            <v>Edimilson Ramos Dos Santos</v>
          </cell>
          <cell r="B283">
            <v>37000129</v>
          </cell>
          <cell r="C283">
            <v>20008944</v>
          </cell>
          <cell r="D283">
            <v>34722</v>
          </cell>
        </row>
        <row r="284">
          <cell r="A284" t="str">
            <v>Edson Soares Da Silva</v>
          </cell>
          <cell r="B284">
            <v>37000209</v>
          </cell>
          <cell r="C284">
            <v>20008961</v>
          </cell>
          <cell r="D284">
            <v>35293</v>
          </cell>
        </row>
        <row r="285">
          <cell r="A285" t="str">
            <v>Eduardo De Brito</v>
          </cell>
          <cell r="B285">
            <v>37000245</v>
          </cell>
          <cell r="C285">
            <v>20008967</v>
          </cell>
          <cell r="D285">
            <v>35503</v>
          </cell>
        </row>
        <row r="286">
          <cell r="A286" t="str">
            <v>Elizeu Jose Da Silva</v>
          </cell>
          <cell r="B286">
            <v>37000219</v>
          </cell>
          <cell r="C286">
            <v>20008993</v>
          </cell>
          <cell r="D286">
            <v>35328</v>
          </cell>
        </row>
        <row r="287">
          <cell r="A287" t="str">
            <v>Emerson Aparecido Dos Santos</v>
          </cell>
          <cell r="B287">
            <v>37000313</v>
          </cell>
          <cell r="C287">
            <v>20009001</v>
          </cell>
          <cell r="D287">
            <v>36969</v>
          </cell>
        </row>
        <row r="288">
          <cell r="A288" t="str">
            <v>Ezequiel Fernandes Mendes</v>
          </cell>
          <cell r="B288">
            <v>37000062</v>
          </cell>
          <cell r="C288">
            <v>20009037</v>
          </cell>
          <cell r="D288">
            <v>32905</v>
          </cell>
        </row>
        <row r="289">
          <cell r="A289" t="str">
            <v>Fabio Aparecido Pereira</v>
          </cell>
          <cell r="B289">
            <v>37000341</v>
          </cell>
          <cell r="C289">
            <v>20009048</v>
          </cell>
          <cell r="D289">
            <v>37270</v>
          </cell>
        </row>
        <row r="290">
          <cell r="A290" t="str">
            <v>Fabio Aroldo De Melo</v>
          </cell>
          <cell r="B290">
            <v>37000140</v>
          </cell>
          <cell r="C290">
            <v>20009049</v>
          </cell>
          <cell r="D290">
            <v>34821</v>
          </cell>
        </row>
        <row r="291">
          <cell r="A291" t="str">
            <v>Fabio Jose Dos Anjos</v>
          </cell>
          <cell r="B291">
            <v>37000127</v>
          </cell>
          <cell r="C291">
            <v>20009054</v>
          </cell>
          <cell r="D291">
            <v>34715</v>
          </cell>
        </row>
        <row r="292">
          <cell r="A292" t="str">
            <v>Fabricio De Castro Ramos</v>
          </cell>
          <cell r="B292">
            <v>37000231</v>
          </cell>
          <cell r="C292">
            <v>20009064</v>
          </cell>
          <cell r="D292">
            <v>35415</v>
          </cell>
        </row>
        <row r="293">
          <cell r="A293" t="str">
            <v>Gesley Ricardo Pereira De Freitas</v>
          </cell>
          <cell r="B293">
            <v>37000425</v>
          </cell>
          <cell r="C293">
            <v>20009168</v>
          </cell>
          <cell r="D293">
            <v>38397</v>
          </cell>
        </row>
        <row r="294">
          <cell r="A294" t="str">
            <v>Guilherme Prado Leite</v>
          </cell>
          <cell r="B294">
            <v>37004380</v>
          </cell>
          <cell r="C294">
            <v>20009212</v>
          </cell>
          <cell r="D294">
            <v>43878</v>
          </cell>
        </row>
        <row r="295">
          <cell r="A295" t="str">
            <v>Hermon Jorge</v>
          </cell>
          <cell r="B295">
            <v>37000653</v>
          </cell>
          <cell r="C295">
            <v>20009248</v>
          </cell>
          <cell r="D295">
            <v>39601</v>
          </cell>
        </row>
        <row r="296">
          <cell r="A296" t="str">
            <v>Hernani Aparecido Stoppa</v>
          </cell>
          <cell r="B296">
            <v>37000183</v>
          </cell>
          <cell r="C296">
            <v>20009249</v>
          </cell>
          <cell r="D296">
            <v>34950</v>
          </cell>
        </row>
        <row r="297">
          <cell r="A297" t="str">
            <v>Irani Ferreira Marciano</v>
          </cell>
          <cell r="B297">
            <v>37004382</v>
          </cell>
          <cell r="C297">
            <v>20009267</v>
          </cell>
          <cell r="D297">
            <v>43878</v>
          </cell>
        </row>
        <row r="298">
          <cell r="A298" t="str">
            <v>Israel Amorim Bezerra</v>
          </cell>
          <cell r="B298">
            <v>37000037</v>
          </cell>
          <cell r="C298">
            <v>20009273</v>
          </cell>
          <cell r="D298">
            <v>32225</v>
          </cell>
        </row>
        <row r="299">
          <cell r="A299" t="str">
            <v>Jefferson De Oliveira</v>
          </cell>
          <cell r="B299">
            <v>37000710</v>
          </cell>
          <cell r="C299">
            <v>20009308</v>
          </cell>
          <cell r="D299">
            <v>39818</v>
          </cell>
        </row>
        <row r="300">
          <cell r="A300" t="str">
            <v>Joao Paulo Losnaque</v>
          </cell>
          <cell r="B300">
            <v>37001587</v>
          </cell>
          <cell r="C300">
            <v>20009344</v>
          </cell>
          <cell r="D300">
            <v>42282</v>
          </cell>
        </row>
        <row r="301">
          <cell r="A301" t="str">
            <v>Joao Wesley Goncalves Pereira</v>
          </cell>
          <cell r="B301">
            <v>37001669</v>
          </cell>
          <cell r="C301">
            <v>20009355</v>
          </cell>
          <cell r="D301">
            <v>42527</v>
          </cell>
        </row>
        <row r="302">
          <cell r="A302" t="str">
            <v>Jorge Koltun</v>
          </cell>
          <cell r="B302">
            <v>37000091</v>
          </cell>
          <cell r="C302">
            <v>20009367</v>
          </cell>
          <cell r="D302">
            <v>33793</v>
          </cell>
        </row>
        <row r="303">
          <cell r="A303" t="str">
            <v>Jose Antonio De Mello</v>
          </cell>
          <cell r="B303">
            <v>37000411</v>
          </cell>
          <cell r="C303">
            <v>20009371</v>
          </cell>
          <cell r="D303">
            <v>38355</v>
          </cell>
        </row>
        <row r="304">
          <cell r="A304" t="str">
            <v>Jose Antonio Morais</v>
          </cell>
          <cell r="B304">
            <v>37000232</v>
          </cell>
          <cell r="C304">
            <v>20009374</v>
          </cell>
          <cell r="D304">
            <v>35415</v>
          </cell>
        </row>
        <row r="305">
          <cell r="A305" t="str">
            <v>Jose Henrique Angelico</v>
          </cell>
          <cell r="B305">
            <v>37000293</v>
          </cell>
          <cell r="C305">
            <v>20009392</v>
          </cell>
          <cell r="D305">
            <v>36535</v>
          </cell>
        </row>
        <row r="306">
          <cell r="A306" t="str">
            <v>Jose Luciano Santana</v>
          </cell>
          <cell r="B306">
            <v>37000233</v>
          </cell>
          <cell r="C306">
            <v>20009399</v>
          </cell>
          <cell r="D306">
            <v>35415</v>
          </cell>
        </row>
        <row r="307">
          <cell r="A307" t="str">
            <v>Jose Luis Coltre</v>
          </cell>
          <cell r="B307">
            <v>37000212</v>
          </cell>
          <cell r="C307">
            <v>20009400</v>
          </cell>
          <cell r="D307">
            <v>35300</v>
          </cell>
        </row>
        <row r="308">
          <cell r="A308" t="str">
            <v>Jose Nivaldo Soares Da Silva</v>
          </cell>
          <cell r="B308">
            <v>37000069</v>
          </cell>
          <cell r="C308">
            <v>20009408</v>
          </cell>
          <cell r="D308">
            <v>33022</v>
          </cell>
        </row>
        <row r="309">
          <cell r="A309" t="str">
            <v>Jose Roberto Rosa</v>
          </cell>
          <cell r="B309">
            <v>37000105</v>
          </cell>
          <cell r="C309">
            <v>20009412</v>
          </cell>
          <cell r="D309">
            <v>34036</v>
          </cell>
        </row>
        <row r="310">
          <cell r="A310" t="str">
            <v>Jose Roberto Turcarelli</v>
          </cell>
          <cell r="B310">
            <v>37000234</v>
          </cell>
          <cell r="C310">
            <v>20009413</v>
          </cell>
          <cell r="D310">
            <v>35415</v>
          </cell>
        </row>
        <row r="311">
          <cell r="A311" t="str">
            <v>Leandro Leme De Oliveira</v>
          </cell>
          <cell r="B311">
            <v>37001589</v>
          </cell>
          <cell r="C311">
            <v>20009479</v>
          </cell>
          <cell r="D311">
            <v>42282</v>
          </cell>
        </row>
        <row r="312">
          <cell r="A312" t="str">
            <v>Leonardo Daniel Camilo</v>
          </cell>
          <cell r="B312">
            <v>37003373</v>
          </cell>
          <cell r="C312">
            <v>20009484</v>
          </cell>
          <cell r="D312">
            <v>43647</v>
          </cell>
        </row>
        <row r="313">
          <cell r="A313" t="str">
            <v>Lucas Fernando De Oliveira</v>
          </cell>
          <cell r="B313">
            <v>37001621</v>
          </cell>
          <cell r="C313">
            <v>20009513</v>
          </cell>
          <cell r="D313">
            <v>42410</v>
          </cell>
        </row>
        <row r="314">
          <cell r="A314" t="str">
            <v>Luis Antonio Avelino</v>
          </cell>
          <cell r="B314">
            <v>37000093</v>
          </cell>
          <cell r="C314">
            <v>20009533</v>
          </cell>
          <cell r="D314">
            <v>33819</v>
          </cell>
        </row>
        <row r="315">
          <cell r="A315" t="str">
            <v>Luis Carlos Zangareli</v>
          </cell>
          <cell r="B315">
            <v>37000089</v>
          </cell>
          <cell r="C315">
            <v>20009536</v>
          </cell>
          <cell r="D315">
            <v>33639</v>
          </cell>
        </row>
        <row r="316">
          <cell r="A316" t="str">
            <v>Luis Gustavo Dos Santos</v>
          </cell>
          <cell r="B316">
            <v>37000421</v>
          </cell>
          <cell r="C316">
            <v>20009544</v>
          </cell>
          <cell r="D316">
            <v>38369</v>
          </cell>
        </row>
        <row r="317">
          <cell r="A317" t="str">
            <v>Luiz Cesar De Oliveira</v>
          </cell>
          <cell r="B317">
            <v>37000334</v>
          </cell>
          <cell r="C317">
            <v>20009559</v>
          </cell>
          <cell r="D317">
            <v>37228</v>
          </cell>
        </row>
        <row r="318">
          <cell r="A318" t="str">
            <v>Luiz Fernando Amorielo</v>
          </cell>
          <cell r="B318">
            <v>37001041</v>
          </cell>
          <cell r="C318">
            <v>20009565</v>
          </cell>
          <cell r="D318">
            <v>41169</v>
          </cell>
        </row>
        <row r="319">
          <cell r="A319" t="str">
            <v>Marcelo Moreto Machado</v>
          </cell>
          <cell r="B319">
            <v>37000466</v>
          </cell>
          <cell r="C319">
            <v>20009600</v>
          </cell>
          <cell r="D319">
            <v>38810</v>
          </cell>
        </row>
        <row r="320">
          <cell r="A320" t="str">
            <v>Marcio Adriano Lopes</v>
          </cell>
          <cell r="B320">
            <v>37000185</v>
          </cell>
          <cell r="C320">
            <v>20009605</v>
          </cell>
          <cell r="D320">
            <v>34950</v>
          </cell>
        </row>
        <row r="321">
          <cell r="A321" t="str">
            <v>Marco Aurelio Possoni</v>
          </cell>
          <cell r="B321">
            <v>37000305</v>
          </cell>
          <cell r="C321">
            <v>20009621</v>
          </cell>
          <cell r="D321">
            <v>36871</v>
          </cell>
        </row>
        <row r="322">
          <cell r="A322" t="str">
            <v>Marcos Antonio Idalgo</v>
          </cell>
          <cell r="B322">
            <v>37000214</v>
          </cell>
          <cell r="C322">
            <v>20009625</v>
          </cell>
          <cell r="D322">
            <v>35300</v>
          </cell>
        </row>
        <row r="323">
          <cell r="A323" t="str">
            <v>Marcos De Lima Machado</v>
          </cell>
          <cell r="B323">
            <v>37000134</v>
          </cell>
          <cell r="C323">
            <v>20009631</v>
          </cell>
          <cell r="D323">
            <v>34792</v>
          </cell>
        </row>
        <row r="324">
          <cell r="A324" t="str">
            <v>Nilson Felix Lima</v>
          </cell>
          <cell r="B324">
            <v>37000241</v>
          </cell>
          <cell r="C324">
            <v>20009722</v>
          </cell>
          <cell r="D324">
            <v>35454</v>
          </cell>
        </row>
        <row r="325">
          <cell r="A325" t="str">
            <v>Paulo Martins De Almeida</v>
          </cell>
          <cell r="B325">
            <v>37000148</v>
          </cell>
          <cell r="C325">
            <v>20009760</v>
          </cell>
          <cell r="D325">
            <v>34837</v>
          </cell>
        </row>
        <row r="326">
          <cell r="A326" t="str">
            <v>Paulo Sergio Bolonha</v>
          </cell>
          <cell r="B326">
            <v>37000236</v>
          </cell>
          <cell r="C326">
            <v>20009770</v>
          </cell>
          <cell r="D326">
            <v>35415</v>
          </cell>
        </row>
        <row r="327">
          <cell r="A327" t="str">
            <v>Paulo Sergio De Franca Mendonca</v>
          </cell>
          <cell r="B327">
            <v>37000331</v>
          </cell>
          <cell r="C327">
            <v>20009772</v>
          </cell>
          <cell r="D327">
            <v>37169</v>
          </cell>
        </row>
        <row r="328">
          <cell r="A328" t="str">
            <v>Petter Paccola</v>
          </cell>
          <cell r="B328">
            <v>37000319</v>
          </cell>
          <cell r="C328">
            <v>20009786</v>
          </cell>
          <cell r="D328">
            <v>37025</v>
          </cell>
        </row>
        <row r="329">
          <cell r="A329" t="str">
            <v>Revalci Figueira Da Costa</v>
          </cell>
          <cell r="B329">
            <v>37000068</v>
          </cell>
          <cell r="C329">
            <v>20009830</v>
          </cell>
          <cell r="D329">
            <v>32928</v>
          </cell>
        </row>
        <row r="330">
          <cell r="A330" t="str">
            <v>Ricardo Aparecido De Sousa</v>
          </cell>
          <cell r="B330">
            <v>37000263</v>
          </cell>
          <cell r="C330">
            <v>20009833</v>
          </cell>
          <cell r="D330">
            <v>35919</v>
          </cell>
        </row>
        <row r="331">
          <cell r="A331" t="str">
            <v>Roberto Carlos Camilo</v>
          </cell>
          <cell r="B331">
            <v>37000130</v>
          </cell>
          <cell r="C331">
            <v>20009851</v>
          </cell>
          <cell r="D331">
            <v>34723</v>
          </cell>
        </row>
        <row r="332">
          <cell r="A332" t="str">
            <v>Rodrigo Vieira Ribeiro</v>
          </cell>
          <cell r="B332">
            <v>37003240</v>
          </cell>
          <cell r="C332">
            <v>20009874</v>
          </cell>
          <cell r="D332">
            <v>43619</v>
          </cell>
        </row>
        <row r="333">
          <cell r="A333" t="str">
            <v>Romualdo Dos Santos Lemes</v>
          </cell>
          <cell r="B333">
            <v>37000084</v>
          </cell>
          <cell r="C333">
            <v>20009886</v>
          </cell>
          <cell r="D333">
            <v>33574</v>
          </cell>
        </row>
        <row r="334">
          <cell r="A334" t="str">
            <v>Ronaldo Gnutzmann</v>
          </cell>
          <cell r="B334">
            <v>37000310</v>
          </cell>
          <cell r="C334">
            <v>20009889</v>
          </cell>
          <cell r="D334">
            <v>36934</v>
          </cell>
        </row>
        <row r="335">
          <cell r="A335" t="str">
            <v>Sandro Aparecido Da Silva</v>
          </cell>
          <cell r="B335">
            <v>37000301</v>
          </cell>
          <cell r="C335">
            <v>20009908</v>
          </cell>
          <cell r="D335">
            <v>36808</v>
          </cell>
        </row>
        <row r="336">
          <cell r="A336" t="str">
            <v>Sandro Junior Francisco</v>
          </cell>
          <cell r="B336">
            <v>37000674</v>
          </cell>
          <cell r="C336">
            <v>20009911</v>
          </cell>
          <cell r="D336">
            <v>39678</v>
          </cell>
        </row>
        <row r="337">
          <cell r="A337" t="str">
            <v>Sebastiao Dos Santos Alves</v>
          </cell>
          <cell r="B337">
            <v>37000096</v>
          </cell>
          <cell r="C337">
            <v>20009915</v>
          </cell>
          <cell r="D337">
            <v>33871</v>
          </cell>
        </row>
        <row r="338">
          <cell r="A338" t="str">
            <v>Thiago Aquino Dos Santos</v>
          </cell>
          <cell r="B338">
            <v>37003814</v>
          </cell>
          <cell r="C338">
            <v>20009949</v>
          </cell>
          <cell r="D338">
            <v>43752</v>
          </cell>
        </row>
        <row r="339">
          <cell r="A339" t="str">
            <v>Thiago Augusto Batistela Pietro Sanches</v>
          </cell>
          <cell r="B339">
            <v>37000359</v>
          </cell>
          <cell r="C339">
            <v>20009950</v>
          </cell>
          <cell r="D339">
            <v>37592</v>
          </cell>
        </row>
        <row r="340">
          <cell r="A340" t="str">
            <v>Tiago Augusto Barnabe</v>
          </cell>
          <cell r="B340">
            <v>37004316</v>
          </cell>
          <cell r="C340">
            <v>20009963</v>
          </cell>
          <cell r="D340">
            <v>43864</v>
          </cell>
        </row>
        <row r="341">
          <cell r="A341" t="str">
            <v>Valdair Da Silva</v>
          </cell>
          <cell r="B341">
            <v>37000033</v>
          </cell>
          <cell r="C341">
            <v>20009982</v>
          </cell>
          <cell r="D341">
            <v>32161</v>
          </cell>
        </row>
        <row r="342">
          <cell r="A342" t="str">
            <v>Valdeci Jose Rossini</v>
          </cell>
          <cell r="B342">
            <v>37000215</v>
          </cell>
          <cell r="C342">
            <v>20009983</v>
          </cell>
          <cell r="D342">
            <v>35300</v>
          </cell>
        </row>
        <row r="343">
          <cell r="A343" t="str">
            <v>Valdemir Viana</v>
          </cell>
          <cell r="B343">
            <v>37000269</v>
          </cell>
          <cell r="C343">
            <v>20009988</v>
          </cell>
          <cell r="D343">
            <v>36025</v>
          </cell>
        </row>
        <row r="344">
          <cell r="A344" t="str">
            <v>Valdenicio Oscar Pinto</v>
          </cell>
          <cell r="B344">
            <v>37000135</v>
          </cell>
          <cell r="C344">
            <v>20009989</v>
          </cell>
          <cell r="D344">
            <v>34799</v>
          </cell>
        </row>
        <row r="345">
          <cell r="A345" t="str">
            <v>Valter Andrade De Oliveira</v>
          </cell>
          <cell r="B345">
            <v>37000332</v>
          </cell>
          <cell r="C345">
            <v>20009997</v>
          </cell>
          <cell r="D345">
            <v>37169</v>
          </cell>
        </row>
        <row r="346">
          <cell r="A346" t="str">
            <v>Vicente Nunes Carrilho</v>
          </cell>
          <cell r="B346">
            <v>37001193</v>
          </cell>
          <cell r="C346">
            <v>20010004</v>
          </cell>
          <cell r="D346">
            <v>41414</v>
          </cell>
        </row>
        <row r="347">
          <cell r="A347" t="str">
            <v>Vilson Miotto</v>
          </cell>
          <cell r="B347">
            <v>37000083</v>
          </cell>
          <cell r="C347">
            <v>20010006</v>
          </cell>
          <cell r="D347">
            <v>33540</v>
          </cell>
        </row>
        <row r="348">
          <cell r="A348" t="str">
            <v>Vitorio De Goes Maciel Filho</v>
          </cell>
          <cell r="B348">
            <v>37000095</v>
          </cell>
          <cell r="C348">
            <v>20010027</v>
          </cell>
          <cell r="D348">
            <v>33822</v>
          </cell>
        </row>
        <row r="349">
          <cell r="A349" t="str">
            <v>Marcos Adriano Grama</v>
          </cell>
          <cell r="B349">
            <v>37004712</v>
          </cell>
          <cell r="C349">
            <v>20010079</v>
          </cell>
          <cell r="D349">
            <v>44053</v>
          </cell>
        </row>
        <row r="350">
          <cell r="A350" t="str">
            <v>Everton Francisco Rocha Perez</v>
          </cell>
          <cell r="B350">
            <v>37004704</v>
          </cell>
          <cell r="C350">
            <v>20010082</v>
          </cell>
          <cell r="D350">
            <v>44053</v>
          </cell>
        </row>
        <row r="351">
          <cell r="A351" t="str">
            <v>Luciano Carlos De Farias</v>
          </cell>
          <cell r="B351">
            <v>37004710</v>
          </cell>
          <cell r="C351">
            <v>20010084</v>
          </cell>
          <cell r="D351">
            <v>44053</v>
          </cell>
        </row>
        <row r="352">
          <cell r="A352" t="str">
            <v>Daniel Afonso Vaz Dos Santos</v>
          </cell>
          <cell r="B352">
            <v>37005230</v>
          </cell>
          <cell r="C352">
            <v>20011064</v>
          </cell>
          <cell r="D352">
            <v>44123</v>
          </cell>
        </row>
        <row r="353">
          <cell r="A353" t="str">
            <v>Marileide Gomes Da Silva</v>
          </cell>
          <cell r="B353">
            <v>37005304</v>
          </cell>
          <cell r="C353">
            <v>20011109</v>
          </cell>
          <cell r="D353">
            <v>44172</v>
          </cell>
        </row>
        <row r="354">
          <cell r="A354" t="str">
            <v>Robson Aurelio Dos Santos</v>
          </cell>
          <cell r="B354">
            <v>37005223</v>
          </cell>
          <cell r="C354">
            <v>20011129</v>
          </cell>
          <cell r="D354">
            <v>44117</v>
          </cell>
        </row>
        <row r="355">
          <cell r="A355" t="str">
            <v>Valter Celestino Contessoto</v>
          </cell>
          <cell r="B355">
            <v>37005260</v>
          </cell>
          <cell r="C355">
            <v>20011141</v>
          </cell>
          <cell r="D355">
            <v>44138</v>
          </cell>
        </row>
        <row r="356">
          <cell r="A356" t="str">
            <v>Robson Ribeiro Silva</v>
          </cell>
          <cell r="B356">
            <v>37005120</v>
          </cell>
          <cell r="C356">
            <v>20011588</v>
          </cell>
          <cell r="D356">
            <v>44200</v>
          </cell>
        </row>
        <row r="357">
          <cell r="A357" t="str">
            <v>Beatriz Felix Da Silva</v>
          </cell>
          <cell r="B357">
            <v>37005122</v>
          </cell>
          <cell r="C357">
            <v>20011590</v>
          </cell>
          <cell r="D357">
            <v>44200</v>
          </cell>
        </row>
        <row r="358">
          <cell r="A358" t="str">
            <v>Alexandre Do Amaral</v>
          </cell>
          <cell r="B358">
            <v>37000229</v>
          </cell>
          <cell r="C358">
            <v>20008545</v>
          </cell>
          <cell r="D358">
            <v>35415</v>
          </cell>
        </row>
        <row r="359">
          <cell r="A359" t="str">
            <v>Edson Clovis De Liz</v>
          </cell>
          <cell r="B359">
            <v>37004269</v>
          </cell>
          <cell r="C359">
            <v>20008954</v>
          </cell>
          <cell r="D359">
            <v>43864</v>
          </cell>
        </row>
        <row r="360">
          <cell r="A360" t="str">
            <v>Ilberto Carlos Xavier Santos</v>
          </cell>
          <cell r="B360">
            <v>37005491</v>
          </cell>
          <cell r="C360">
            <v>20013541</v>
          </cell>
          <cell r="D360">
            <v>44270</v>
          </cell>
        </row>
        <row r="361">
          <cell r="A361" t="str">
            <v>Edson Alexandre Ribeiro</v>
          </cell>
          <cell r="B361">
            <v>37005541</v>
          </cell>
          <cell r="C361">
            <v>20013579</v>
          </cell>
          <cell r="D361">
            <v>44291</v>
          </cell>
        </row>
        <row r="362">
          <cell r="A362" t="str">
            <v>Rodrigo Fidencio Bassoli</v>
          </cell>
          <cell r="B362">
            <v>37005608</v>
          </cell>
          <cell r="C362">
            <v>20013627</v>
          </cell>
          <cell r="D362">
            <v>44305</v>
          </cell>
        </row>
        <row r="363">
          <cell r="A363" t="str">
            <v>Jonatan Roberto Pereira</v>
          </cell>
          <cell r="B363">
            <v>37005629</v>
          </cell>
          <cell r="C363">
            <v>20013935</v>
          </cell>
          <cell r="D363">
            <v>44319</v>
          </cell>
        </row>
        <row r="364">
          <cell r="A364" t="str">
            <v>Rebeca Beck</v>
          </cell>
          <cell r="B364">
            <v>37005352</v>
          </cell>
          <cell r="C364">
            <v>20014463</v>
          </cell>
          <cell r="D364">
            <v>44235</v>
          </cell>
        </row>
        <row r="365">
          <cell r="A365" t="str">
            <v>Raphael Barbosa Reis</v>
          </cell>
          <cell r="B365">
            <v>37005356</v>
          </cell>
          <cell r="C365">
            <v>20014467</v>
          </cell>
          <cell r="D365">
            <v>44235</v>
          </cell>
        </row>
        <row r="366">
          <cell r="A366" t="str">
            <v>Leandro Silva Sanchez</v>
          </cell>
          <cell r="B366">
            <v>37005358</v>
          </cell>
          <cell r="C366">
            <v>20014469</v>
          </cell>
          <cell r="D366">
            <v>44235</v>
          </cell>
        </row>
        <row r="367">
          <cell r="A367" t="str">
            <v>Eder Da Silva Ramos</v>
          </cell>
          <cell r="B367">
            <v>37005338</v>
          </cell>
          <cell r="C367">
            <v>20014611</v>
          </cell>
          <cell r="D367">
            <v>44228</v>
          </cell>
        </row>
        <row r="368">
          <cell r="A368" t="str">
            <v>Bruno Menezes Neves</v>
          </cell>
          <cell r="B368">
            <v>37005494</v>
          </cell>
          <cell r="C368">
            <v>20015587</v>
          </cell>
          <cell r="D368">
            <v>44270</v>
          </cell>
        </row>
        <row r="369">
          <cell r="A369" t="str">
            <v>Tiago De Souza Oliveira</v>
          </cell>
          <cell r="B369">
            <v>37005614</v>
          </cell>
          <cell r="C369">
            <v>20015600</v>
          </cell>
          <cell r="D369">
            <v>44305</v>
          </cell>
        </row>
        <row r="370">
          <cell r="A370" t="str">
            <v>Tiago Rodrigo Barion</v>
          </cell>
          <cell r="B370">
            <v>37005767</v>
          </cell>
          <cell r="C370">
            <v>20015604</v>
          </cell>
          <cell r="D370">
            <v>44348</v>
          </cell>
        </row>
        <row r="371">
          <cell r="A371" t="str">
            <v>Jayme Francisco Lopes Neto</v>
          </cell>
          <cell r="B371">
            <v>37005799</v>
          </cell>
          <cell r="C371">
            <v>20015610</v>
          </cell>
          <cell r="D371">
            <v>44348</v>
          </cell>
        </row>
        <row r="372">
          <cell r="A372" t="str">
            <v>Domingos Jose Talarico Junior</v>
          </cell>
          <cell r="B372">
            <v>37005823</v>
          </cell>
          <cell r="C372">
            <v>20015613</v>
          </cell>
          <cell r="D372">
            <v>44354</v>
          </cell>
        </row>
        <row r="373">
          <cell r="A373" t="str">
            <v>Ana Claudia Alves</v>
          </cell>
          <cell r="B373">
            <v>37005867</v>
          </cell>
          <cell r="C373">
            <v>20015630</v>
          </cell>
          <cell r="D373">
            <v>44368</v>
          </cell>
        </row>
        <row r="374">
          <cell r="A374" t="str">
            <v>Ademar Dias Pereira</v>
          </cell>
          <cell r="B374">
            <v>37005895</v>
          </cell>
          <cell r="C374">
            <v>20015632</v>
          </cell>
          <cell r="D374">
            <v>44382</v>
          </cell>
        </row>
        <row r="375">
          <cell r="A375" t="str">
            <v>Jessica Maia Santos Simoes</v>
          </cell>
          <cell r="B375">
            <v>37005999</v>
          </cell>
          <cell r="C375">
            <v>20015648</v>
          </cell>
          <cell r="D375">
            <v>44389</v>
          </cell>
        </row>
        <row r="376">
          <cell r="A376" t="str">
            <v>Luiz Fernando Braga</v>
          </cell>
          <cell r="B376">
            <v>37006023</v>
          </cell>
          <cell r="C376">
            <v>20015663</v>
          </cell>
          <cell r="D376">
            <v>44396</v>
          </cell>
        </row>
        <row r="377">
          <cell r="A377" t="str">
            <v>Antonio Goncalves</v>
          </cell>
          <cell r="B377">
            <v>37005431</v>
          </cell>
          <cell r="C377">
            <v>20015994</v>
          </cell>
          <cell r="D377">
            <v>44263</v>
          </cell>
        </row>
        <row r="378">
          <cell r="A378" t="str">
            <v>Gustavo Eurico Boaventura</v>
          </cell>
          <cell r="B378">
            <v>37005510</v>
          </cell>
          <cell r="C378">
            <v>20016015</v>
          </cell>
          <cell r="D378">
            <v>44277</v>
          </cell>
        </row>
        <row r="379">
          <cell r="A379" t="str">
            <v>Rafael Lopes Da Silva</v>
          </cell>
          <cell r="B379">
            <v>37005899</v>
          </cell>
          <cell r="C379">
            <v>20016726</v>
          </cell>
          <cell r="D379">
            <v>44382</v>
          </cell>
        </row>
        <row r="380">
          <cell r="A380" t="str">
            <v>Rivaldo Fabio Montanholi</v>
          </cell>
          <cell r="B380">
            <v>37005916</v>
          </cell>
          <cell r="C380">
            <v>20016735</v>
          </cell>
          <cell r="D380">
            <v>44382</v>
          </cell>
        </row>
        <row r="381">
          <cell r="A381" t="str">
            <v>Aparecido Jeronimo Ferreira</v>
          </cell>
          <cell r="B381">
            <v>37005923</v>
          </cell>
          <cell r="C381">
            <v>20016739</v>
          </cell>
          <cell r="D381">
            <v>44382</v>
          </cell>
        </row>
        <row r="382">
          <cell r="A382" t="str">
            <v>Adao Hortela</v>
          </cell>
          <cell r="B382">
            <v>37005924</v>
          </cell>
          <cell r="C382">
            <v>20016740</v>
          </cell>
          <cell r="D382">
            <v>44382</v>
          </cell>
        </row>
        <row r="383">
          <cell r="A383" t="str">
            <v>Claudineis Prado Santos</v>
          </cell>
          <cell r="B383">
            <v>37005935</v>
          </cell>
          <cell r="C383">
            <v>20016749</v>
          </cell>
          <cell r="D383">
            <v>44382</v>
          </cell>
        </row>
        <row r="384">
          <cell r="A384" t="str">
            <v>Wilson Junio Batista Camilo</v>
          </cell>
          <cell r="B384">
            <v>37005937</v>
          </cell>
          <cell r="C384">
            <v>20016751</v>
          </cell>
          <cell r="D384">
            <v>44382</v>
          </cell>
        </row>
        <row r="385">
          <cell r="A385" t="str">
            <v>Jose Matosinho Da Silva</v>
          </cell>
          <cell r="B385">
            <v>37005949</v>
          </cell>
          <cell r="C385">
            <v>20016760</v>
          </cell>
          <cell r="D385">
            <v>44382</v>
          </cell>
        </row>
        <row r="386">
          <cell r="A386" t="str">
            <v>Ismael Rodrigues De Souza</v>
          </cell>
          <cell r="B386">
            <v>37005957</v>
          </cell>
          <cell r="C386">
            <v>20016762</v>
          </cell>
          <cell r="D386">
            <v>44382</v>
          </cell>
        </row>
        <row r="387">
          <cell r="A387" t="str">
            <v>Marcio Jose Freitas</v>
          </cell>
          <cell r="B387">
            <v>37006011</v>
          </cell>
          <cell r="C387">
            <v>20016803</v>
          </cell>
          <cell r="D387">
            <v>44389</v>
          </cell>
        </row>
        <row r="388">
          <cell r="A388" t="str">
            <v>Valdecir Navarro</v>
          </cell>
          <cell r="B388">
            <v>37006024</v>
          </cell>
          <cell r="C388">
            <v>20016807</v>
          </cell>
          <cell r="D388">
            <v>44396</v>
          </cell>
        </row>
        <row r="389">
          <cell r="A389" t="str">
            <v>Carlos Thomaz</v>
          </cell>
          <cell r="B389">
            <v>37006026</v>
          </cell>
          <cell r="C389">
            <v>20016809</v>
          </cell>
          <cell r="D389">
            <v>44396</v>
          </cell>
        </row>
        <row r="390">
          <cell r="A390" t="str">
            <v>Marcos Aparecido Da Silva</v>
          </cell>
          <cell r="B390">
            <v>37006029</v>
          </cell>
          <cell r="C390">
            <v>20016811</v>
          </cell>
          <cell r="D390">
            <v>44396</v>
          </cell>
        </row>
        <row r="391">
          <cell r="A391" t="str">
            <v>Wilson Roberto Gouveia</v>
          </cell>
          <cell r="B391">
            <v>37006033</v>
          </cell>
          <cell r="C391">
            <v>20016814</v>
          </cell>
          <cell r="D391">
            <v>44396</v>
          </cell>
        </row>
        <row r="392">
          <cell r="A392" t="str">
            <v>Luiz Henrique Martins</v>
          </cell>
          <cell r="B392">
            <v>37006044</v>
          </cell>
          <cell r="C392">
            <v>20016821</v>
          </cell>
          <cell r="D392">
            <v>44399</v>
          </cell>
        </row>
        <row r="393">
          <cell r="A393" t="str">
            <v>Leandro Alves Da Silva</v>
          </cell>
          <cell r="B393">
            <v>37006045</v>
          </cell>
          <cell r="C393">
            <v>20016822</v>
          </cell>
          <cell r="D393">
            <v>44399</v>
          </cell>
        </row>
        <row r="394">
          <cell r="A394" t="str">
            <v>Douglas Henrique Ferreira</v>
          </cell>
          <cell r="B394">
            <v>37006046</v>
          </cell>
          <cell r="C394">
            <v>20016823</v>
          </cell>
          <cell r="D394">
            <v>44399</v>
          </cell>
        </row>
        <row r="395">
          <cell r="A395" t="str">
            <v>Joao Eduardo Da Silva</v>
          </cell>
          <cell r="B395">
            <v>37006049</v>
          </cell>
          <cell r="C395">
            <v>20016825</v>
          </cell>
          <cell r="D395">
            <v>44399</v>
          </cell>
        </row>
        <row r="396">
          <cell r="A396" t="str">
            <v>Rodrigo Barbosa Barreto</v>
          </cell>
          <cell r="B396">
            <v>37006050</v>
          </cell>
          <cell r="C396">
            <v>20016826</v>
          </cell>
          <cell r="D396">
            <v>44399</v>
          </cell>
        </row>
        <row r="397">
          <cell r="A397" t="str">
            <v>Rogerio Silveira</v>
          </cell>
          <cell r="B397">
            <v>37006051</v>
          </cell>
          <cell r="C397">
            <v>20016827</v>
          </cell>
          <cell r="D397">
            <v>44399</v>
          </cell>
        </row>
        <row r="398">
          <cell r="A398" t="str">
            <v>Rafael Moraes Pessoa</v>
          </cell>
          <cell r="B398">
            <v>37006064</v>
          </cell>
          <cell r="C398">
            <v>20016839</v>
          </cell>
          <cell r="D398">
            <v>44410</v>
          </cell>
        </row>
        <row r="399">
          <cell r="A399" t="str">
            <v>Darci Lopes De Camargo</v>
          </cell>
          <cell r="B399">
            <v>37006065</v>
          </cell>
          <cell r="C399">
            <v>20016840</v>
          </cell>
          <cell r="D399">
            <v>44410</v>
          </cell>
        </row>
        <row r="400">
          <cell r="A400" t="str">
            <v>Marcelo Dos Santos Santana</v>
          </cell>
          <cell r="B400">
            <v>37006102</v>
          </cell>
          <cell r="C400">
            <v>20016874</v>
          </cell>
          <cell r="D400">
            <v>44410</v>
          </cell>
        </row>
        <row r="401">
          <cell r="A401" t="str">
            <v>Adriana Prudente Francisco</v>
          </cell>
          <cell r="B401">
            <v>37006106</v>
          </cell>
          <cell r="C401">
            <v>20016878</v>
          </cell>
          <cell r="D401">
            <v>44410</v>
          </cell>
        </row>
        <row r="402">
          <cell r="A402" t="str">
            <v>Denis Alexandre Oliveira Ferraz</v>
          </cell>
          <cell r="B402">
            <v>37006108</v>
          </cell>
          <cell r="C402">
            <v>20016880</v>
          </cell>
          <cell r="D402">
            <v>44417</v>
          </cell>
        </row>
        <row r="403">
          <cell r="A403" t="str">
            <v>Gabriel Victorio Justino Ribeiro</v>
          </cell>
          <cell r="B403">
            <v>37006127</v>
          </cell>
          <cell r="C403">
            <v>20016897</v>
          </cell>
          <cell r="D403">
            <v>44417</v>
          </cell>
        </row>
        <row r="404">
          <cell r="A404" t="str">
            <v>Luiz Antonio Muriano</v>
          </cell>
          <cell r="B404">
            <v>37006128</v>
          </cell>
          <cell r="C404">
            <v>20016898</v>
          </cell>
          <cell r="D404">
            <v>44417</v>
          </cell>
        </row>
        <row r="405">
          <cell r="A405" t="str">
            <v>Joao Rafael Rizatto</v>
          </cell>
          <cell r="B405">
            <v>37006132</v>
          </cell>
          <cell r="C405">
            <v>20016902</v>
          </cell>
          <cell r="D405">
            <v>44417</v>
          </cell>
        </row>
        <row r="406">
          <cell r="A406" t="str">
            <v>Joao Paulo Dos Anjos Mendes</v>
          </cell>
          <cell r="B406">
            <v>37006133</v>
          </cell>
          <cell r="C406">
            <v>20016903</v>
          </cell>
          <cell r="D406">
            <v>44417</v>
          </cell>
        </row>
        <row r="407">
          <cell r="A407" t="str">
            <v>Leandro Rodrigues Batista</v>
          </cell>
          <cell r="B407">
            <v>37006134</v>
          </cell>
          <cell r="C407">
            <v>20016904</v>
          </cell>
          <cell r="D407">
            <v>44417</v>
          </cell>
        </row>
        <row r="408">
          <cell r="A408" t="str">
            <v>Idilio Joao De Carvalho Junior</v>
          </cell>
          <cell r="B408">
            <v>37006148</v>
          </cell>
          <cell r="C408">
            <v>20016910</v>
          </cell>
          <cell r="D408">
            <v>44417</v>
          </cell>
        </row>
        <row r="409">
          <cell r="A409" t="str">
            <v>Ney Carlos Albertino</v>
          </cell>
          <cell r="B409">
            <v>37006149</v>
          </cell>
          <cell r="C409">
            <v>20016911</v>
          </cell>
          <cell r="D409">
            <v>44417</v>
          </cell>
        </row>
        <row r="410">
          <cell r="A410" t="str">
            <v>Ailton Fernandes Alves</v>
          </cell>
          <cell r="B410">
            <v>37006213</v>
          </cell>
          <cell r="C410">
            <v>20016963</v>
          </cell>
          <cell r="D410">
            <v>44424</v>
          </cell>
        </row>
        <row r="411">
          <cell r="A411" t="str">
            <v>Thiago Silverio Lopes Tinoco</v>
          </cell>
          <cell r="B411">
            <v>37006214</v>
          </cell>
          <cell r="C411">
            <v>20016964</v>
          </cell>
          <cell r="D411">
            <v>44424</v>
          </cell>
        </row>
        <row r="412">
          <cell r="A412" t="str">
            <v>Adriano Pedro Da Silva</v>
          </cell>
          <cell r="B412">
            <v>37006217</v>
          </cell>
          <cell r="C412">
            <v>20016967</v>
          </cell>
          <cell r="D412">
            <v>44424</v>
          </cell>
        </row>
        <row r="413">
          <cell r="A413" t="str">
            <v>Henrique Maciel</v>
          </cell>
          <cell r="B413">
            <v>37006218</v>
          </cell>
          <cell r="C413">
            <v>20016968</v>
          </cell>
          <cell r="D413">
            <v>44424</v>
          </cell>
        </row>
        <row r="414">
          <cell r="A414" t="str">
            <v>Nelson Luis Silva</v>
          </cell>
          <cell r="B414">
            <v>37006221</v>
          </cell>
          <cell r="C414">
            <v>20016970</v>
          </cell>
          <cell r="D414">
            <v>44424</v>
          </cell>
        </row>
        <row r="415">
          <cell r="A415" t="str">
            <v>Arnaldo Da Silva Santos</v>
          </cell>
          <cell r="B415">
            <v>37006223</v>
          </cell>
          <cell r="C415">
            <v>20016972</v>
          </cell>
          <cell r="D415">
            <v>44424</v>
          </cell>
        </row>
        <row r="416">
          <cell r="A416" t="str">
            <v>Sandro Jose Da Silva</v>
          </cell>
          <cell r="B416">
            <v>37006245</v>
          </cell>
          <cell r="C416">
            <v>20016987</v>
          </cell>
          <cell r="D416">
            <v>44431</v>
          </cell>
        </row>
        <row r="417">
          <cell r="A417" t="str">
            <v>Jose Roberto Da Silva</v>
          </cell>
          <cell r="B417">
            <v>37006249</v>
          </cell>
          <cell r="C417">
            <v>20016991</v>
          </cell>
          <cell r="D417">
            <v>44431</v>
          </cell>
        </row>
        <row r="418">
          <cell r="A418" t="str">
            <v>Marcilio Alessandro Zerlin</v>
          </cell>
          <cell r="B418">
            <v>37006268</v>
          </cell>
          <cell r="C418">
            <v>20017007</v>
          </cell>
          <cell r="D418">
            <v>44431</v>
          </cell>
        </row>
        <row r="419">
          <cell r="A419" t="str">
            <v>Celso Aparecido Caro</v>
          </cell>
          <cell r="B419">
            <v>37006275</v>
          </cell>
          <cell r="C419">
            <v>20017013</v>
          </cell>
          <cell r="D419">
            <v>44431</v>
          </cell>
        </row>
        <row r="420">
          <cell r="A420" t="str">
            <v>Luiz Fernando Harberkon</v>
          </cell>
          <cell r="B420">
            <v>37006332</v>
          </cell>
          <cell r="C420">
            <v>20017059</v>
          </cell>
          <cell r="D420">
            <v>44447</v>
          </cell>
        </row>
        <row r="421">
          <cell r="A421" t="str">
            <v>Ulisses Aparecido De Assis</v>
          </cell>
          <cell r="B421">
            <v>37006429</v>
          </cell>
          <cell r="C421">
            <v>20017837</v>
          </cell>
          <cell r="D421">
            <v>44459</v>
          </cell>
        </row>
        <row r="422">
          <cell r="A422" t="str">
            <v>Cleber Francelino Paulo</v>
          </cell>
          <cell r="B422">
            <v>37006442</v>
          </cell>
          <cell r="C422">
            <v>20017846</v>
          </cell>
          <cell r="D422">
            <v>44459</v>
          </cell>
        </row>
        <row r="423">
          <cell r="A423" t="str">
            <v>Sergio Roberto Belasco</v>
          </cell>
          <cell r="B423">
            <v>37006476</v>
          </cell>
          <cell r="C423">
            <v>20017871</v>
          </cell>
          <cell r="D423">
            <v>44459</v>
          </cell>
        </row>
        <row r="424">
          <cell r="A424" t="str">
            <v>Jose Alexandre Zoccante</v>
          </cell>
          <cell r="B424">
            <v>37006443</v>
          </cell>
          <cell r="C424">
            <v>20017964</v>
          </cell>
          <cell r="D424">
            <v>44459</v>
          </cell>
        </row>
        <row r="425">
          <cell r="A425" t="str">
            <v>Edvaldo Oliveira Morais</v>
          </cell>
          <cell r="B425">
            <v>37006378</v>
          </cell>
          <cell r="C425">
            <v>20018074</v>
          </cell>
          <cell r="D425">
            <v>44452</v>
          </cell>
        </row>
        <row r="426">
          <cell r="A426" t="str">
            <v>Willian De Campos Lopes</v>
          </cell>
          <cell r="B426">
            <v>37006621</v>
          </cell>
          <cell r="C426">
            <v>20018186</v>
          </cell>
          <cell r="D426">
            <v>44487</v>
          </cell>
        </row>
        <row r="427">
          <cell r="A427" t="str">
            <v>Adriano Alves Costa</v>
          </cell>
          <cell r="B427">
            <v>37006846</v>
          </cell>
          <cell r="C427">
            <v>20020020</v>
          </cell>
          <cell r="D427">
            <v>44536</v>
          </cell>
        </row>
        <row r="428">
          <cell r="A428" t="str">
            <v>Paulo Cesar Dias</v>
          </cell>
          <cell r="B428">
            <v>37006918</v>
          </cell>
          <cell r="C428">
            <v>20020996</v>
          </cell>
          <cell r="D428">
            <v>44550</v>
          </cell>
        </row>
        <row r="429">
          <cell r="A429" t="str">
            <v>Diego Neves Borges</v>
          </cell>
          <cell r="B429">
            <v>37006957</v>
          </cell>
          <cell r="C429">
            <v>20021011</v>
          </cell>
          <cell r="D429">
            <v>44571</v>
          </cell>
        </row>
        <row r="430">
          <cell r="A430" t="str">
            <v>Fabio Alexsander Ferreira Gomes</v>
          </cell>
          <cell r="B430">
            <v>37006961</v>
          </cell>
          <cell r="C430">
            <v>20021014</v>
          </cell>
          <cell r="D430">
            <v>44571</v>
          </cell>
        </row>
        <row r="431">
          <cell r="A431" t="str">
            <v>Amarildo Ferreira De Lima</v>
          </cell>
          <cell r="B431">
            <v>37007029</v>
          </cell>
          <cell r="C431">
            <v>20021053</v>
          </cell>
          <cell r="D431">
            <v>44578</v>
          </cell>
        </row>
        <row r="432">
          <cell r="A432" t="str">
            <v>Willian Aparecido Batista</v>
          </cell>
          <cell r="B432">
            <v>37007036</v>
          </cell>
          <cell r="C432">
            <v>20021057</v>
          </cell>
          <cell r="D432">
            <v>44578</v>
          </cell>
        </row>
        <row r="433">
          <cell r="A433" t="str">
            <v>Victor Nascimento Conrado</v>
          </cell>
          <cell r="B433">
            <v>37006968</v>
          </cell>
          <cell r="C433">
            <v>20021637</v>
          </cell>
          <cell r="D433">
            <v>44571</v>
          </cell>
        </row>
        <row r="434">
          <cell r="A434" t="str">
            <v>Cristiano Diego Ribeiro Da Silva</v>
          </cell>
          <cell r="B434">
            <v>37007047</v>
          </cell>
          <cell r="C434">
            <v>20021656</v>
          </cell>
          <cell r="D434">
            <v>44581</v>
          </cell>
        </row>
        <row r="435">
          <cell r="A435" t="str">
            <v>Luiz Gustavo Bailo Fuganholi</v>
          </cell>
          <cell r="B435">
            <v>37004431</v>
          </cell>
          <cell r="C435">
            <v>20008223</v>
          </cell>
          <cell r="D435">
            <v>43892</v>
          </cell>
        </row>
        <row r="436">
          <cell r="A436" t="str">
            <v>Everaldo Carlos</v>
          </cell>
          <cell r="B436">
            <v>37000720</v>
          </cell>
          <cell r="C436">
            <v>20009026</v>
          </cell>
          <cell r="D436">
            <v>39944</v>
          </cell>
        </row>
        <row r="437">
          <cell r="A437" t="str">
            <v>Leandro Aparecido Santos Da Silva</v>
          </cell>
          <cell r="B437">
            <v>37001588</v>
          </cell>
          <cell r="C437">
            <v>20009471</v>
          </cell>
          <cell r="D437">
            <v>42282</v>
          </cell>
        </row>
        <row r="438">
          <cell r="A438" t="str">
            <v>Thiago Nascimento De Almeida</v>
          </cell>
          <cell r="B438">
            <v>37001187</v>
          </cell>
          <cell r="C438">
            <v>20009958</v>
          </cell>
          <cell r="D438">
            <v>41400</v>
          </cell>
        </row>
        <row r="439">
          <cell r="A439" t="str">
            <v>Matias Cardoso Lopes</v>
          </cell>
          <cell r="B439">
            <v>37003804</v>
          </cell>
          <cell r="C439">
            <v>20009682</v>
          </cell>
          <cell r="D439">
            <v>43752</v>
          </cell>
        </row>
        <row r="440">
          <cell r="A440" t="str">
            <v>Celso Ferraz</v>
          </cell>
          <cell r="B440">
            <v>37003755</v>
          </cell>
          <cell r="C440">
            <v>20008782</v>
          </cell>
          <cell r="D440">
            <v>43752</v>
          </cell>
        </row>
        <row r="441">
          <cell r="A441" t="str">
            <v>Fabiano Jose Nogueira</v>
          </cell>
          <cell r="B441">
            <v>37005628</v>
          </cell>
          <cell r="C441">
            <v>20013933</v>
          </cell>
          <cell r="D441">
            <v>44319</v>
          </cell>
        </row>
        <row r="442">
          <cell r="A442" t="str">
            <v>Jones Bento Cavalheiro</v>
          </cell>
          <cell r="B442">
            <v>37003780</v>
          </cell>
          <cell r="C442">
            <v>20009363</v>
          </cell>
          <cell r="D442">
            <v>43752</v>
          </cell>
        </row>
        <row r="443">
          <cell r="A443" t="str">
            <v>Diego De Oliveira</v>
          </cell>
          <cell r="B443">
            <v>37003759</v>
          </cell>
          <cell r="C443">
            <v>20008905</v>
          </cell>
          <cell r="D443">
            <v>43752</v>
          </cell>
        </row>
        <row r="444">
          <cell r="A444" t="str">
            <v>Mauricio Jose De Oliveira</v>
          </cell>
          <cell r="B444">
            <v>37004656</v>
          </cell>
          <cell r="C444">
            <v>20008253</v>
          </cell>
          <cell r="D444">
            <v>44032</v>
          </cell>
        </row>
        <row r="445">
          <cell r="A445" t="str">
            <v>Marcio Marcelino Dos Santos</v>
          </cell>
          <cell r="B445">
            <v>37007070</v>
          </cell>
          <cell r="C445">
            <v>20022882</v>
          </cell>
          <cell r="D445">
            <v>44593</v>
          </cell>
        </row>
        <row r="446">
          <cell r="A446" t="str">
            <v>Alexandre Barreto Da Silva</v>
          </cell>
          <cell r="B446">
            <v>37007076</v>
          </cell>
          <cell r="C446">
            <v>20022888</v>
          </cell>
          <cell r="D446">
            <v>44593</v>
          </cell>
        </row>
        <row r="447">
          <cell r="A447" t="str">
            <v>Luiz Fernando Tomasetti</v>
          </cell>
          <cell r="B447">
            <v>37007077</v>
          </cell>
          <cell r="C447">
            <v>20022889</v>
          </cell>
          <cell r="D447">
            <v>44593</v>
          </cell>
        </row>
        <row r="448">
          <cell r="A448" t="str">
            <v>Lindolfo Dantas De Oliveira</v>
          </cell>
          <cell r="B448">
            <v>37007090</v>
          </cell>
          <cell r="C448">
            <v>20022902</v>
          </cell>
          <cell r="D448">
            <v>44593</v>
          </cell>
        </row>
        <row r="449">
          <cell r="A449" t="str">
            <v>Andre Luiz Gomes Da Silva</v>
          </cell>
          <cell r="B449">
            <v>37007097</v>
          </cell>
          <cell r="C449">
            <v>20022908</v>
          </cell>
          <cell r="D449">
            <v>44599</v>
          </cell>
        </row>
        <row r="450">
          <cell r="A450" t="str">
            <v>Daniela Duarte Guterres</v>
          </cell>
          <cell r="B450">
            <v>37007099</v>
          </cell>
          <cell r="C450">
            <v>20022909</v>
          </cell>
          <cell r="D450">
            <v>44599</v>
          </cell>
        </row>
        <row r="451">
          <cell r="A451" t="str">
            <v>Josue Galdino De Santana</v>
          </cell>
          <cell r="B451">
            <v>37007115</v>
          </cell>
          <cell r="C451">
            <v>20022923</v>
          </cell>
          <cell r="D451">
            <v>44599</v>
          </cell>
        </row>
        <row r="452">
          <cell r="A452" t="str">
            <v>Marcio Antonio Leme</v>
          </cell>
          <cell r="B452">
            <v>37007145</v>
          </cell>
          <cell r="C452">
            <v>20022949</v>
          </cell>
          <cell r="D452">
            <v>44606</v>
          </cell>
        </row>
        <row r="453">
          <cell r="A453" t="str">
            <v>Vinicius Botelho</v>
          </cell>
          <cell r="B453">
            <v>37007179</v>
          </cell>
          <cell r="C453">
            <v>20022982</v>
          </cell>
          <cell r="D453">
            <v>44609</v>
          </cell>
        </row>
        <row r="454">
          <cell r="A454" t="str">
            <v>Lucas Martins Pereira</v>
          </cell>
          <cell r="B454">
            <v>37006517</v>
          </cell>
          <cell r="C454">
            <v>20019962</v>
          </cell>
          <cell r="D454">
            <v>44473</v>
          </cell>
        </row>
        <row r="455">
          <cell r="A455" t="str">
            <v>Marcolino Rico</v>
          </cell>
          <cell r="B455">
            <v>37005326</v>
          </cell>
          <cell r="C455">
            <v>20015975</v>
          </cell>
          <cell r="D455">
            <v>44228</v>
          </cell>
        </row>
        <row r="456">
          <cell r="A456" t="str">
            <v>Everton Batista Santiago</v>
          </cell>
          <cell r="B456">
            <v>37007265</v>
          </cell>
          <cell r="C456">
            <v>20023632</v>
          </cell>
          <cell r="D456">
            <v>44627</v>
          </cell>
        </row>
        <row r="457">
          <cell r="A457" t="str">
            <v>Edinilson Ivo Dias Nogueira</v>
          </cell>
          <cell r="B457">
            <v>37007295</v>
          </cell>
          <cell r="C457">
            <v>20023654</v>
          </cell>
          <cell r="D457">
            <v>44634</v>
          </cell>
        </row>
        <row r="458">
          <cell r="A458" t="str">
            <v>Ronaldo Alves De Vasconcelos</v>
          </cell>
          <cell r="B458">
            <v>37007288</v>
          </cell>
          <cell r="C458">
            <v>20023667</v>
          </cell>
          <cell r="D458">
            <v>44634</v>
          </cell>
        </row>
        <row r="459">
          <cell r="A459" t="str">
            <v>Reinaldo Rodrigues</v>
          </cell>
          <cell r="B459">
            <v>37007338</v>
          </cell>
          <cell r="C459">
            <v>20023706</v>
          </cell>
          <cell r="D459">
            <v>44634</v>
          </cell>
        </row>
        <row r="460">
          <cell r="A460" t="str">
            <v>Marcos Paulo De Oliveira</v>
          </cell>
          <cell r="B460">
            <v>37000648</v>
          </cell>
          <cell r="C460">
            <v>20009637</v>
          </cell>
          <cell r="D460">
            <v>39587</v>
          </cell>
        </row>
        <row r="461">
          <cell r="A461" t="str">
            <v>Matheus Ferrarezi</v>
          </cell>
          <cell r="B461">
            <v>37003268</v>
          </cell>
          <cell r="C461">
            <v>20009676</v>
          </cell>
          <cell r="D461">
            <v>43626</v>
          </cell>
        </row>
        <row r="462">
          <cell r="A462" t="str">
            <v>Victor Hugo Bruno</v>
          </cell>
          <cell r="B462">
            <v>37004964</v>
          </cell>
          <cell r="C462">
            <v>20008158</v>
          </cell>
          <cell r="D462">
            <v>44109</v>
          </cell>
        </row>
        <row r="463">
          <cell r="A463" t="str">
            <v>Rosemir Medeiros</v>
          </cell>
          <cell r="B463">
            <v>37001011</v>
          </cell>
          <cell r="C463">
            <v>20009895</v>
          </cell>
          <cell r="D463">
            <v>41092</v>
          </cell>
        </row>
        <row r="464">
          <cell r="A464" t="str">
            <v>Vinicius Eduardo De Souza</v>
          </cell>
          <cell r="B464">
            <v>37001988</v>
          </cell>
          <cell r="C464">
            <v>20010010</v>
          </cell>
          <cell r="D464">
            <v>42940</v>
          </cell>
        </row>
        <row r="465">
          <cell r="A465" t="str">
            <v>Daniel Ferreira Da Silva</v>
          </cell>
          <cell r="B465">
            <v>37004419</v>
          </cell>
          <cell r="C465">
            <v>20008167</v>
          </cell>
          <cell r="D465">
            <v>43892</v>
          </cell>
        </row>
        <row r="466">
          <cell r="A466" t="str">
            <v>Diego Affonso Bresio</v>
          </cell>
          <cell r="B466">
            <v>37003330</v>
          </cell>
          <cell r="C466">
            <v>20008900</v>
          </cell>
          <cell r="D466">
            <v>43647</v>
          </cell>
        </row>
        <row r="467">
          <cell r="A467" t="str">
            <v>Alessandro Barbosa Caciatori</v>
          </cell>
          <cell r="B467">
            <v>37006286</v>
          </cell>
          <cell r="C467">
            <v>20017923</v>
          </cell>
          <cell r="D467">
            <v>44440</v>
          </cell>
        </row>
        <row r="468">
          <cell r="A468" t="str">
            <v>Usiel Rafael</v>
          </cell>
          <cell r="B468">
            <v>37006262</v>
          </cell>
          <cell r="C468">
            <v>20017920</v>
          </cell>
          <cell r="D468">
            <v>44431</v>
          </cell>
        </row>
        <row r="469">
          <cell r="A469" t="str">
            <v>Marlon Santos De Melo</v>
          </cell>
          <cell r="B469">
            <v>37004655</v>
          </cell>
          <cell r="C469">
            <v>20008247</v>
          </cell>
          <cell r="D469">
            <v>44032</v>
          </cell>
        </row>
        <row r="470">
          <cell r="A470" t="str">
            <v>Joao Guilherme De Souza</v>
          </cell>
          <cell r="B470">
            <v>37003363</v>
          </cell>
          <cell r="C470">
            <v>20009331</v>
          </cell>
          <cell r="D470">
            <v>43647</v>
          </cell>
        </row>
        <row r="471">
          <cell r="A471" t="str">
            <v>Julio Cesar Martins Da Silva</v>
          </cell>
          <cell r="B471">
            <v>37007998</v>
          </cell>
          <cell r="C471">
            <v>20025927</v>
          </cell>
          <cell r="D471">
            <v>44713</v>
          </cell>
        </row>
        <row r="472">
          <cell r="A472" t="str">
            <v>Rodrigo Toniolo Corsino</v>
          </cell>
          <cell r="B472">
            <v>37007296</v>
          </cell>
          <cell r="C472">
            <v>20025426</v>
          </cell>
          <cell r="D472">
            <v>44634</v>
          </cell>
        </row>
        <row r="473">
          <cell r="A473" t="str">
            <v>Rafael Leda Rizzatto</v>
          </cell>
          <cell r="B473">
            <v>37007415</v>
          </cell>
          <cell r="C473">
            <v>20025452</v>
          </cell>
          <cell r="D473">
            <v>44662</v>
          </cell>
        </row>
        <row r="474">
          <cell r="A474" t="str">
            <v>Sergio Taveira</v>
          </cell>
          <cell r="B474">
            <v>37007450</v>
          </cell>
          <cell r="C474">
            <v>20025504</v>
          </cell>
          <cell r="D474">
            <v>44662</v>
          </cell>
        </row>
        <row r="475">
          <cell r="A475" t="str">
            <v>Marcio Jose Borges Da Silva</v>
          </cell>
          <cell r="B475">
            <v>37007452</v>
          </cell>
          <cell r="C475">
            <v>20025507</v>
          </cell>
          <cell r="D475">
            <v>44662</v>
          </cell>
        </row>
        <row r="476">
          <cell r="A476" t="str">
            <v>Paulo Henrique Ferreira</v>
          </cell>
          <cell r="B476">
            <v>37007449</v>
          </cell>
          <cell r="C476">
            <v>20025508</v>
          </cell>
          <cell r="D476">
            <v>44662</v>
          </cell>
        </row>
        <row r="477">
          <cell r="A477" t="str">
            <v>Adriano Jose Von Seehausen Da Costa</v>
          </cell>
          <cell r="B477">
            <v>37007515</v>
          </cell>
          <cell r="C477">
            <v>20025612</v>
          </cell>
          <cell r="D477">
            <v>44683</v>
          </cell>
        </row>
        <row r="478">
          <cell r="A478" t="str">
            <v>Valter Do Nascimento</v>
          </cell>
          <cell r="B478">
            <v>37007629</v>
          </cell>
          <cell r="C478">
            <v>20025630</v>
          </cell>
          <cell r="D478">
            <v>44683</v>
          </cell>
        </row>
        <row r="479">
          <cell r="A479" t="str">
            <v>Dener Santos Lourenco</v>
          </cell>
          <cell r="B479">
            <v>37007644</v>
          </cell>
          <cell r="C479">
            <v>20025650</v>
          </cell>
          <cell r="D479">
            <v>44683</v>
          </cell>
        </row>
        <row r="480">
          <cell r="A480" t="str">
            <v>Carlos Henrique Rossini</v>
          </cell>
          <cell r="B480">
            <v>37007646</v>
          </cell>
          <cell r="C480">
            <v>20025661</v>
          </cell>
          <cell r="D480">
            <v>44683</v>
          </cell>
        </row>
        <row r="481">
          <cell r="A481" t="str">
            <v>Marcos Vinicius Rossini</v>
          </cell>
          <cell r="B481">
            <v>37007653</v>
          </cell>
          <cell r="C481">
            <v>20025664</v>
          </cell>
          <cell r="D481">
            <v>44683</v>
          </cell>
        </row>
        <row r="482">
          <cell r="A482" t="str">
            <v>Ismael Teodoro Vaz</v>
          </cell>
          <cell r="B482">
            <v>37007671</v>
          </cell>
          <cell r="C482">
            <v>20025706</v>
          </cell>
          <cell r="D482">
            <v>44690</v>
          </cell>
        </row>
        <row r="483">
          <cell r="A483" t="str">
            <v>Edemilson Alves Da Silva</v>
          </cell>
          <cell r="B483">
            <v>37007668</v>
          </cell>
          <cell r="C483">
            <v>20025712</v>
          </cell>
          <cell r="D483">
            <v>44690</v>
          </cell>
        </row>
        <row r="484">
          <cell r="A484" t="str">
            <v>Marcel Vilela Grisioli</v>
          </cell>
          <cell r="B484">
            <v>37007710</v>
          </cell>
          <cell r="C484">
            <v>20025783</v>
          </cell>
          <cell r="D484">
            <v>44690</v>
          </cell>
        </row>
        <row r="485">
          <cell r="A485" t="str">
            <v>Marcos Antonio Caetano Do Rosario</v>
          </cell>
          <cell r="B485">
            <v>37008057</v>
          </cell>
          <cell r="C485">
            <v>20026012</v>
          </cell>
          <cell r="D485">
            <v>44713</v>
          </cell>
        </row>
        <row r="486">
          <cell r="A486" t="str">
            <v>Givanildo Cripa Fiordelizo</v>
          </cell>
          <cell r="B486">
            <v>37008064</v>
          </cell>
          <cell r="C486">
            <v>20026015</v>
          </cell>
          <cell r="D486">
            <v>44713</v>
          </cell>
        </row>
        <row r="487">
          <cell r="A487" t="str">
            <v>Valmir Da Silva</v>
          </cell>
          <cell r="B487">
            <v>37007966</v>
          </cell>
          <cell r="C487">
            <v>20026042</v>
          </cell>
          <cell r="D487">
            <v>44713</v>
          </cell>
        </row>
        <row r="488">
          <cell r="A488" t="str">
            <v>Juliano Barbosa</v>
          </cell>
          <cell r="B488">
            <v>37008062</v>
          </cell>
          <cell r="C488">
            <v>20026044</v>
          </cell>
          <cell r="D488">
            <v>44713</v>
          </cell>
        </row>
        <row r="489">
          <cell r="A489" t="str">
            <v>Thiago Novais Candido Antonio</v>
          </cell>
          <cell r="B489">
            <v>37007947</v>
          </cell>
          <cell r="C489">
            <v>20026157</v>
          </cell>
          <cell r="D489">
            <v>44713</v>
          </cell>
        </row>
        <row r="490">
          <cell r="A490" t="str">
            <v>Felipe Mazetti De Lima</v>
          </cell>
          <cell r="B490">
            <v>37008701</v>
          </cell>
          <cell r="C490">
            <v>20027955</v>
          </cell>
          <cell r="D490">
            <v>44760</v>
          </cell>
        </row>
        <row r="491">
          <cell r="A491" t="str">
            <v>Leonardo Henrique Fossi</v>
          </cell>
          <cell r="B491">
            <v>37008692</v>
          </cell>
          <cell r="C491">
            <v>20027960</v>
          </cell>
          <cell r="D491">
            <v>44760</v>
          </cell>
        </row>
        <row r="492">
          <cell r="A492" t="str">
            <v>Lazaro Andrade</v>
          </cell>
          <cell r="B492">
            <v>37008689</v>
          </cell>
          <cell r="C492">
            <v>20028354</v>
          </cell>
          <cell r="D492">
            <v>44760</v>
          </cell>
        </row>
        <row r="493">
          <cell r="A493" t="str">
            <v>Alexei Emanuel Beliero Ribeiro De Lima</v>
          </cell>
          <cell r="B493">
            <v>37008664</v>
          </cell>
          <cell r="C493">
            <v>20028356</v>
          </cell>
          <cell r="D493">
            <v>44760</v>
          </cell>
        </row>
        <row r="494">
          <cell r="A494" t="str">
            <v>Tiago Morais Souza</v>
          </cell>
          <cell r="B494">
            <v>37008691</v>
          </cell>
          <cell r="C494">
            <v>20029224</v>
          </cell>
          <cell r="D494">
            <v>44760</v>
          </cell>
        </row>
        <row r="495">
          <cell r="A495" t="str">
            <v>Vitor Antonio Pintor</v>
          </cell>
          <cell r="B495">
            <v>37009105</v>
          </cell>
          <cell r="C495">
            <v>20031424</v>
          </cell>
          <cell r="D495">
            <v>44788</v>
          </cell>
        </row>
        <row r="496">
          <cell r="A496" t="str">
            <v>Bruno Otavio De Oliveira Sales</v>
          </cell>
          <cell r="B496">
            <v>37009084</v>
          </cell>
          <cell r="C496">
            <v>20031508</v>
          </cell>
          <cell r="D496">
            <v>44788</v>
          </cell>
        </row>
        <row r="497">
          <cell r="A497" t="str">
            <v>Fernanda Vieira Da Silva</v>
          </cell>
          <cell r="B497">
            <v>37005336</v>
          </cell>
          <cell r="C497">
            <v>20015575</v>
          </cell>
          <cell r="D497">
            <v>44228</v>
          </cell>
        </row>
        <row r="498">
          <cell r="A498" t="str">
            <v>Marllon Henrique Silva</v>
          </cell>
          <cell r="B498">
            <v>37004298</v>
          </cell>
          <cell r="C498">
            <v>20008245</v>
          </cell>
          <cell r="D498">
            <v>43864</v>
          </cell>
        </row>
        <row r="499">
          <cell r="A499" t="str">
            <v>Joao Vagner Valvassori</v>
          </cell>
          <cell r="B499">
            <v>37008796</v>
          </cell>
          <cell r="C499">
            <v>20032407</v>
          </cell>
          <cell r="D499">
            <v>44774</v>
          </cell>
        </row>
        <row r="500">
          <cell r="A500" t="str">
            <v>Angelim Belloni Sobrinho</v>
          </cell>
          <cell r="B500">
            <v>37009303</v>
          </cell>
          <cell r="C500">
            <v>20032408</v>
          </cell>
          <cell r="D500">
            <v>44809</v>
          </cell>
        </row>
        <row r="501">
          <cell r="A501" t="str">
            <v>Wagner Wingler Rebelo</v>
          </cell>
          <cell r="B501">
            <v>37004524</v>
          </cell>
          <cell r="C501">
            <v>20010034</v>
          </cell>
          <cell r="D501">
            <v>43928</v>
          </cell>
        </row>
        <row r="502">
          <cell r="A502" t="str">
            <v>Wagner Antonio Prado De Lima</v>
          </cell>
          <cell r="B502">
            <v>37005876</v>
          </cell>
          <cell r="C502">
            <v>20016104</v>
          </cell>
          <cell r="D502">
            <v>44368</v>
          </cell>
        </row>
        <row r="503">
          <cell r="A503" t="str">
            <v>Robson Correia</v>
          </cell>
          <cell r="B503">
            <v>37003998</v>
          </cell>
          <cell r="C503">
            <v>20009856</v>
          </cell>
          <cell r="D503">
            <v>43801</v>
          </cell>
        </row>
        <row r="504">
          <cell r="A504" t="str">
            <v>Rodrigo Hernandes Rodrigues</v>
          </cell>
          <cell r="B504">
            <v>37009328</v>
          </cell>
          <cell r="C504">
            <v>20032618</v>
          </cell>
          <cell r="D504">
            <v>44809</v>
          </cell>
        </row>
        <row r="505">
          <cell r="A505" t="str">
            <v>Julio Cezar Ferreira Macedo</v>
          </cell>
          <cell r="B505">
            <v>37008760</v>
          </cell>
          <cell r="C505">
            <v>20032613</v>
          </cell>
          <cell r="D505">
            <v>44774</v>
          </cell>
        </row>
        <row r="506">
          <cell r="A506" t="str">
            <v>Fabio Jose Tasca Aguiar</v>
          </cell>
          <cell r="B506">
            <v>37004930</v>
          </cell>
          <cell r="C506">
            <v>20008465</v>
          </cell>
          <cell r="D506">
            <v>44109</v>
          </cell>
        </row>
        <row r="507">
          <cell r="A507" t="str">
            <v>Marcela Vanni</v>
          </cell>
          <cell r="B507">
            <v>37004948</v>
          </cell>
          <cell r="C507">
            <v>20008151</v>
          </cell>
          <cell r="D507">
            <v>44109</v>
          </cell>
        </row>
        <row r="508">
          <cell r="A508" t="str">
            <v>Henrique Rafael Cavalheiro</v>
          </cell>
          <cell r="B508">
            <v>37004167</v>
          </cell>
          <cell r="C508">
            <v>20009243</v>
          </cell>
          <cell r="D508">
            <v>43850</v>
          </cell>
        </row>
        <row r="509">
          <cell r="A509" t="str">
            <v>Jean Nogueira De Souza</v>
          </cell>
          <cell r="B509">
            <v>37009286</v>
          </cell>
          <cell r="C509">
            <v>20032982</v>
          </cell>
          <cell r="D509">
            <v>44809</v>
          </cell>
        </row>
        <row r="510">
          <cell r="A510" t="str">
            <v>Marcelo Bilancieri</v>
          </cell>
          <cell r="B510">
            <v>37009325</v>
          </cell>
          <cell r="C510">
            <v>20033036</v>
          </cell>
          <cell r="D510">
            <v>44809</v>
          </cell>
        </row>
        <row r="511">
          <cell r="A511" t="str">
            <v>Francisco Celso Machiavelli E Silva</v>
          </cell>
          <cell r="B511">
            <v>37009395</v>
          </cell>
          <cell r="C511">
            <v>20033392</v>
          </cell>
          <cell r="D511">
            <v>44816</v>
          </cell>
        </row>
        <row r="512">
          <cell r="A512" t="str">
            <v>Fernando Da Costa Leal</v>
          </cell>
          <cell r="B512">
            <v>37009364</v>
          </cell>
          <cell r="C512">
            <v>20033384</v>
          </cell>
          <cell r="D512">
            <v>44816</v>
          </cell>
        </row>
        <row r="513">
          <cell r="A513" t="str">
            <v>Jacqueline Ferreira Grisioli</v>
          </cell>
          <cell r="B513">
            <v>37009443</v>
          </cell>
          <cell r="C513">
            <v>20034037</v>
          </cell>
          <cell r="D513">
            <v>44823</v>
          </cell>
        </row>
        <row r="514">
          <cell r="A514" t="str">
            <v>Gabriel Fernando Juliao</v>
          </cell>
          <cell r="B514">
            <v>37009461</v>
          </cell>
          <cell r="C514">
            <v>20034031</v>
          </cell>
          <cell r="D514">
            <v>44823</v>
          </cell>
        </row>
        <row r="515">
          <cell r="A515" t="str">
            <v>Geiziane Maria De Souza</v>
          </cell>
          <cell r="B515">
            <v>37009444</v>
          </cell>
          <cell r="C515">
            <v>20034039</v>
          </cell>
          <cell r="D515">
            <v>44823</v>
          </cell>
        </row>
        <row r="516">
          <cell r="A516" t="str">
            <v>Rodrigo Aparecido Ribeiro</v>
          </cell>
          <cell r="B516">
            <v>37009478</v>
          </cell>
          <cell r="C516">
            <v>20034171</v>
          </cell>
          <cell r="D516">
            <v>44823</v>
          </cell>
        </row>
        <row r="517">
          <cell r="A517" t="str">
            <v>Maicon Jeferson Sabino</v>
          </cell>
          <cell r="B517">
            <v>37009474</v>
          </cell>
          <cell r="C517">
            <v>20034176</v>
          </cell>
          <cell r="D517">
            <v>44823</v>
          </cell>
        </row>
        <row r="518">
          <cell r="A518" t="str">
            <v>Joao William Da Silva Brito De Avila</v>
          </cell>
          <cell r="B518">
            <v>37009042</v>
          </cell>
          <cell r="C518">
            <v>20034177</v>
          </cell>
          <cell r="D518">
            <v>44781</v>
          </cell>
        </row>
        <row r="519">
          <cell r="A519" t="str">
            <v>Felipe Gabriel Ferraz De Arruda</v>
          </cell>
          <cell r="B519">
            <v>37009467</v>
          </cell>
          <cell r="C519">
            <v>20034183</v>
          </cell>
          <cell r="D519">
            <v>44823</v>
          </cell>
        </row>
        <row r="520">
          <cell r="A520" t="str">
            <v>Imair Marcio Da Silva</v>
          </cell>
          <cell r="B520">
            <v>37000397</v>
          </cell>
          <cell r="C520">
            <v>20009265</v>
          </cell>
          <cell r="D520">
            <v>38194</v>
          </cell>
        </row>
        <row r="521">
          <cell r="A521" t="str">
            <v>Fernando Neves Dos Santos</v>
          </cell>
          <cell r="B521">
            <v>37004275</v>
          </cell>
          <cell r="C521">
            <v>20009099</v>
          </cell>
          <cell r="D521">
            <v>43864</v>
          </cell>
        </row>
        <row r="522">
          <cell r="A522" t="str">
            <v>Vagner Santos Sao Leao</v>
          </cell>
          <cell r="B522">
            <v>37004795</v>
          </cell>
          <cell r="C522">
            <v>20008403</v>
          </cell>
          <cell r="D522">
            <v>44067</v>
          </cell>
        </row>
        <row r="523">
          <cell r="A523" t="str">
            <v>Leandro De Jesus Nascimento</v>
          </cell>
          <cell r="B523">
            <v>37004428</v>
          </cell>
          <cell r="C523">
            <v>20009476</v>
          </cell>
          <cell r="D523">
            <v>43892</v>
          </cell>
        </row>
        <row r="524">
          <cell r="A524" t="str">
            <v>Joao Antonio Da Silva Junior</v>
          </cell>
          <cell r="B524">
            <v>37001980</v>
          </cell>
          <cell r="C524">
            <v>20009320</v>
          </cell>
          <cell r="D524">
            <v>42926</v>
          </cell>
        </row>
        <row r="525">
          <cell r="A525" t="str">
            <v>Andre Betenheuser</v>
          </cell>
          <cell r="B525">
            <v>37004150</v>
          </cell>
          <cell r="C525">
            <v>20008091</v>
          </cell>
          <cell r="D525">
            <v>43850</v>
          </cell>
        </row>
        <row r="526">
          <cell r="A526" t="str">
            <v>Felipe Buona</v>
          </cell>
          <cell r="B526">
            <v>37003225</v>
          </cell>
          <cell r="C526">
            <v>20009072</v>
          </cell>
          <cell r="D526">
            <v>43619</v>
          </cell>
        </row>
        <row r="527">
          <cell r="A527" t="str">
            <v>Eder De Oliveira Leme</v>
          </cell>
          <cell r="B527">
            <v>37001566</v>
          </cell>
          <cell r="C527">
            <v>20008934</v>
          </cell>
          <cell r="D527">
            <v>42255</v>
          </cell>
        </row>
        <row r="528">
          <cell r="A528" t="str">
            <v>Marcos Antonio Tavano</v>
          </cell>
          <cell r="B528">
            <v>37000692</v>
          </cell>
          <cell r="C528">
            <v>20009626</v>
          </cell>
          <cell r="D528">
            <v>39741</v>
          </cell>
        </row>
        <row r="529">
          <cell r="A529" t="str">
            <v>Lindomar Landim Batista</v>
          </cell>
          <cell r="B529">
            <v>37004652</v>
          </cell>
          <cell r="C529">
            <v>20009496</v>
          </cell>
          <cell r="D529">
            <v>44032</v>
          </cell>
        </row>
        <row r="530">
          <cell r="A530" t="str">
            <v>Jhonatan Silva De Jesus</v>
          </cell>
          <cell r="B530">
            <v>37004680</v>
          </cell>
          <cell r="C530">
            <v>20008358</v>
          </cell>
          <cell r="D530">
            <v>44046</v>
          </cell>
        </row>
        <row r="531">
          <cell r="A531" t="str">
            <v>Guilherme Damacena De Souza</v>
          </cell>
          <cell r="B531">
            <v>37004836</v>
          </cell>
          <cell r="C531">
            <v>20008111</v>
          </cell>
          <cell r="D531">
            <v>44082</v>
          </cell>
        </row>
        <row r="532">
          <cell r="A532" t="str">
            <v>Gustavo Dos Santos Oliveira</v>
          </cell>
          <cell r="B532">
            <v>37003356</v>
          </cell>
          <cell r="C532">
            <v>20009218</v>
          </cell>
          <cell r="D532">
            <v>43647</v>
          </cell>
        </row>
        <row r="533">
          <cell r="A533" t="str">
            <v>Andre Felipe Quadrado</v>
          </cell>
          <cell r="B533">
            <v>37004151</v>
          </cell>
          <cell r="C533">
            <v>20008618</v>
          </cell>
          <cell r="D533">
            <v>43850</v>
          </cell>
        </row>
        <row r="534">
          <cell r="A534" t="str">
            <v>Leonardo Soares Gomes</v>
          </cell>
          <cell r="B534">
            <v>37009592</v>
          </cell>
          <cell r="C534">
            <v>20035410</v>
          </cell>
          <cell r="D534">
            <v>44837</v>
          </cell>
        </row>
        <row r="535">
          <cell r="A535" t="str">
            <v>Aparecido Donizete Correa</v>
          </cell>
          <cell r="B535">
            <v>37006272</v>
          </cell>
          <cell r="C535">
            <v>20017010</v>
          </cell>
          <cell r="D535">
            <v>44431</v>
          </cell>
        </row>
        <row r="536">
          <cell r="A536" t="str">
            <v>Reginaldo Pires Dos Santos</v>
          </cell>
          <cell r="B536">
            <v>37009690</v>
          </cell>
          <cell r="C536">
            <v>20035883</v>
          </cell>
          <cell r="D536">
            <v>44851</v>
          </cell>
        </row>
        <row r="537">
          <cell r="A537" t="str">
            <v>Wagner Teles Da Silva</v>
          </cell>
          <cell r="B537">
            <v>37005526</v>
          </cell>
          <cell r="C537">
            <v>20016020</v>
          </cell>
          <cell r="D537">
            <v>44291</v>
          </cell>
        </row>
        <row r="538">
          <cell r="A538" t="str">
            <v>Felipe Gustavo Manzano</v>
          </cell>
          <cell r="B538">
            <v>37004705</v>
          </cell>
          <cell r="C538">
            <v>20008383</v>
          </cell>
          <cell r="D538">
            <v>44053</v>
          </cell>
        </row>
        <row r="539">
          <cell r="A539" t="str">
            <v>Antonio Ribeiro Junior</v>
          </cell>
          <cell r="B539">
            <v>37008798</v>
          </cell>
          <cell r="C539">
            <v>20036753</v>
          </cell>
          <cell r="D539">
            <v>44768</v>
          </cell>
        </row>
        <row r="540">
          <cell r="A540" t="str">
            <v>Titor Manoel Freitas Fontoura</v>
          </cell>
          <cell r="B540">
            <v>37003405</v>
          </cell>
          <cell r="C540">
            <v>20009975</v>
          </cell>
          <cell r="D540">
            <v>43647</v>
          </cell>
        </row>
        <row r="541">
          <cell r="A541" t="str">
            <v>Jose Augusto Witzel</v>
          </cell>
          <cell r="B541">
            <v>37003781</v>
          </cell>
          <cell r="C541">
            <v>20009379</v>
          </cell>
          <cell r="D541">
            <v>43752</v>
          </cell>
        </row>
        <row r="542">
          <cell r="A542" t="str">
            <v>Leandro Branco De Miranda</v>
          </cell>
          <cell r="B542">
            <v>37001914</v>
          </cell>
          <cell r="C542">
            <v>20009473</v>
          </cell>
          <cell r="D542">
            <v>42807</v>
          </cell>
        </row>
        <row r="543">
          <cell r="A543" t="str">
            <v>Rafael Dias Da Silva</v>
          </cell>
          <cell r="B543">
            <v>37004883</v>
          </cell>
          <cell r="C543">
            <v>20008421</v>
          </cell>
          <cell r="D543">
            <v>44090</v>
          </cell>
        </row>
        <row r="544">
          <cell r="A544" t="str">
            <v>Giovane Luiz Da Silva</v>
          </cell>
          <cell r="B544">
            <v>37004043</v>
          </cell>
          <cell r="C544">
            <v>20009180</v>
          </cell>
          <cell r="D544">
            <v>43808</v>
          </cell>
        </row>
        <row r="545">
          <cell r="A545" t="str">
            <v>Ederson De Arruda Leite</v>
          </cell>
          <cell r="B545">
            <v>37000205</v>
          </cell>
          <cell r="C545">
            <v>20008937</v>
          </cell>
          <cell r="D545">
            <v>35248</v>
          </cell>
        </row>
        <row r="546">
          <cell r="A546" t="str">
            <v>Rodrigo Cesar Diniz De Azevedo</v>
          </cell>
          <cell r="B546">
            <v>37000414</v>
          </cell>
          <cell r="C546">
            <v>20009864</v>
          </cell>
          <cell r="D546">
            <v>38355</v>
          </cell>
        </row>
        <row r="547">
          <cell r="A547" t="str">
            <v>Luis Carlos Polydoro</v>
          </cell>
          <cell r="B547">
            <v>37001043</v>
          </cell>
          <cell r="C547">
            <v>20009535</v>
          </cell>
          <cell r="D547">
            <v>41183</v>
          </cell>
        </row>
        <row r="548">
          <cell r="A548" t="str">
            <v>Fernando Daniel Morgado</v>
          </cell>
          <cell r="B548">
            <v>37000396</v>
          </cell>
          <cell r="C548">
            <v>20009089</v>
          </cell>
          <cell r="D548">
            <v>38194</v>
          </cell>
        </row>
        <row r="549">
          <cell r="A549" t="str">
            <v>Fabricio Henrique Avelino</v>
          </cell>
          <cell r="B549">
            <v>37003283</v>
          </cell>
          <cell r="C549">
            <v>20009066</v>
          </cell>
          <cell r="D549">
            <v>43633</v>
          </cell>
        </row>
        <row r="550">
          <cell r="A550" t="str">
            <v>Andresa De Oliveira Simoes</v>
          </cell>
          <cell r="B550">
            <v>37003748</v>
          </cell>
          <cell r="C550">
            <v>20008632</v>
          </cell>
          <cell r="D550">
            <v>43752</v>
          </cell>
        </row>
        <row r="551">
          <cell r="A551" t="str">
            <v>Rafael Mateus Rodrigues</v>
          </cell>
          <cell r="B551">
            <v>37009802</v>
          </cell>
          <cell r="C551">
            <v>20037072</v>
          </cell>
          <cell r="D551">
            <v>44872</v>
          </cell>
        </row>
        <row r="552">
          <cell r="A552" t="str">
            <v>Taiz Aparecida Domingues</v>
          </cell>
          <cell r="B552">
            <v>37009806</v>
          </cell>
          <cell r="C552">
            <v>20037076</v>
          </cell>
          <cell r="D552">
            <v>44872</v>
          </cell>
        </row>
        <row r="553">
          <cell r="A553" t="str">
            <v>Hiran Alfredo Pasqualinotto Capucho</v>
          </cell>
          <cell r="B553">
            <v>37009988</v>
          </cell>
          <cell r="C553">
            <v>20037097</v>
          </cell>
          <cell r="D553">
            <v>44872</v>
          </cell>
        </row>
        <row r="554">
          <cell r="A554" t="str">
            <v>Edilaine Francisca Pinheiro De Freitas</v>
          </cell>
          <cell r="B554">
            <v>37009857</v>
          </cell>
          <cell r="C554">
            <v>20037164</v>
          </cell>
          <cell r="D554">
            <v>44881</v>
          </cell>
        </row>
        <row r="555">
          <cell r="A555" t="str">
            <v>Felipe Bertini</v>
          </cell>
          <cell r="B555">
            <v>37009886</v>
          </cell>
          <cell r="C555">
            <v>20037221</v>
          </cell>
          <cell r="D555">
            <v>44872</v>
          </cell>
        </row>
        <row r="556">
          <cell r="A556" t="str">
            <v>Rafael Pinheiro Fonseca</v>
          </cell>
          <cell r="B556">
            <v>37009935</v>
          </cell>
          <cell r="C556">
            <v>20037434</v>
          </cell>
          <cell r="D556">
            <v>44872</v>
          </cell>
        </row>
        <row r="557">
          <cell r="A557" t="str">
            <v>Wala Marques Da Silva</v>
          </cell>
          <cell r="B557">
            <v>37010130</v>
          </cell>
          <cell r="C557">
            <v>20038265</v>
          </cell>
          <cell r="D557">
            <v>44886</v>
          </cell>
        </row>
        <row r="558">
          <cell r="A558" t="str">
            <v>Joyce Lima Do Nascimento</v>
          </cell>
          <cell r="B558">
            <v>37010128</v>
          </cell>
          <cell r="C558">
            <v>20038263</v>
          </cell>
          <cell r="D558">
            <v>44886</v>
          </cell>
        </row>
        <row r="559">
          <cell r="A559" t="str">
            <v>Elson Da Silva Fogaca</v>
          </cell>
          <cell r="B559">
            <v>37010129</v>
          </cell>
          <cell r="C559">
            <v>20038264</v>
          </cell>
          <cell r="D559">
            <v>44886</v>
          </cell>
        </row>
        <row r="560">
          <cell r="A560" t="str">
            <v>Napoleao Alessandro Rocha</v>
          </cell>
          <cell r="B560">
            <v>37010133</v>
          </cell>
          <cell r="C560">
            <v>20038268</v>
          </cell>
          <cell r="D560">
            <v>44886</v>
          </cell>
        </row>
        <row r="561">
          <cell r="A561" t="str">
            <v>Ronildo Pacheco</v>
          </cell>
          <cell r="B561">
            <v>37010169</v>
          </cell>
          <cell r="C561">
            <v>20038453</v>
          </cell>
          <cell r="D561">
            <v>44886</v>
          </cell>
        </row>
        <row r="562">
          <cell r="A562" t="str">
            <v>Juliano Cruzeiro</v>
          </cell>
          <cell r="B562">
            <v>37010189</v>
          </cell>
          <cell r="C562">
            <v>20038587</v>
          </cell>
          <cell r="D562">
            <v>44886</v>
          </cell>
        </row>
        <row r="563">
          <cell r="A563" t="str">
            <v>Rafael Armando Rompinelli</v>
          </cell>
          <cell r="B563">
            <v>37003923</v>
          </cell>
          <cell r="C563">
            <v>20009793</v>
          </cell>
          <cell r="D563">
            <v>43773</v>
          </cell>
        </row>
        <row r="564">
          <cell r="A564" t="str">
            <v>Jefferson Azevedo do Nascimento</v>
          </cell>
          <cell r="B564">
            <v>37010229</v>
          </cell>
          <cell r="C564">
            <v>20038840</v>
          </cell>
          <cell r="D564">
            <v>44900</v>
          </cell>
        </row>
        <row r="565">
          <cell r="A565" t="str">
            <v>Francisco Marcos de Lima Marreiro</v>
          </cell>
          <cell r="B565">
            <v>37010231</v>
          </cell>
          <cell r="C565">
            <v>20038842</v>
          </cell>
          <cell r="D565">
            <v>44900</v>
          </cell>
        </row>
        <row r="566">
          <cell r="A566" t="str">
            <v>Felipe Pedroso Pereira</v>
          </cell>
          <cell r="B566">
            <v>37010441</v>
          </cell>
          <cell r="C566">
            <v>20038846</v>
          </cell>
          <cell r="D566">
            <v>44907</v>
          </cell>
        </row>
        <row r="567">
          <cell r="A567" t="str">
            <v>Ronaldo Viana Pacheco</v>
          </cell>
          <cell r="B567">
            <v>37010257</v>
          </cell>
          <cell r="C567">
            <v>20038986</v>
          </cell>
          <cell r="D567">
            <v>44900</v>
          </cell>
        </row>
        <row r="568">
          <cell r="A568" t="str">
            <v>Roger Lidio Ferreira Almeida</v>
          </cell>
          <cell r="B568">
            <v>37010272</v>
          </cell>
          <cell r="C568">
            <v>20039001</v>
          </cell>
          <cell r="D568">
            <v>44900</v>
          </cell>
        </row>
        <row r="569">
          <cell r="A569" t="str">
            <v>Ana Paula Varotto</v>
          </cell>
          <cell r="B569">
            <v>37010317</v>
          </cell>
          <cell r="C569">
            <v>20039025</v>
          </cell>
          <cell r="D569">
            <v>44900</v>
          </cell>
        </row>
        <row r="570">
          <cell r="A570" t="str">
            <v>Daniela Ribeiro</v>
          </cell>
          <cell r="B570">
            <v>37010335</v>
          </cell>
          <cell r="C570">
            <v>20039048</v>
          </cell>
          <cell r="D570">
            <v>44900</v>
          </cell>
        </row>
        <row r="571">
          <cell r="A571" t="str">
            <v>Maike Eduardo Fonseca Ferrari</v>
          </cell>
          <cell r="B571">
            <v>37010469</v>
          </cell>
          <cell r="C571">
            <v>20039966</v>
          </cell>
          <cell r="D571">
            <v>44907</v>
          </cell>
        </row>
        <row r="572">
          <cell r="A572" t="str">
            <v>Ana Paula Lopes Costa</v>
          </cell>
          <cell r="B572">
            <v>37006938</v>
          </cell>
          <cell r="C572">
            <v>20021305</v>
          </cell>
          <cell r="D572">
            <v>44552</v>
          </cell>
        </row>
        <row r="573">
          <cell r="A573" t="str">
            <v>Luana Martins Andre</v>
          </cell>
          <cell r="B573">
            <v>37010510</v>
          </cell>
          <cell r="C573">
            <v>20040243</v>
          </cell>
          <cell r="D573">
            <v>44914</v>
          </cell>
        </row>
        <row r="574">
          <cell r="A574" t="str">
            <v>Ademir Moreira Junior</v>
          </cell>
          <cell r="B574">
            <v>37004359</v>
          </cell>
          <cell r="C574">
            <v>20008027</v>
          </cell>
          <cell r="D574">
            <v>43878</v>
          </cell>
        </row>
        <row r="575">
          <cell r="A575" t="str">
            <v>Raymara Siqueira Mazuki</v>
          </cell>
          <cell r="B575">
            <v>37004957</v>
          </cell>
          <cell r="C575">
            <v>20008155</v>
          </cell>
          <cell r="D575">
            <v>44109</v>
          </cell>
        </row>
        <row r="576">
          <cell r="A576" t="str">
            <v>Joao Vitor Ruiz Franco</v>
          </cell>
          <cell r="B576">
            <v>37004386</v>
          </cell>
          <cell r="C576">
            <v>20009354</v>
          </cell>
          <cell r="D576">
            <v>43878</v>
          </cell>
        </row>
        <row r="577">
          <cell r="A577" t="str">
            <v>Lucas Moretto De Oliveira</v>
          </cell>
          <cell r="B577">
            <v>37003378</v>
          </cell>
          <cell r="C577">
            <v>20009519</v>
          </cell>
          <cell r="D577">
            <v>43647</v>
          </cell>
        </row>
        <row r="578">
          <cell r="A578" t="str">
            <v>Francisco Mariano Granado</v>
          </cell>
          <cell r="B578">
            <v>37000435</v>
          </cell>
          <cell r="C578">
            <v>20009125</v>
          </cell>
          <cell r="D578">
            <v>38418</v>
          </cell>
        </row>
        <row r="579">
          <cell r="A579" t="str">
            <v>Otavio Augusto Euzebio Ventura</v>
          </cell>
          <cell r="B579">
            <v>37003394</v>
          </cell>
          <cell r="C579">
            <v>20009737</v>
          </cell>
          <cell r="D579">
            <v>43647</v>
          </cell>
        </row>
        <row r="580">
          <cell r="A580" t="str">
            <v>Ivan Ricardo Antunes Dos Santos</v>
          </cell>
          <cell r="B580">
            <v>37000426</v>
          </cell>
          <cell r="C580">
            <v>20009281</v>
          </cell>
          <cell r="D580">
            <v>38397</v>
          </cell>
        </row>
        <row r="581">
          <cell r="A581" t="str">
            <v>Mariana De Oliveira</v>
          </cell>
          <cell r="B581">
            <v>37002882</v>
          </cell>
          <cell r="C581">
            <v>20009652</v>
          </cell>
          <cell r="D581">
            <v>43500</v>
          </cell>
        </row>
        <row r="582">
          <cell r="A582" t="str">
            <v>Tiago De Goes Ferreira</v>
          </cell>
          <cell r="B582">
            <v>37010575</v>
          </cell>
          <cell r="C582">
            <v>20040471</v>
          </cell>
          <cell r="D582">
            <v>44930</v>
          </cell>
        </row>
        <row r="583">
          <cell r="A583" t="str">
            <v>Lara Batista Goncalves</v>
          </cell>
          <cell r="B583">
            <v>37004940</v>
          </cell>
          <cell r="C583">
            <v>20008161</v>
          </cell>
          <cell r="D583">
            <v>44109</v>
          </cell>
        </row>
        <row r="584">
          <cell r="A584" t="str">
            <v>Josafa Gabriel Da Silva</v>
          </cell>
          <cell r="B584">
            <v>37003370</v>
          </cell>
          <cell r="C584">
            <v>20009368</v>
          </cell>
          <cell r="D584">
            <v>43647</v>
          </cell>
        </row>
        <row r="585">
          <cell r="A585" t="str">
            <v>Samanta Alho Trindade</v>
          </cell>
          <cell r="B585">
            <v>37010581</v>
          </cell>
          <cell r="C585">
            <v>20040496</v>
          </cell>
          <cell r="D585">
            <v>44930</v>
          </cell>
        </row>
        <row r="586">
          <cell r="A586" t="str">
            <v>Emerson Daniel Garcia</v>
          </cell>
          <cell r="B586">
            <v>37010621</v>
          </cell>
          <cell r="C586">
            <v>20040536</v>
          </cell>
          <cell r="D586">
            <v>44930</v>
          </cell>
        </row>
        <row r="587">
          <cell r="A587" t="str">
            <v>Eduardo Fogaca Cian</v>
          </cell>
          <cell r="B587">
            <v>37003332</v>
          </cell>
          <cell r="C587">
            <v>20008968</v>
          </cell>
          <cell r="D587">
            <v>43647</v>
          </cell>
        </row>
        <row r="588">
          <cell r="A588" t="str">
            <v>Gerson Rodrigues de Oliveira</v>
          </cell>
          <cell r="B588">
            <v>37010752</v>
          </cell>
          <cell r="C588">
            <v>20040962</v>
          </cell>
          <cell r="D588">
            <v>44935</v>
          </cell>
        </row>
        <row r="589">
          <cell r="A589" t="str">
            <v>Tiago Pires da Silva</v>
          </cell>
          <cell r="B589">
            <v>37010762</v>
          </cell>
          <cell r="C589">
            <v>20040972</v>
          </cell>
          <cell r="D589">
            <v>44935</v>
          </cell>
        </row>
        <row r="590">
          <cell r="A590" t="str">
            <v>Fernando Luis Batista</v>
          </cell>
          <cell r="B590">
            <v>37003601</v>
          </cell>
          <cell r="C590">
            <v>20004035</v>
          </cell>
          <cell r="D590">
            <v>43697</v>
          </cell>
        </row>
        <row r="591">
          <cell r="A591" t="str">
            <v>Joao Hercilio Leal Varejano</v>
          </cell>
          <cell r="B591">
            <v>37003778</v>
          </cell>
          <cell r="C591">
            <v>20009335</v>
          </cell>
          <cell r="D591">
            <v>43752</v>
          </cell>
        </row>
        <row r="592">
          <cell r="A592" t="str">
            <v>Luiz Gustavo Ziviani</v>
          </cell>
          <cell r="B592">
            <v>37003795</v>
          </cell>
          <cell r="C592">
            <v>20009570</v>
          </cell>
          <cell r="D592">
            <v>43752</v>
          </cell>
        </row>
        <row r="593">
          <cell r="A593" t="str">
            <v>Jose Victor Tenorio Pacheco</v>
          </cell>
          <cell r="B593">
            <v>37011038</v>
          </cell>
          <cell r="C593">
            <v>20042024</v>
          </cell>
          <cell r="D593">
            <v>44963</v>
          </cell>
        </row>
        <row r="594">
          <cell r="A594" t="str">
            <v>Mateus Ricardo Da Silva</v>
          </cell>
          <cell r="B594">
            <v>37000479</v>
          </cell>
          <cell r="C594">
            <v>20009671</v>
          </cell>
          <cell r="D594">
            <v>39034</v>
          </cell>
        </row>
        <row r="595">
          <cell r="A595" t="str">
            <v>Guilherme Augusto Romani</v>
          </cell>
          <cell r="B595">
            <v>37007724</v>
          </cell>
          <cell r="C595">
            <v>20025803</v>
          </cell>
          <cell r="D595">
            <v>44697</v>
          </cell>
        </row>
        <row r="596">
          <cell r="A596" t="str">
            <v>Edson Marques Da Silva</v>
          </cell>
          <cell r="B596">
            <v>37000424</v>
          </cell>
          <cell r="C596">
            <v>20008960</v>
          </cell>
          <cell r="D596">
            <v>38397</v>
          </cell>
        </row>
        <row r="597">
          <cell r="A597" t="str">
            <v>Deivid De Sousa Maia</v>
          </cell>
          <cell r="B597">
            <v>37001215</v>
          </cell>
          <cell r="C597">
            <v>20008887</v>
          </cell>
          <cell r="D597">
            <v>41491</v>
          </cell>
        </row>
        <row r="598">
          <cell r="A598" t="str">
            <v>Andre Teixeira</v>
          </cell>
          <cell r="B598">
            <v>37004600</v>
          </cell>
          <cell r="C598">
            <v>20008096</v>
          </cell>
          <cell r="D598">
            <v>44018</v>
          </cell>
        </row>
        <row r="599">
          <cell r="A599" t="str">
            <v>Guilherme De Souza Silva</v>
          </cell>
          <cell r="B599">
            <v>37003350</v>
          </cell>
          <cell r="C599">
            <v>20009200</v>
          </cell>
          <cell r="D599">
            <v>43647</v>
          </cell>
        </row>
        <row r="600">
          <cell r="A600" t="str">
            <v>Mauricio Helinton Moreira Da Costa</v>
          </cell>
          <cell r="B600">
            <v>37003235</v>
          </cell>
          <cell r="C600">
            <v>20009683</v>
          </cell>
          <cell r="D600">
            <v>43619</v>
          </cell>
        </row>
        <row r="601">
          <cell r="A601" t="str">
            <v>Paulo Henrique Carpelotti</v>
          </cell>
          <cell r="B601">
            <v>37005402</v>
          </cell>
          <cell r="C601">
            <v>20013520</v>
          </cell>
          <cell r="D601">
            <v>44256</v>
          </cell>
        </row>
        <row r="602">
          <cell r="A602" t="str">
            <v>Adriel Correia Ribeiro</v>
          </cell>
          <cell r="B602">
            <v>37004417</v>
          </cell>
          <cell r="C602">
            <v>20008039</v>
          </cell>
          <cell r="D602">
            <v>43892</v>
          </cell>
        </row>
        <row r="603">
          <cell r="A603" t="str">
            <v>Beatriz Francisca Gomes</v>
          </cell>
          <cell r="B603">
            <v>37006289</v>
          </cell>
          <cell r="C603">
            <v>20017926</v>
          </cell>
          <cell r="D603">
            <v>44440</v>
          </cell>
        </row>
        <row r="604">
          <cell r="A604" t="str">
            <v>Wesley Da Silva Queiroz</v>
          </cell>
          <cell r="B604">
            <v>37003410</v>
          </cell>
          <cell r="C604">
            <v>20010048</v>
          </cell>
          <cell r="D604">
            <v>43647</v>
          </cell>
        </row>
        <row r="605">
          <cell r="A605" t="str">
            <v>Leonardo Lima Gomes</v>
          </cell>
          <cell r="B605">
            <v>37004131</v>
          </cell>
          <cell r="C605">
            <v>20009486</v>
          </cell>
          <cell r="D605">
            <v>43843</v>
          </cell>
        </row>
        <row r="606">
          <cell r="A606" t="str">
            <v>Tiago Oliver De Souza</v>
          </cell>
          <cell r="B606">
            <v>37000467</v>
          </cell>
          <cell r="C606">
            <v>20009970</v>
          </cell>
          <cell r="D606">
            <v>38810</v>
          </cell>
        </row>
        <row r="607">
          <cell r="A607" t="str">
            <v>Ivan Martins Tagliatela</v>
          </cell>
          <cell r="B607">
            <v>37000654</v>
          </cell>
          <cell r="C607">
            <v>20009280</v>
          </cell>
          <cell r="D607">
            <v>39601</v>
          </cell>
        </row>
        <row r="608">
          <cell r="A608" t="str">
            <v>Gabriel Dos Santos Monteiro</v>
          </cell>
          <cell r="B608">
            <v>37007148</v>
          </cell>
          <cell r="C608">
            <v>20022955</v>
          </cell>
          <cell r="D608">
            <v>44606</v>
          </cell>
        </row>
        <row r="609">
          <cell r="A609" t="str">
            <v>Rodinaldo Duarte Lopes</v>
          </cell>
          <cell r="B609">
            <v>37001344</v>
          </cell>
          <cell r="C609">
            <v>20009859</v>
          </cell>
          <cell r="D609">
            <v>41673</v>
          </cell>
        </row>
        <row r="610">
          <cell r="A610" t="str">
            <v>Cleverson Correia Ribeiro</v>
          </cell>
          <cell r="B610">
            <v>37005898</v>
          </cell>
          <cell r="C610">
            <v>20015634</v>
          </cell>
          <cell r="D610">
            <v>44382</v>
          </cell>
        </row>
        <row r="611">
          <cell r="A611" t="str">
            <v>Luis Gustavo Souza</v>
          </cell>
          <cell r="B611">
            <v>37011134</v>
          </cell>
          <cell r="C611">
            <v>20042365</v>
          </cell>
          <cell r="D611">
            <v>44970</v>
          </cell>
        </row>
        <row r="612">
          <cell r="A612" t="str">
            <v>Everton Rodrigo Dos Santos</v>
          </cell>
          <cell r="B612">
            <v>37006310</v>
          </cell>
          <cell r="C612">
            <v>20017037</v>
          </cell>
          <cell r="D612">
            <v>44440</v>
          </cell>
        </row>
        <row r="613">
          <cell r="A613" t="str">
            <v>Marcelo Rego Furtado</v>
          </cell>
          <cell r="B613">
            <v>37003570</v>
          </cell>
          <cell r="C613">
            <v>20009601</v>
          </cell>
          <cell r="D613">
            <v>43696</v>
          </cell>
        </row>
        <row r="614">
          <cell r="A614" t="str">
            <v>Bruno Murilo De Toledo Cesar</v>
          </cell>
          <cell r="B614">
            <v>37000381</v>
          </cell>
          <cell r="C614">
            <v>20008725</v>
          </cell>
          <cell r="D614">
            <v>37991</v>
          </cell>
        </row>
        <row r="615">
          <cell r="A615" t="str">
            <v>Gustavo de Souza Lemes</v>
          </cell>
          <cell r="B615">
            <v>37011187</v>
          </cell>
          <cell r="C615">
            <v>20042533</v>
          </cell>
          <cell r="D615">
            <v>44970</v>
          </cell>
        </row>
        <row r="616">
          <cell r="A616" t="str">
            <v>Leonardo Simao Ribas</v>
          </cell>
          <cell r="B616">
            <v>37011250</v>
          </cell>
          <cell r="C616">
            <v>20042648</v>
          </cell>
          <cell r="D616">
            <v>44970</v>
          </cell>
        </row>
        <row r="617">
          <cell r="A617" t="str">
            <v>Gustavo Domingos Santos Portugal</v>
          </cell>
          <cell r="B617">
            <v>37007291</v>
          </cell>
          <cell r="C617">
            <v>20023664</v>
          </cell>
          <cell r="D617">
            <v>44634</v>
          </cell>
        </row>
        <row r="618">
          <cell r="A618" t="str">
            <v>Felipe Jose Batista Fidencio Bassoli</v>
          </cell>
          <cell r="B618">
            <v>37007683</v>
          </cell>
          <cell r="C618">
            <v>20025730</v>
          </cell>
          <cell r="D618">
            <v>44690</v>
          </cell>
        </row>
        <row r="619">
          <cell r="A619" t="str">
            <v>Anderson Matheus doCarmo</v>
          </cell>
          <cell r="B619">
            <v>37011426</v>
          </cell>
          <cell r="C619">
            <v>20043853</v>
          </cell>
          <cell r="D619">
            <v>44991</v>
          </cell>
        </row>
        <row r="620">
          <cell r="A620" t="str">
            <v>Joao Vitor Sobrinho Moraes</v>
          </cell>
          <cell r="B620">
            <v>37011410</v>
          </cell>
          <cell r="C620">
            <v>20023770</v>
          </cell>
          <cell r="D620">
            <v>44986</v>
          </cell>
        </row>
        <row r="621">
          <cell r="A621" t="str">
            <v>Marcos Tadeu Maella de Sousa</v>
          </cell>
          <cell r="B621">
            <v>37011469</v>
          </cell>
          <cell r="C621">
            <v>20044128</v>
          </cell>
          <cell r="D621">
            <v>44991</v>
          </cell>
        </row>
        <row r="622">
          <cell r="A622" t="str">
            <v>Rulbia Gomes Da Silva</v>
          </cell>
          <cell r="B622">
            <v>37011508</v>
          </cell>
          <cell r="C622">
            <v>20044195</v>
          </cell>
          <cell r="D622">
            <v>44991</v>
          </cell>
        </row>
        <row r="623">
          <cell r="A623" t="str">
            <v>Ana Luisa Camargo</v>
          </cell>
          <cell r="B623">
            <v>37011507</v>
          </cell>
          <cell r="C623">
            <v>20044194</v>
          </cell>
          <cell r="D623">
            <v>44991</v>
          </cell>
        </row>
        <row r="624">
          <cell r="A624" t="str">
            <v>Adailton Da Silva Carvalho</v>
          </cell>
          <cell r="B624">
            <v>37011510</v>
          </cell>
          <cell r="C624">
            <v>20044197</v>
          </cell>
          <cell r="D624">
            <v>44991</v>
          </cell>
        </row>
        <row r="625">
          <cell r="A625" t="str">
            <v>Caio Breno Souza Antonio</v>
          </cell>
          <cell r="B625">
            <v>37011511</v>
          </cell>
          <cell r="C625">
            <v>20044198</v>
          </cell>
          <cell r="D625">
            <v>44991</v>
          </cell>
        </row>
        <row r="626">
          <cell r="A626" t="str">
            <v>Jose Carlos Barbosa</v>
          </cell>
          <cell r="B626">
            <v>37000222</v>
          </cell>
          <cell r="C626">
            <v>20009381</v>
          </cell>
          <cell r="D626">
            <v>35328</v>
          </cell>
        </row>
        <row r="627">
          <cell r="A627" t="str">
            <v>Fabiano Bernardes De Bortoli</v>
          </cell>
          <cell r="B627">
            <v>37000670</v>
          </cell>
          <cell r="C627">
            <v>20009039</v>
          </cell>
          <cell r="D627">
            <v>39671</v>
          </cell>
        </row>
        <row r="628">
          <cell r="A628" t="str">
            <v>Gabriel Lopes Francisco</v>
          </cell>
          <cell r="B628">
            <v>37000409</v>
          </cell>
          <cell r="C628">
            <v>20009140</v>
          </cell>
          <cell r="D628">
            <v>38355</v>
          </cell>
        </row>
        <row r="629">
          <cell r="A629" t="str">
            <v>Guilherme Faria Ponciano</v>
          </cell>
          <cell r="B629">
            <v>37003351</v>
          </cell>
          <cell r="C629">
            <v>20009201</v>
          </cell>
          <cell r="D629">
            <v>43647</v>
          </cell>
        </row>
        <row r="630">
          <cell r="A630" t="str">
            <v>Luciana Santiago De Oliveira</v>
          </cell>
          <cell r="B630">
            <v>37001237</v>
          </cell>
          <cell r="C630">
            <v>20009525</v>
          </cell>
          <cell r="D630">
            <v>41554</v>
          </cell>
        </row>
        <row r="631">
          <cell r="A631" t="str">
            <v>Douglas Gabriel De Carvalho</v>
          </cell>
          <cell r="B631">
            <v>37001608</v>
          </cell>
          <cell r="C631">
            <v>20008923</v>
          </cell>
          <cell r="D631">
            <v>42345</v>
          </cell>
        </row>
        <row r="632">
          <cell r="A632" t="str">
            <v>Fernando Junior Alves Ferreira</v>
          </cell>
          <cell r="B632">
            <v>37007377</v>
          </cell>
          <cell r="C632">
            <v>20023753</v>
          </cell>
          <cell r="D632">
            <v>44641</v>
          </cell>
        </row>
        <row r="633">
          <cell r="A633" t="str">
            <v>Carlos Eduardo Garcia De Souza</v>
          </cell>
          <cell r="B633">
            <v>37011548</v>
          </cell>
          <cell r="C633">
            <v>20044494</v>
          </cell>
          <cell r="D633">
            <v>44991</v>
          </cell>
        </row>
        <row r="634">
          <cell r="A634" t="str">
            <v>Leticia Pires Vieira</v>
          </cell>
          <cell r="B634">
            <v>37011553</v>
          </cell>
          <cell r="C634">
            <v>20044499</v>
          </cell>
          <cell r="D634">
            <v>44991</v>
          </cell>
        </row>
        <row r="635">
          <cell r="A635" t="str">
            <v>Leonardo Bueno Romero Silva</v>
          </cell>
          <cell r="B635">
            <v>37011556</v>
          </cell>
          <cell r="C635">
            <v>20044502</v>
          </cell>
          <cell r="D635">
            <v>44991</v>
          </cell>
        </row>
        <row r="636">
          <cell r="A636" t="str">
            <v>Licoln Augusto De Souza</v>
          </cell>
          <cell r="B636">
            <v>37011559</v>
          </cell>
          <cell r="C636">
            <v>20044505</v>
          </cell>
          <cell r="D636">
            <v>44991</v>
          </cell>
        </row>
        <row r="637">
          <cell r="A637" t="str">
            <v>Ana Beatriz Gomes</v>
          </cell>
          <cell r="B637">
            <v>37011549</v>
          </cell>
          <cell r="C637">
            <v>20044495</v>
          </cell>
          <cell r="D637">
            <v>44991</v>
          </cell>
        </row>
        <row r="638">
          <cell r="A638" t="str">
            <v>Kaic Dias Franca</v>
          </cell>
          <cell r="B638">
            <v>37011550</v>
          </cell>
          <cell r="C638">
            <v>20044496</v>
          </cell>
          <cell r="D638">
            <v>44991</v>
          </cell>
        </row>
        <row r="639">
          <cell r="A639" t="str">
            <v>Adrian Felipe da Costa</v>
          </cell>
          <cell r="B639">
            <v>37011551</v>
          </cell>
          <cell r="C639">
            <v>20044497</v>
          </cell>
          <cell r="D639">
            <v>44991</v>
          </cell>
        </row>
        <row r="640">
          <cell r="A640" t="str">
            <v>Arthur Pelegrin Moretto</v>
          </cell>
          <cell r="B640">
            <v>37011552</v>
          </cell>
          <cell r="C640">
            <v>20044498</v>
          </cell>
          <cell r="D640">
            <v>44991</v>
          </cell>
        </row>
        <row r="641">
          <cell r="A641" t="str">
            <v>Kauan Alves Rocha</v>
          </cell>
          <cell r="B641">
            <v>37011555</v>
          </cell>
          <cell r="C641">
            <v>20044501</v>
          </cell>
          <cell r="D641">
            <v>44991</v>
          </cell>
        </row>
        <row r="642">
          <cell r="A642" t="str">
            <v>Gabriele Fernanda Barbosa Rodrigues</v>
          </cell>
          <cell r="B642">
            <v>37011557</v>
          </cell>
          <cell r="C642">
            <v>20044503</v>
          </cell>
          <cell r="D642">
            <v>44991</v>
          </cell>
        </row>
        <row r="643">
          <cell r="A643" t="str">
            <v>Ana Clara Dos Santos Da Silva</v>
          </cell>
          <cell r="B643">
            <v>37011558</v>
          </cell>
          <cell r="C643">
            <v>20044504</v>
          </cell>
          <cell r="D643">
            <v>44991</v>
          </cell>
        </row>
        <row r="644">
          <cell r="A644" t="str">
            <v>Laura Caroline Babini</v>
          </cell>
          <cell r="B644">
            <v>37011562</v>
          </cell>
          <cell r="C644">
            <v>20044508</v>
          </cell>
          <cell r="D644">
            <v>44991</v>
          </cell>
        </row>
        <row r="645">
          <cell r="A645" t="str">
            <v>Alexandre Barbosa Monteiro</v>
          </cell>
          <cell r="B645">
            <v>37011564</v>
          </cell>
          <cell r="C645">
            <v>20044510</v>
          </cell>
          <cell r="D645">
            <v>44991</v>
          </cell>
        </row>
        <row r="646">
          <cell r="A646" t="str">
            <v>Maria Eduarda Duete Da Silva</v>
          </cell>
          <cell r="B646">
            <v>37011565</v>
          </cell>
          <cell r="C646">
            <v>20044511</v>
          </cell>
          <cell r="D646">
            <v>44991</v>
          </cell>
        </row>
        <row r="647">
          <cell r="A647" t="str">
            <v>Jose Matheus De Moraes Santana</v>
          </cell>
          <cell r="B647">
            <v>37011570</v>
          </cell>
          <cell r="C647">
            <v>20044516</v>
          </cell>
          <cell r="D647">
            <v>44991</v>
          </cell>
        </row>
        <row r="648">
          <cell r="A648" t="str">
            <v>Bruno Batista De Assis</v>
          </cell>
          <cell r="B648">
            <v>37011574</v>
          </cell>
          <cell r="C648">
            <v>20044520</v>
          </cell>
          <cell r="D648">
            <v>44991</v>
          </cell>
        </row>
        <row r="649">
          <cell r="A649" t="str">
            <v>Bruno Henrique Maximiano</v>
          </cell>
          <cell r="B649">
            <v>37011575</v>
          </cell>
          <cell r="C649">
            <v>20044521</v>
          </cell>
          <cell r="D649">
            <v>44991</v>
          </cell>
        </row>
        <row r="650">
          <cell r="A650" t="str">
            <v>Kayo Dick Ferreira</v>
          </cell>
          <cell r="B650">
            <v>37011578</v>
          </cell>
          <cell r="C650">
            <v>20044524</v>
          </cell>
          <cell r="D650">
            <v>44991</v>
          </cell>
        </row>
        <row r="651">
          <cell r="A651" t="str">
            <v>Matheus Forlini Godoy</v>
          </cell>
          <cell r="B651">
            <v>37011566</v>
          </cell>
          <cell r="C651">
            <v>20044512</v>
          </cell>
          <cell r="D651">
            <v>44991</v>
          </cell>
        </row>
        <row r="652">
          <cell r="A652" t="str">
            <v>Thiago Lopes Bezerra</v>
          </cell>
          <cell r="B652">
            <v>37011567</v>
          </cell>
          <cell r="C652">
            <v>20044513</v>
          </cell>
          <cell r="D652">
            <v>44991</v>
          </cell>
        </row>
        <row r="653">
          <cell r="A653" t="str">
            <v>Guilherme Cortez Ferraz da Silva</v>
          </cell>
          <cell r="B653">
            <v>37011568</v>
          </cell>
          <cell r="C653">
            <v>20044514</v>
          </cell>
          <cell r="D653">
            <v>44991</v>
          </cell>
        </row>
        <row r="654">
          <cell r="A654" t="str">
            <v>Vinicius Melo Silva</v>
          </cell>
          <cell r="B654">
            <v>37011569</v>
          </cell>
          <cell r="C654">
            <v>20044515</v>
          </cell>
          <cell r="D654">
            <v>44991</v>
          </cell>
        </row>
        <row r="655">
          <cell r="A655" t="str">
            <v>Julia Duarte</v>
          </cell>
          <cell r="B655">
            <v>37011572</v>
          </cell>
          <cell r="C655">
            <v>20044518</v>
          </cell>
          <cell r="D655">
            <v>44991</v>
          </cell>
        </row>
        <row r="656">
          <cell r="A656" t="str">
            <v>Dherek Sodre Alves</v>
          </cell>
          <cell r="B656">
            <v>37011573</v>
          </cell>
          <cell r="C656">
            <v>20044519</v>
          </cell>
          <cell r="D656">
            <v>44991</v>
          </cell>
        </row>
        <row r="657">
          <cell r="A657" t="str">
            <v>Kayke Henrique Valesi Oliveira</v>
          </cell>
          <cell r="B657">
            <v>37011576</v>
          </cell>
          <cell r="C657">
            <v>20044522</v>
          </cell>
          <cell r="D657">
            <v>44991</v>
          </cell>
        </row>
        <row r="658">
          <cell r="A658" t="str">
            <v>Ana Livia Da Silva Vieira</v>
          </cell>
          <cell r="B658">
            <v>37011577</v>
          </cell>
          <cell r="C658">
            <v>20044523</v>
          </cell>
          <cell r="D658">
            <v>44991</v>
          </cell>
        </row>
        <row r="659">
          <cell r="A659" t="str">
            <v>Maria Eduarda Santos De Jesus</v>
          </cell>
          <cell r="B659">
            <v>37011580</v>
          </cell>
          <cell r="C659">
            <v>20044526</v>
          </cell>
          <cell r="D659">
            <v>44991</v>
          </cell>
        </row>
        <row r="660">
          <cell r="A660" t="str">
            <v>Carlos Eduardo Correa</v>
          </cell>
          <cell r="B660">
            <v>37011582</v>
          </cell>
          <cell r="C660">
            <v>20044528</v>
          </cell>
          <cell r="D660">
            <v>44991</v>
          </cell>
        </row>
        <row r="661">
          <cell r="A661" t="str">
            <v>Vitor Augusto Da Silva</v>
          </cell>
          <cell r="B661">
            <v>37011579</v>
          </cell>
          <cell r="C661">
            <v>20044525</v>
          </cell>
          <cell r="D661">
            <v>44991</v>
          </cell>
        </row>
        <row r="662">
          <cell r="A662" t="str">
            <v>Damares De Freitas</v>
          </cell>
          <cell r="B662">
            <v>37011581</v>
          </cell>
          <cell r="C662">
            <v>20044527</v>
          </cell>
          <cell r="D662">
            <v>44991</v>
          </cell>
        </row>
        <row r="663">
          <cell r="A663" t="str">
            <v>Jose Arthur Borges da Silva</v>
          </cell>
          <cell r="B663">
            <v>37011583</v>
          </cell>
          <cell r="C663">
            <v>20044529</v>
          </cell>
          <cell r="D663">
            <v>44991</v>
          </cell>
        </row>
        <row r="664">
          <cell r="A664" t="str">
            <v>Vinicius Henrique Silva De Padua</v>
          </cell>
          <cell r="B664">
            <v>37011587</v>
          </cell>
          <cell r="C664">
            <v>20044533</v>
          </cell>
          <cell r="D664">
            <v>44991</v>
          </cell>
        </row>
        <row r="665">
          <cell r="A665" t="str">
            <v>Kettelley Karolayne Paulino Ortiz Machado</v>
          </cell>
          <cell r="B665">
            <v>37011588</v>
          </cell>
          <cell r="C665">
            <v>20044534</v>
          </cell>
          <cell r="D665">
            <v>44991</v>
          </cell>
        </row>
        <row r="666">
          <cell r="A666" t="str">
            <v>Kevynn Da Silva Gomes</v>
          </cell>
          <cell r="B666">
            <v>37011596</v>
          </cell>
          <cell r="C666">
            <v>20044542</v>
          </cell>
          <cell r="D666">
            <v>44991</v>
          </cell>
        </row>
        <row r="667">
          <cell r="A667" t="str">
            <v>Eduardo Marques Borin</v>
          </cell>
          <cell r="B667">
            <v>37011584</v>
          </cell>
          <cell r="C667">
            <v>20044530</v>
          </cell>
          <cell r="D667">
            <v>44991</v>
          </cell>
        </row>
        <row r="668">
          <cell r="A668" t="str">
            <v>Kaua De Carvalho Florencio</v>
          </cell>
          <cell r="B668">
            <v>37011585</v>
          </cell>
          <cell r="C668">
            <v>20044531</v>
          </cell>
          <cell r="D668">
            <v>44991</v>
          </cell>
        </row>
        <row r="669">
          <cell r="A669" t="str">
            <v>Pedro Daniel Tavares da Silva</v>
          </cell>
          <cell r="B669">
            <v>37011586</v>
          </cell>
          <cell r="C669">
            <v>20044532</v>
          </cell>
          <cell r="D669">
            <v>44991</v>
          </cell>
        </row>
        <row r="670">
          <cell r="A670" t="str">
            <v>Maria Victoria Artioli Da Silva</v>
          </cell>
          <cell r="B670">
            <v>37011591</v>
          </cell>
          <cell r="C670">
            <v>20044537</v>
          </cell>
          <cell r="D670">
            <v>44991</v>
          </cell>
        </row>
        <row r="671">
          <cell r="A671" t="str">
            <v>Mileni Gabrieli De Souza Lopes</v>
          </cell>
          <cell r="B671">
            <v>37011592</v>
          </cell>
          <cell r="C671">
            <v>20044538</v>
          </cell>
          <cell r="D671">
            <v>44991</v>
          </cell>
        </row>
        <row r="672">
          <cell r="A672" t="str">
            <v>Camila Jordao</v>
          </cell>
          <cell r="B672">
            <v>37011593</v>
          </cell>
          <cell r="C672">
            <v>20044539</v>
          </cell>
          <cell r="D672">
            <v>44991</v>
          </cell>
        </row>
        <row r="673">
          <cell r="A673" t="str">
            <v>Igor Bento Ferraz</v>
          </cell>
          <cell r="B673">
            <v>37011594</v>
          </cell>
          <cell r="C673">
            <v>20044540</v>
          </cell>
          <cell r="D673">
            <v>44991</v>
          </cell>
        </row>
        <row r="674">
          <cell r="A674" t="str">
            <v>Rogerio Albero</v>
          </cell>
          <cell r="B674">
            <v>37011625</v>
          </cell>
          <cell r="C674">
            <v>20044796</v>
          </cell>
          <cell r="D674">
            <v>44991</v>
          </cell>
        </row>
        <row r="675">
          <cell r="A675" t="str">
            <v>Reginaldo Aparecido Grecco</v>
          </cell>
          <cell r="B675">
            <v>37005538</v>
          </cell>
          <cell r="C675">
            <v>20016018</v>
          </cell>
          <cell r="D675">
            <v>44291</v>
          </cell>
        </row>
        <row r="676">
          <cell r="A676" t="str">
            <v>Alexandro Bettanin</v>
          </cell>
          <cell r="B676">
            <v>37000309</v>
          </cell>
          <cell r="C676">
            <v>20008549</v>
          </cell>
          <cell r="D676">
            <v>36934</v>
          </cell>
        </row>
        <row r="677">
          <cell r="A677" t="str">
            <v>Jairso Donizete Da Silva</v>
          </cell>
          <cell r="B677">
            <v>37011749</v>
          </cell>
          <cell r="C677">
            <v>20045298</v>
          </cell>
          <cell r="D677">
            <v>44998</v>
          </cell>
        </row>
        <row r="678">
          <cell r="A678" t="str">
            <v>Guilherme Reginatto Martins</v>
          </cell>
          <cell r="B678">
            <v>37011780</v>
          </cell>
          <cell r="C678">
            <v>20045755</v>
          </cell>
          <cell r="D678">
            <v>45005</v>
          </cell>
        </row>
        <row r="679">
          <cell r="A679" t="str">
            <v>Heronilton Fernandes Da Silva</v>
          </cell>
          <cell r="B679">
            <v>37005339</v>
          </cell>
          <cell r="C679">
            <v>20015974</v>
          </cell>
          <cell r="D679">
            <v>44228</v>
          </cell>
        </row>
        <row r="680">
          <cell r="A680" t="str">
            <v>Cassio Alberto Almeida De Laet</v>
          </cell>
          <cell r="B680">
            <v>37012022</v>
          </cell>
          <cell r="C680">
            <v>20047174</v>
          </cell>
          <cell r="D680">
            <v>45027</v>
          </cell>
        </row>
        <row r="681">
          <cell r="A681" t="str">
            <v>Heliton Lemes Gomes</v>
          </cell>
          <cell r="B681">
            <v>37012020</v>
          </cell>
          <cell r="C681">
            <v>20047172</v>
          </cell>
          <cell r="D681">
            <v>45027</v>
          </cell>
        </row>
        <row r="682">
          <cell r="A682" t="str">
            <v>Alan Ramos De Santana</v>
          </cell>
          <cell r="B682">
            <v>37004868</v>
          </cell>
          <cell r="C682">
            <v>20008124</v>
          </cell>
          <cell r="D682">
            <v>44090</v>
          </cell>
        </row>
        <row r="683">
          <cell r="A683" t="str">
            <v>Raphael Fanelli</v>
          </cell>
          <cell r="B683">
            <v>37006082</v>
          </cell>
          <cell r="C683">
            <v>20016855</v>
          </cell>
          <cell r="D683">
            <v>44410</v>
          </cell>
        </row>
        <row r="684">
          <cell r="A684" t="str">
            <v>Maicleverton Pereira Freitas</v>
          </cell>
          <cell r="B684">
            <v>37007407</v>
          </cell>
          <cell r="C684">
            <v>20025442</v>
          </cell>
          <cell r="D684">
            <v>44655</v>
          </cell>
        </row>
        <row r="685">
          <cell r="A685" t="str">
            <v>Marlon Felipe Serafim</v>
          </cell>
          <cell r="B685">
            <v>37004717</v>
          </cell>
          <cell r="C685">
            <v>20008379</v>
          </cell>
          <cell r="D685">
            <v>44053</v>
          </cell>
        </row>
        <row r="686">
          <cell r="A686" t="str">
            <v>Romulo Torres Alves</v>
          </cell>
          <cell r="B686">
            <v>37004436</v>
          </cell>
          <cell r="C686">
            <v>20008304</v>
          </cell>
          <cell r="D686">
            <v>43892</v>
          </cell>
        </row>
        <row r="687">
          <cell r="A687" t="str">
            <v>Leandro Pereira</v>
          </cell>
          <cell r="B687">
            <v>37004707</v>
          </cell>
          <cell r="C687">
            <v>20008381</v>
          </cell>
          <cell r="D687">
            <v>44053</v>
          </cell>
        </row>
        <row r="688">
          <cell r="A688" t="str">
            <v>Derivaldo Ferreira de Andrade Junior</v>
          </cell>
          <cell r="B688">
            <v>37012031</v>
          </cell>
          <cell r="C688">
            <v>20047199</v>
          </cell>
          <cell r="D688">
            <v>45027</v>
          </cell>
        </row>
        <row r="689">
          <cell r="A689" t="str">
            <v>Gilberto Alves Santos</v>
          </cell>
          <cell r="B689">
            <v>37012035</v>
          </cell>
          <cell r="C689">
            <v>20047203</v>
          </cell>
          <cell r="D689">
            <v>45027</v>
          </cell>
        </row>
        <row r="690">
          <cell r="A690" t="str">
            <v>Reimilton Rodrigues Jesus</v>
          </cell>
          <cell r="B690">
            <v>37012047</v>
          </cell>
          <cell r="C690">
            <v>20047558</v>
          </cell>
          <cell r="D690">
            <v>45027</v>
          </cell>
        </row>
        <row r="691">
          <cell r="A691" t="str">
            <v>Leonardo Jose Parra</v>
          </cell>
          <cell r="B691">
            <v>37012057</v>
          </cell>
          <cell r="C691">
            <v>20047568</v>
          </cell>
          <cell r="D691">
            <v>45034</v>
          </cell>
        </row>
        <row r="692">
          <cell r="A692" t="str">
            <v>Joao Victor Da Silva Stefanini</v>
          </cell>
          <cell r="B692">
            <v>37012056</v>
          </cell>
          <cell r="C692">
            <v>20047567</v>
          </cell>
          <cell r="D692">
            <v>45027</v>
          </cell>
        </row>
        <row r="693">
          <cell r="A693" t="str">
            <v>Diego Augusto Manoel</v>
          </cell>
          <cell r="B693">
            <v>37012064</v>
          </cell>
          <cell r="C693">
            <v>20047578</v>
          </cell>
          <cell r="D693">
            <v>45027</v>
          </cell>
        </row>
        <row r="694">
          <cell r="A694" t="str">
            <v>Caio De Oliveira Santos</v>
          </cell>
          <cell r="B694">
            <v>37012065</v>
          </cell>
          <cell r="C694">
            <v>20047579</v>
          </cell>
          <cell r="D694">
            <v>45027</v>
          </cell>
        </row>
        <row r="695">
          <cell r="A695" t="str">
            <v>Rafael Francisco Correa</v>
          </cell>
          <cell r="B695">
            <v>37012071</v>
          </cell>
          <cell r="C695">
            <v>20047585</v>
          </cell>
          <cell r="D695">
            <v>45027</v>
          </cell>
        </row>
        <row r="696">
          <cell r="A696" t="str">
            <v>Valdes Galdino da Silva</v>
          </cell>
          <cell r="B696">
            <v>37012074</v>
          </cell>
          <cell r="C696">
            <v>20047588</v>
          </cell>
          <cell r="D696">
            <v>45027</v>
          </cell>
        </row>
        <row r="697">
          <cell r="A697" t="str">
            <v>Thiago Binder Valvassori</v>
          </cell>
          <cell r="B697">
            <v>37012164</v>
          </cell>
          <cell r="C697">
            <v>20048392</v>
          </cell>
          <cell r="D697">
            <v>45034</v>
          </cell>
        </row>
        <row r="698">
          <cell r="A698" t="str">
            <v>Adonias Barros Da Costa</v>
          </cell>
          <cell r="B698">
            <v>37012166</v>
          </cell>
          <cell r="C698">
            <v>20048394</v>
          </cell>
          <cell r="D698">
            <v>45055</v>
          </cell>
        </row>
        <row r="699">
          <cell r="A699" t="str">
            <v>Matheus Caversan</v>
          </cell>
          <cell r="B699">
            <v>37003800</v>
          </cell>
          <cell r="C699">
            <v>20009673</v>
          </cell>
          <cell r="D699">
            <v>43752</v>
          </cell>
        </row>
        <row r="700">
          <cell r="A700" t="str">
            <v>Rhennan Silva Lima</v>
          </cell>
          <cell r="B700">
            <v>37012187</v>
          </cell>
          <cell r="C700">
            <v>20048538</v>
          </cell>
          <cell r="D700">
            <v>45034</v>
          </cell>
        </row>
        <row r="701">
          <cell r="A701" t="str">
            <v>Paulo Ricardo Bissaco</v>
          </cell>
          <cell r="B701">
            <v>37012188</v>
          </cell>
          <cell r="C701">
            <v>20048539</v>
          </cell>
          <cell r="D701">
            <v>45034</v>
          </cell>
        </row>
        <row r="702">
          <cell r="A702" t="str">
            <v>Carlos Kauan Miranda Matos</v>
          </cell>
          <cell r="B702">
            <v>37012206</v>
          </cell>
          <cell r="C702">
            <v>20048557</v>
          </cell>
          <cell r="D702">
            <v>45034</v>
          </cell>
        </row>
        <row r="703">
          <cell r="A703" t="str">
            <v>Ilson Ferreira Pires</v>
          </cell>
          <cell r="B703">
            <v>37012223</v>
          </cell>
          <cell r="C703">
            <v>20048934</v>
          </cell>
          <cell r="D703">
            <v>45048</v>
          </cell>
        </row>
        <row r="704">
          <cell r="A704" t="str">
            <v>Marcelo Goncalves De Matos</v>
          </cell>
          <cell r="B704">
            <v>37012247</v>
          </cell>
          <cell r="C704">
            <v>20049071</v>
          </cell>
          <cell r="D704">
            <v>45048</v>
          </cell>
        </row>
        <row r="705">
          <cell r="A705" t="str">
            <v>Rodolfo Juvenal De Pontes</v>
          </cell>
          <cell r="B705">
            <v>37012269</v>
          </cell>
          <cell r="C705">
            <v>20009860</v>
          </cell>
          <cell r="D705">
            <v>45048</v>
          </cell>
        </row>
        <row r="706">
          <cell r="A706" t="str">
            <v>Alexandre Ferreira de Oliveira</v>
          </cell>
          <cell r="B706">
            <v>37012275</v>
          </cell>
          <cell r="C706">
            <v>20049221</v>
          </cell>
          <cell r="D706">
            <v>45048</v>
          </cell>
        </row>
        <row r="707">
          <cell r="A707" t="str">
            <v>Leandro Aparecido Tomaz</v>
          </cell>
          <cell r="B707">
            <v>37012289</v>
          </cell>
          <cell r="C707">
            <v>20049235</v>
          </cell>
          <cell r="D707">
            <v>45048</v>
          </cell>
        </row>
        <row r="708">
          <cell r="A708" t="str">
            <v>Matilde Andrade Moreira</v>
          </cell>
          <cell r="B708">
            <v>37012290</v>
          </cell>
          <cell r="C708">
            <v>20049236</v>
          </cell>
          <cell r="D708">
            <v>45048</v>
          </cell>
        </row>
        <row r="709">
          <cell r="A709" t="str">
            <v>Leandro Ribeiro da Silva</v>
          </cell>
          <cell r="B709">
            <v>37012346</v>
          </cell>
          <cell r="C709">
            <v>20049622</v>
          </cell>
          <cell r="D709">
            <v>45048</v>
          </cell>
        </row>
        <row r="710">
          <cell r="A710" t="str">
            <v>Vitor Anelli Martins</v>
          </cell>
          <cell r="B710">
            <v>37012369</v>
          </cell>
          <cell r="C710">
            <v>20049669</v>
          </cell>
          <cell r="D710" t="str">
            <v>00/01/1900</v>
          </cell>
        </row>
        <row r="711">
          <cell r="A711" t="str">
            <v>Karen Rebeca Alves</v>
          </cell>
          <cell r="B711">
            <v>37012374</v>
          </cell>
          <cell r="C711">
            <v>20049674</v>
          </cell>
          <cell r="D711" t="str">
            <v>00/01/1900</v>
          </cell>
        </row>
        <row r="712">
          <cell r="A712" t="str">
            <v>Emelyn Victoria Godoy De Moraes</v>
          </cell>
          <cell r="B712">
            <v>37012381</v>
          </cell>
          <cell r="C712">
            <v>20049681</v>
          </cell>
          <cell r="D712" t="str">
            <v>00/01/1900</v>
          </cell>
        </row>
        <row r="713">
          <cell r="A713" t="str">
            <v>Erica Talyta De Oliveira</v>
          </cell>
          <cell r="B713">
            <v>37012384</v>
          </cell>
          <cell r="C713">
            <v>20049684</v>
          </cell>
          <cell r="D713" t="str">
            <v>00/01/1900</v>
          </cell>
        </row>
        <row r="714">
          <cell r="A714" t="str">
            <v>Isabelle Victoria Oliveira Eustaquio</v>
          </cell>
          <cell r="B714">
            <v>37012387</v>
          </cell>
          <cell r="C714">
            <v>20049687</v>
          </cell>
          <cell r="D714" t="str">
            <v>00/01/1900</v>
          </cell>
        </row>
        <row r="715">
          <cell r="A715" t="str">
            <v>Fabio Paiva Greco Pereira</v>
          </cell>
          <cell r="B715">
            <v>37012397</v>
          </cell>
          <cell r="C715">
            <v>20049697</v>
          </cell>
          <cell r="D715" t="str">
            <v>00/01/1900</v>
          </cell>
        </row>
        <row r="716">
          <cell r="A716" t="str">
            <v>Marcelo Araujo Ferreira da silva</v>
          </cell>
          <cell r="B716">
            <v>37012414</v>
          </cell>
          <cell r="C716">
            <v>20049714</v>
          </cell>
          <cell r="D716" t="str">
            <v>00/01/1900</v>
          </cell>
        </row>
        <row r="717">
          <cell r="A717" t="str">
            <v>Andre Roberto Salvador</v>
          </cell>
          <cell r="B717">
            <v>37012422</v>
          </cell>
          <cell r="C717">
            <v>20049722</v>
          </cell>
          <cell r="D717" t="str">
            <v>00/01/1900</v>
          </cell>
        </row>
        <row r="718">
          <cell r="A718" t="str">
            <v>Julia Gabriela Silva Gothardi</v>
          </cell>
          <cell r="B718">
            <v>37012417</v>
          </cell>
          <cell r="C718">
            <v>20049717</v>
          </cell>
          <cell r="D718" t="str">
            <v>00/01/1900</v>
          </cell>
        </row>
        <row r="719">
          <cell r="A719" t="str">
            <v>Ricardo Valerio Alves</v>
          </cell>
          <cell r="B719">
            <v>37012449</v>
          </cell>
          <cell r="C719">
            <v>20049749</v>
          </cell>
          <cell r="D719">
            <v>45055</v>
          </cell>
        </row>
        <row r="720">
          <cell r="A720" t="str">
            <v>Fernanda Caroline Antunes</v>
          </cell>
          <cell r="B720">
            <v>37012435</v>
          </cell>
          <cell r="C720">
            <v>20049735</v>
          </cell>
          <cell r="D720">
            <v>45055</v>
          </cell>
        </row>
        <row r="721">
          <cell r="A721" t="str">
            <v>Arnaldo de Souza Rocha</v>
          </cell>
          <cell r="B721">
            <v>37012443</v>
          </cell>
          <cell r="C721">
            <v>20049743</v>
          </cell>
          <cell r="D721">
            <v>45055</v>
          </cell>
        </row>
        <row r="722">
          <cell r="A722" t="str">
            <v>Milton Ricardo Machado</v>
          </cell>
          <cell r="B722">
            <v>37012473</v>
          </cell>
          <cell r="C722">
            <v>20050160</v>
          </cell>
          <cell r="D722">
            <v>45055</v>
          </cell>
        </row>
        <row r="723">
          <cell r="A723" t="str">
            <v>Ednilson Farias</v>
          </cell>
          <cell r="B723">
            <v>37012483</v>
          </cell>
          <cell r="C723">
            <v>20050180</v>
          </cell>
          <cell r="D723">
            <v>45062</v>
          </cell>
        </row>
        <row r="724">
          <cell r="A724" t="str">
            <v>Juliano Pereira</v>
          </cell>
          <cell r="B724">
            <v>37012498</v>
          </cell>
          <cell r="C724">
            <v>20050210</v>
          </cell>
          <cell r="D724">
            <v>45062</v>
          </cell>
        </row>
        <row r="725">
          <cell r="A725" t="str">
            <v>Guinter Neutzling Schneid</v>
          </cell>
          <cell r="B725">
            <v>37007239</v>
          </cell>
          <cell r="C725">
            <v>20022776</v>
          </cell>
          <cell r="D725">
            <v>44627</v>
          </cell>
        </row>
        <row r="726">
          <cell r="A726" t="str">
            <v>Rodrigo Fernando Mosele</v>
          </cell>
          <cell r="B726">
            <v>37004399</v>
          </cell>
          <cell r="C726">
            <v>20009867</v>
          </cell>
          <cell r="D726">
            <v>43878</v>
          </cell>
        </row>
        <row r="727">
          <cell r="A727" t="str">
            <v>Nivaldo Andre Dos Santos</v>
          </cell>
          <cell r="B727">
            <v>37001538</v>
          </cell>
          <cell r="C727">
            <v>20009726</v>
          </cell>
          <cell r="D727">
            <v>42205</v>
          </cell>
        </row>
        <row r="728">
          <cell r="A728" t="str">
            <v>Thais Cristina Da Cruz</v>
          </cell>
          <cell r="B728">
            <v>37004402</v>
          </cell>
          <cell r="C728">
            <v>20008322</v>
          </cell>
          <cell r="D728">
            <v>43878</v>
          </cell>
        </row>
        <row r="729">
          <cell r="A729" t="str">
            <v>Danilo Castro Da Silva</v>
          </cell>
          <cell r="B729">
            <v>37003757</v>
          </cell>
          <cell r="C729">
            <v>20008871</v>
          </cell>
          <cell r="D729">
            <v>43752</v>
          </cell>
        </row>
        <row r="730">
          <cell r="A730" t="str">
            <v>Alessandro Augusto Da Silva</v>
          </cell>
          <cell r="B730">
            <v>37003306</v>
          </cell>
          <cell r="C730">
            <v>20008520</v>
          </cell>
          <cell r="D730">
            <v>43647</v>
          </cell>
        </row>
        <row r="731">
          <cell r="A731" t="str">
            <v>Maike Souza Garcia</v>
          </cell>
          <cell r="B731">
            <v>37004761</v>
          </cell>
          <cell r="C731">
            <v>20008047</v>
          </cell>
          <cell r="D731">
            <v>44060</v>
          </cell>
        </row>
        <row r="732">
          <cell r="A732" t="str">
            <v>Murillo Rodrigues Guiotti</v>
          </cell>
          <cell r="B732">
            <v>37003392</v>
          </cell>
          <cell r="C732">
            <v>20009703</v>
          </cell>
          <cell r="D732">
            <v>43647</v>
          </cell>
        </row>
        <row r="733">
          <cell r="A733" t="str">
            <v>Douglas Goncalves Valeriano</v>
          </cell>
          <cell r="B733">
            <v>37001004</v>
          </cell>
          <cell r="C733">
            <v>20008924</v>
          </cell>
          <cell r="D733">
            <v>41071</v>
          </cell>
        </row>
        <row r="734">
          <cell r="A734" t="str">
            <v>Lucas Lehn Carvalho</v>
          </cell>
          <cell r="B734">
            <v>37004290</v>
          </cell>
          <cell r="C734">
            <v>20008212</v>
          </cell>
          <cell r="D734">
            <v>43864</v>
          </cell>
        </row>
        <row r="735">
          <cell r="A735" t="str">
            <v>Caique Alves De Lima</v>
          </cell>
          <cell r="B735">
            <v>37012523</v>
          </cell>
          <cell r="C735">
            <v>20050318</v>
          </cell>
          <cell r="D735">
            <v>45069</v>
          </cell>
        </row>
        <row r="736">
          <cell r="A736" t="str">
            <v>Vitor De Lima Silva</v>
          </cell>
          <cell r="B736">
            <v>37012526</v>
          </cell>
          <cell r="C736">
            <v>20050321</v>
          </cell>
          <cell r="D736">
            <v>45069</v>
          </cell>
        </row>
        <row r="737">
          <cell r="A737" t="str">
            <v>Douglas Da Costa Bessa</v>
          </cell>
          <cell r="B737">
            <v>37012525</v>
          </cell>
          <cell r="C737">
            <v>20050320</v>
          </cell>
          <cell r="D737">
            <v>45069</v>
          </cell>
        </row>
        <row r="738">
          <cell r="A738" t="str">
            <v>Leonardo Aguiar Figueiredo</v>
          </cell>
          <cell r="B738">
            <v>37012534</v>
          </cell>
          <cell r="C738">
            <v>20050329</v>
          </cell>
          <cell r="D738">
            <v>45069</v>
          </cell>
        </row>
        <row r="739">
          <cell r="A739" t="str">
            <v>Deivit Kovalski</v>
          </cell>
          <cell r="B739">
            <v>37012531</v>
          </cell>
          <cell r="C739">
            <v>20050326</v>
          </cell>
          <cell r="D739">
            <v>45069</v>
          </cell>
        </row>
        <row r="740">
          <cell r="A740" t="str">
            <v>Gustavo De Freitas Meireles</v>
          </cell>
          <cell r="B740">
            <v>37012541</v>
          </cell>
          <cell r="C740">
            <v>20050382</v>
          </cell>
          <cell r="D740">
            <v>45069</v>
          </cell>
        </row>
        <row r="741">
          <cell r="A741" t="str">
            <v>Douglas De Siqueira Costa</v>
          </cell>
          <cell r="B741">
            <v>37012554</v>
          </cell>
          <cell r="C741">
            <v>20050462</v>
          </cell>
          <cell r="D741">
            <v>45069</v>
          </cell>
        </row>
        <row r="742">
          <cell r="A742" t="str">
            <v>Flavio Amaral Martins</v>
          </cell>
          <cell r="B742">
            <v>37012559</v>
          </cell>
          <cell r="C742">
            <v>20050467</v>
          </cell>
          <cell r="D742">
            <v>45069</v>
          </cell>
        </row>
        <row r="743">
          <cell r="A743" t="str">
            <v>Anderson Machado</v>
          </cell>
          <cell r="B743">
            <v>37012558</v>
          </cell>
          <cell r="C743">
            <v>20050466</v>
          </cell>
          <cell r="D743">
            <v>45069</v>
          </cell>
        </row>
        <row r="744">
          <cell r="A744" t="str">
            <v>Jairo Rodrigo Dos Santos</v>
          </cell>
          <cell r="B744">
            <v>37012561</v>
          </cell>
          <cell r="C744">
            <v>20050470</v>
          </cell>
          <cell r="D744">
            <v>45069</v>
          </cell>
        </row>
        <row r="745">
          <cell r="A745" t="str">
            <v>Pedro Ivo De Melo Rangel De  Oliveira</v>
          </cell>
          <cell r="B745">
            <v>37012566</v>
          </cell>
          <cell r="C745">
            <v>20050788</v>
          </cell>
          <cell r="D745">
            <v>45069</v>
          </cell>
        </row>
        <row r="746">
          <cell r="A746" t="str">
            <v>Valdinei Goncalves Santos</v>
          </cell>
          <cell r="B746">
            <v>37012570</v>
          </cell>
          <cell r="C746">
            <v>20008327</v>
          </cell>
          <cell r="D746">
            <v>45069</v>
          </cell>
        </row>
        <row r="747">
          <cell r="A747" t="str">
            <v>Nelton Mota Lopes</v>
          </cell>
          <cell r="B747">
            <v>37012574</v>
          </cell>
          <cell r="C747">
            <v>20050806</v>
          </cell>
          <cell r="D747">
            <v>45069</v>
          </cell>
        </row>
        <row r="748">
          <cell r="A748" t="str">
            <v>Cleber de Melo Elidio</v>
          </cell>
          <cell r="B748">
            <v>37012576</v>
          </cell>
          <cell r="C748">
            <v>20050808</v>
          </cell>
          <cell r="D748">
            <v>45069</v>
          </cell>
        </row>
        <row r="749">
          <cell r="A749" t="str">
            <v>Diego Henrique Do Nascimento Faria</v>
          </cell>
          <cell r="B749">
            <v>37012577</v>
          </cell>
          <cell r="C749">
            <v>20050809</v>
          </cell>
          <cell r="D749">
            <v>45069</v>
          </cell>
        </row>
        <row r="750">
          <cell r="A750" t="str">
            <v>Jean Frantiesco Sant Anna</v>
          </cell>
          <cell r="B750">
            <v>37012578</v>
          </cell>
          <cell r="C750">
            <v>20050810</v>
          </cell>
          <cell r="D750">
            <v>45069</v>
          </cell>
        </row>
        <row r="751">
          <cell r="A751" t="str">
            <v>Bruno Jose Terentin</v>
          </cell>
          <cell r="B751">
            <v>37012581</v>
          </cell>
          <cell r="C751">
            <v>20050814</v>
          </cell>
          <cell r="D751">
            <v>45069</v>
          </cell>
        </row>
        <row r="752">
          <cell r="A752" t="str">
            <v>Fabio Vieira Rosa</v>
          </cell>
          <cell r="B752">
            <v>37012583</v>
          </cell>
          <cell r="C752">
            <v>20050816</v>
          </cell>
          <cell r="D752">
            <v>45069</v>
          </cell>
        </row>
        <row r="753">
          <cell r="A753" t="str">
            <v>Adriano Dos Santos Filgueira</v>
          </cell>
          <cell r="B753">
            <v>37012587</v>
          </cell>
          <cell r="C753">
            <v>20050820</v>
          </cell>
          <cell r="D753">
            <v>45069</v>
          </cell>
        </row>
        <row r="754">
          <cell r="A754" t="str">
            <v>Luiz Gustavo Leme</v>
          </cell>
          <cell r="B754">
            <v>37012589</v>
          </cell>
          <cell r="C754">
            <v>20050822</v>
          </cell>
          <cell r="D754">
            <v>45069</v>
          </cell>
        </row>
        <row r="755">
          <cell r="A755" t="str">
            <v>Marcos Antonio De Aguiar</v>
          </cell>
          <cell r="B755">
            <v>37012582</v>
          </cell>
          <cell r="C755">
            <v>20050815</v>
          </cell>
          <cell r="D755">
            <v>45069</v>
          </cell>
        </row>
        <row r="756">
          <cell r="A756" t="str">
            <v>Alex Da Rocha Oliveira</v>
          </cell>
          <cell r="B756">
            <v>37012584</v>
          </cell>
          <cell r="C756">
            <v>20050817</v>
          </cell>
          <cell r="D756">
            <v>45069</v>
          </cell>
        </row>
        <row r="757">
          <cell r="A757" t="str">
            <v>Fabio Konig</v>
          </cell>
          <cell r="B757">
            <v>37012585</v>
          </cell>
          <cell r="C757">
            <v>20050818</v>
          </cell>
          <cell r="D757">
            <v>45069</v>
          </cell>
        </row>
        <row r="758">
          <cell r="A758" t="str">
            <v>Denis Nunes De Oliveira</v>
          </cell>
          <cell r="B758">
            <v>37012588</v>
          </cell>
          <cell r="C758">
            <v>20050821</v>
          </cell>
          <cell r="D758">
            <v>45069</v>
          </cell>
        </row>
        <row r="759">
          <cell r="A759" t="str">
            <v>GUARACI OLIVEIRA JUNIOR</v>
          </cell>
          <cell r="B759">
            <v>37012820</v>
          </cell>
          <cell r="C759">
            <v>20051014</v>
          </cell>
          <cell r="D759">
            <v>45090</v>
          </cell>
        </row>
        <row r="760">
          <cell r="A760" t="str">
            <v>Patrick Hernandes da Silva</v>
          </cell>
          <cell r="B760">
            <v>37012641</v>
          </cell>
          <cell r="C760">
            <v>20051148</v>
          </cell>
          <cell r="D760">
            <v>45083</v>
          </cell>
        </row>
        <row r="761">
          <cell r="A761" t="str">
            <v>Lucas de Souza Carletti</v>
          </cell>
          <cell r="B761">
            <v>37012652</v>
          </cell>
          <cell r="C761">
            <v>20050469</v>
          </cell>
          <cell r="D761">
            <v>45083</v>
          </cell>
        </row>
        <row r="762">
          <cell r="A762" t="str">
            <v>Renato De Albuquerque</v>
          </cell>
          <cell r="B762">
            <v>37012667</v>
          </cell>
          <cell r="C762">
            <v>20051247</v>
          </cell>
          <cell r="D762">
            <v>45083</v>
          </cell>
        </row>
        <row r="763">
          <cell r="A763" t="str">
            <v>Uelinton Antonio Da Mota</v>
          </cell>
          <cell r="B763">
            <v>37012668</v>
          </cell>
          <cell r="C763">
            <v>20051248</v>
          </cell>
          <cell r="D763">
            <v>45083</v>
          </cell>
        </row>
        <row r="764">
          <cell r="A764" t="str">
            <v>Paulo Hamilton Macedo Lopes</v>
          </cell>
          <cell r="B764">
            <v>37012679</v>
          </cell>
          <cell r="C764">
            <v>20051259</v>
          </cell>
          <cell r="D764">
            <v>45090</v>
          </cell>
        </row>
        <row r="765">
          <cell r="A765" t="str">
            <v>Wemesson Soares Silva</v>
          </cell>
          <cell r="B765">
            <v>37012696</v>
          </cell>
          <cell r="C765">
            <v>20051276</v>
          </cell>
          <cell r="D765">
            <v>45083</v>
          </cell>
        </row>
        <row r="766">
          <cell r="A766" t="str">
            <v>Jose Abraao Da Conceicao Nascimento</v>
          </cell>
          <cell r="B766">
            <v>37012720</v>
          </cell>
          <cell r="C766">
            <v>20051304</v>
          </cell>
          <cell r="D766">
            <v>45090</v>
          </cell>
        </row>
        <row r="767">
          <cell r="A767" t="str">
            <v>Carlos Eduardo Dos Santos Silva</v>
          </cell>
          <cell r="B767">
            <v>37012717</v>
          </cell>
          <cell r="C767">
            <v>20051301</v>
          </cell>
          <cell r="D767">
            <v>45083</v>
          </cell>
        </row>
        <row r="768">
          <cell r="A768" t="str">
            <v>Marcelo Iwanami</v>
          </cell>
          <cell r="B768">
            <v>37012727</v>
          </cell>
          <cell r="C768">
            <v>20051311</v>
          </cell>
          <cell r="D768">
            <v>45083</v>
          </cell>
        </row>
        <row r="769">
          <cell r="A769" t="str">
            <v>Ricardo Da Silva Goncalves</v>
          </cell>
          <cell r="B769">
            <v>37012732</v>
          </cell>
          <cell r="C769">
            <v>20051316</v>
          </cell>
          <cell r="D769">
            <v>45083</v>
          </cell>
        </row>
        <row r="770">
          <cell r="A770" t="str">
            <v>Robson Gaffo Mondeck</v>
          </cell>
          <cell r="B770">
            <v>37012744</v>
          </cell>
          <cell r="C770">
            <v>20051338</v>
          </cell>
          <cell r="D770">
            <v>45083</v>
          </cell>
        </row>
        <row r="771">
          <cell r="A771" t="str">
            <v>Ricardo Valverde Laurindo</v>
          </cell>
          <cell r="B771">
            <v>37012745</v>
          </cell>
          <cell r="C771">
            <v>20051339</v>
          </cell>
          <cell r="D771">
            <v>45083</v>
          </cell>
        </row>
        <row r="772">
          <cell r="A772" t="str">
            <v>Diogo Miranda Andrade</v>
          </cell>
          <cell r="B772">
            <v>37012879</v>
          </cell>
          <cell r="C772">
            <v>20051359</v>
          </cell>
          <cell r="D772">
            <v>45083</v>
          </cell>
        </row>
        <row r="773">
          <cell r="A773" t="str">
            <v>Wesley Alves Barbosa</v>
          </cell>
          <cell r="B773">
            <v>37012765</v>
          </cell>
          <cell r="C773">
            <v>20051358</v>
          </cell>
          <cell r="D773">
            <v>45083</v>
          </cell>
        </row>
        <row r="774">
          <cell r="A774" t="str">
            <v>Adauto Da Silva Mesquita</v>
          </cell>
          <cell r="B774">
            <v>37012769</v>
          </cell>
          <cell r="C774">
            <v>20051362</v>
          </cell>
          <cell r="D774">
            <v>45083</v>
          </cell>
        </row>
        <row r="775">
          <cell r="A775" t="str">
            <v>Rafael Polato Francelin</v>
          </cell>
          <cell r="B775">
            <v>37003039</v>
          </cell>
          <cell r="C775">
            <v>20009804</v>
          </cell>
          <cell r="D775">
            <v>43542</v>
          </cell>
        </row>
        <row r="776">
          <cell r="A776" t="str">
            <v>Emerson Rodrigues Da Silva</v>
          </cell>
          <cell r="B776">
            <v>37000513</v>
          </cell>
          <cell r="C776">
            <v>20009009</v>
          </cell>
          <cell r="D776">
            <v>39146</v>
          </cell>
        </row>
        <row r="777">
          <cell r="A777" t="str">
            <v>Antonio Vanderson De Almeida Oliveira</v>
          </cell>
          <cell r="B777">
            <v>37012792</v>
          </cell>
          <cell r="C777">
            <v>20051696</v>
          </cell>
          <cell r="D777">
            <v>45090</v>
          </cell>
        </row>
        <row r="778">
          <cell r="A778" t="str">
            <v>Joao Vitor De Oliveira Santos</v>
          </cell>
          <cell r="B778">
            <v>37012790</v>
          </cell>
          <cell r="C778">
            <v>20051694</v>
          </cell>
          <cell r="D778">
            <v>45090</v>
          </cell>
        </row>
        <row r="779">
          <cell r="A779" t="str">
            <v>Claudinei Alves Fonseca</v>
          </cell>
          <cell r="B779">
            <v>37012807</v>
          </cell>
          <cell r="C779">
            <v>20051737</v>
          </cell>
          <cell r="D779">
            <v>45083</v>
          </cell>
        </row>
        <row r="780">
          <cell r="A780" t="str">
            <v>Vagner Luiz Amaral De Jesus</v>
          </cell>
          <cell r="B780">
            <v>37012810</v>
          </cell>
          <cell r="C780">
            <v>20051740</v>
          </cell>
          <cell r="D780">
            <v>45090</v>
          </cell>
        </row>
        <row r="781">
          <cell r="A781" t="str">
            <v>Beatriz Pereira</v>
          </cell>
          <cell r="B781">
            <v>37003317</v>
          </cell>
          <cell r="C781">
            <v>20008697</v>
          </cell>
          <cell r="D781">
            <v>43647</v>
          </cell>
        </row>
        <row r="782">
          <cell r="A782" t="str">
            <v>Giovane Bruno Do Nascimento Barbosa</v>
          </cell>
          <cell r="B782">
            <v>37006959</v>
          </cell>
          <cell r="C782">
            <v>20021013</v>
          </cell>
          <cell r="D782">
            <v>44571</v>
          </cell>
        </row>
        <row r="783">
          <cell r="A783" t="str">
            <v>Edson Junior Santana</v>
          </cell>
          <cell r="B783">
            <v>37005559</v>
          </cell>
          <cell r="C783">
            <v>20013588</v>
          </cell>
          <cell r="D783">
            <v>44291</v>
          </cell>
        </row>
        <row r="784">
          <cell r="A784" t="str">
            <v>Ricardo Novaes da Silva</v>
          </cell>
          <cell r="B784">
            <v>37012868</v>
          </cell>
          <cell r="C784">
            <v>20051916</v>
          </cell>
          <cell r="D784">
            <v>45090</v>
          </cell>
        </row>
        <row r="785">
          <cell r="A785" t="str">
            <v>Danila da Silva de Oliveira</v>
          </cell>
          <cell r="B785">
            <v>37012870</v>
          </cell>
          <cell r="C785">
            <v>20051918</v>
          </cell>
          <cell r="D785">
            <v>45090</v>
          </cell>
        </row>
        <row r="786">
          <cell r="A786" t="str">
            <v>Gustavo Cardoso Lucas Dos Santos</v>
          </cell>
          <cell r="B786">
            <v>37012872</v>
          </cell>
          <cell r="C786">
            <v>20051920</v>
          </cell>
          <cell r="D786">
            <v>45090</v>
          </cell>
        </row>
        <row r="787">
          <cell r="A787" t="str">
            <v>Jhonatas Raphael Santos</v>
          </cell>
          <cell r="B787">
            <v>37003362</v>
          </cell>
          <cell r="C787">
            <v>20009318</v>
          </cell>
          <cell r="D787">
            <v>43647</v>
          </cell>
        </row>
        <row r="788">
          <cell r="A788" t="str">
            <v>Maria Aparecida De Araujo Silva</v>
          </cell>
          <cell r="B788">
            <v>37000634</v>
          </cell>
          <cell r="C788">
            <v>20009645</v>
          </cell>
          <cell r="D788">
            <v>39503</v>
          </cell>
        </row>
        <row r="789">
          <cell r="A789" t="str">
            <v>Rafael Junior Da Silva</v>
          </cell>
          <cell r="B789">
            <v>37003398</v>
          </cell>
          <cell r="C789">
            <v>20009800</v>
          </cell>
          <cell r="D789">
            <v>43647</v>
          </cell>
        </row>
        <row r="790">
          <cell r="A790" t="str">
            <v>Tiago Aires Oliveira</v>
          </cell>
          <cell r="B790">
            <v>37012864</v>
          </cell>
          <cell r="C790">
            <v>20051912</v>
          </cell>
          <cell r="D790">
            <v>45090</v>
          </cell>
        </row>
        <row r="791">
          <cell r="A791" t="str">
            <v>Tatiane Nunes De Jesus Novaes</v>
          </cell>
          <cell r="B791">
            <v>37012865</v>
          </cell>
          <cell r="C791">
            <v>20051913</v>
          </cell>
          <cell r="D791">
            <v>45090</v>
          </cell>
        </row>
        <row r="792">
          <cell r="A792" t="str">
            <v>Luciano Xavier dos Santos</v>
          </cell>
          <cell r="B792">
            <v>37012867</v>
          </cell>
          <cell r="C792">
            <v>20051915</v>
          </cell>
          <cell r="D792">
            <v>45090</v>
          </cell>
        </row>
        <row r="793">
          <cell r="A793" t="str">
            <v>Jean Carlos Gusmao Santos</v>
          </cell>
          <cell r="B793">
            <v>37012869</v>
          </cell>
          <cell r="C793">
            <v>20051917</v>
          </cell>
          <cell r="D793">
            <v>45090</v>
          </cell>
        </row>
        <row r="794">
          <cell r="A794" t="str">
            <v>Marcelo Pereira Maria</v>
          </cell>
          <cell r="B794">
            <v>37012871</v>
          </cell>
          <cell r="C794">
            <v>20051919</v>
          </cell>
          <cell r="D794">
            <v>45090</v>
          </cell>
        </row>
        <row r="795">
          <cell r="A795" t="str">
            <v>Laureano Alves De Paula</v>
          </cell>
          <cell r="B795">
            <v>37012874</v>
          </cell>
          <cell r="C795">
            <v>20051922</v>
          </cell>
          <cell r="D795">
            <v>45090</v>
          </cell>
        </row>
        <row r="796">
          <cell r="A796" t="str">
            <v>Fernanda Carrasco De Oliveira</v>
          </cell>
          <cell r="B796">
            <v>37012886</v>
          </cell>
          <cell r="C796">
            <v>20051945</v>
          </cell>
          <cell r="D796">
            <v>45090</v>
          </cell>
        </row>
        <row r="797">
          <cell r="A797" t="str">
            <v>Claudio Dos Santos</v>
          </cell>
          <cell r="B797">
            <v>37012887</v>
          </cell>
          <cell r="C797">
            <v>20051946</v>
          </cell>
          <cell r="D797">
            <v>45090</v>
          </cell>
        </row>
        <row r="798">
          <cell r="A798" t="str">
            <v>Bruno Henrique Bebiano</v>
          </cell>
          <cell r="B798">
            <v>37012884</v>
          </cell>
          <cell r="C798">
            <v>20051942</v>
          </cell>
          <cell r="D798">
            <v>45090</v>
          </cell>
        </row>
        <row r="799">
          <cell r="A799" t="str">
            <v>Caue De Oliveira Santos</v>
          </cell>
          <cell r="B799">
            <v>37012893</v>
          </cell>
          <cell r="C799">
            <v>20051981</v>
          </cell>
          <cell r="D799">
            <v>45090</v>
          </cell>
        </row>
        <row r="800">
          <cell r="A800" t="str">
            <v>Benedito Antunes de Oliveira Neto</v>
          </cell>
          <cell r="B800">
            <v>37012896</v>
          </cell>
          <cell r="C800">
            <v>20051984</v>
          </cell>
          <cell r="D800">
            <v>45090</v>
          </cell>
        </row>
        <row r="801">
          <cell r="A801" t="str">
            <v>Carlos Henrique Cordeiro Pereira</v>
          </cell>
          <cell r="B801">
            <v>37012902</v>
          </cell>
          <cell r="C801">
            <v>20051990</v>
          </cell>
          <cell r="D801">
            <v>45090</v>
          </cell>
        </row>
        <row r="802">
          <cell r="A802" t="str">
            <v>Samuel Teixeira De Souza Oliveira Junior</v>
          </cell>
          <cell r="B802">
            <v>37012904</v>
          </cell>
          <cell r="C802">
            <v>20051992</v>
          </cell>
          <cell r="D802">
            <v>45090</v>
          </cell>
        </row>
        <row r="803">
          <cell r="A803" t="str">
            <v>Josue Guedes Freire</v>
          </cell>
          <cell r="B803">
            <v>37012892</v>
          </cell>
          <cell r="C803">
            <v>20051980</v>
          </cell>
          <cell r="D803">
            <v>45090</v>
          </cell>
        </row>
        <row r="804">
          <cell r="A804" t="str">
            <v>Vinicius De Oliveira Baldin</v>
          </cell>
          <cell r="B804">
            <v>37012898</v>
          </cell>
          <cell r="C804">
            <v>20051986</v>
          </cell>
          <cell r="D804">
            <v>45090</v>
          </cell>
        </row>
        <row r="805">
          <cell r="A805" t="str">
            <v>Rusembergue Soares De Moura</v>
          </cell>
          <cell r="B805">
            <v>37012901</v>
          </cell>
          <cell r="C805">
            <v>20051989</v>
          </cell>
          <cell r="D805">
            <v>45090</v>
          </cell>
        </row>
        <row r="806">
          <cell r="A806" t="str">
            <v>Fabio Lemos da Silva</v>
          </cell>
          <cell r="B806">
            <v>37012903</v>
          </cell>
          <cell r="C806">
            <v>20051991</v>
          </cell>
          <cell r="D806">
            <v>45090</v>
          </cell>
        </row>
        <row r="807">
          <cell r="A807" t="str">
            <v>Marlon Valeriano Da Costa</v>
          </cell>
          <cell r="B807">
            <v>37012906</v>
          </cell>
          <cell r="C807">
            <v>20051994</v>
          </cell>
          <cell r="D807">
            <v>45090</v>
          </cell>
        </row>
        <row r="808">
          <cell r="A808" t="str">
            <v>Abner De Melo Elidio</v>
          </cell>
          <cell r="B808">
            <v>37012908</v>
          </cell>
          <cell r="C808">
            <v>20051996</v>
          </cell>
          <cell r="D808">
            <v>45090</v>
          </cell>
        </row>
        <row r="809">
          <cell r="A809" t="str">
            <v>Marcos Nascimento Silva</v>
          </cell>
          <cell r="B809">
            <v>37012910</v>
          </cell>
          <cell r="C809">
            <v>20051998</v>
          </cell>
          <cell r="D809">
            <v>45090</v>
          </cell>
        </row>
        <row r="810">
          <cell r="A810" t="str">
            <v>Wellington Luiz Fernandes</v>
          </cell>
          <cell r="B810">
            <v>37012907</v>
          </cell>
          <cell r="C810">
            <v>20051995</v>
          </cell>
          <cell r="D810">
            <v>45090</v>
          </cell>
        </row>
        <row r="811">
          <cell r="A811" t="str">
            <v>Nelson De Lima Soares Junior</v>
          </cell>
          <cell r="B811">
            <v>37012912</v>
          </cell>
          <cell r="C811">
            <v>20052000</v>
          </cell>
          <cell r="D811">
            <v>45090</v>
          </cell>
        </row>
        <row r="812">
          <cell r="A812" t="str">
            <v>Fabricio Ricardo Freitas Da Silva</v>
          </cell>
          <cell r="B812">
            <v>37012913</v>
          </cell>
          <cell r="C812">
            <v>20052001</v>
          </cell>
          <cell r="D812">
            <v>45090</v>
          </cell>
        </row>
        <row r="813">
          <cell r="A813" t="str">
            <v>Vivian Kellen Martins De Lima Soares</v>
          </cell>
          <cell r="B813">
            <v>37012916</v>
          </cell>
          <cell r="C813">
            <v>20052004</v>
          </cell>
          <cell r="D813">
            <v>45090</v>
          </cell>
        </row>
        <row r="814">
          <cell r="A814" t="str">
            <v>Lincoln De Souza Tenorio</v>
          </cell>
          <cell r="B814">
            <v>37012921</v>
          </cell>
          <cell r="C814">
            <v>20052009</v>
          </cell>
          <cell r="D814">
            <v>45090</v>
          </cell>
        </row>
        <row r="815">
          <cell r="A815" t="str">
            <v>Gabriel Souza Madruga</v>
          </cell>
          <cell r="B815">
            <v>37012915</v>
          </cell>
          <cell r="C815">
            <v>20052003</v>
          </cell>
          <cell r="D815">
            <v>45090</v>
          </cell>
        </row>
        <row r="816">
          <cell r="A816" t="str">
            <v>Rodrigo De Souza Freitas</v>
          </cell>
          <cell r="B816">
            <v>37012922</v>
          </cell>
          <cell r="C816">
            <v>20052010</v>
          </cell>
          <cell r="D816">
            <v>45090</v>
          </cell>
        </row>
        <row r="817">
          <cell r="A817" t="str">
            <v>Paulo Henrique Souza da Silva</v>
          </cell>
          <cell r="B817">
            <v>37012923</v>
          </cell>
          <cell r="C817">
            <v>20052011</v>
          </cell>
          <cell r="D817">
            <v>45090</v>
          </cell>
        </row>
        <row r="818">
          <cell r="A818" t="str">
            <v>Caua Freitas de Souza</v>
          </cell>
          <cell r="B818">
            <v>37012925</v>
          </cell>
          <cell r="C818">
            <v>20052013</v>
          </cell>
          <cell r="D818">
            <v>45090</v>
          </cell>
        </row>
        <row r="819">
          <cell r="A819" t="str">
            <v>Alex Sandro De Jesus</v>
          </cell>
          <cell r="B819">
            <v>37012930</v>
          </cell>
          <cell r="C819">
            <v>20052040</v>
          </cell>
          <cell r="D819">
            <v>45090</v>
          </cell>
        </row>
        <row r="820">
          <cell r="A820" t="str">
            <v>Gustavo Henriques Gonçalves</v>
          </cell>
          <cell r="B820">
            <v>37012931</v>
          </cell>
          <cell r="C820">
            <v>20052041</v>
          </cell>
          <cell r="D820">
            <v>45090</v>
          </cell>
        </row>
        <row r="821">
          <cell r="A821" t="str">
            <v>Maicon Willian de Souza Oliveira</v>
          </cell>
          <cell r="B821">
            <v>37012932</v>
          </cell>
          <cell r="C821">
            <v>20052042</v>
          </cell>
          <cell r="D821">
            <v>45090</v>
          </cell>
        </row>
        <row r="822">
          <cell r="A822" t="str">
            <v>Otavio Nogueira Leite da Silva</v>
          </cell>
          <cell r="B822">
            <v>37012945</v>
          </cell>
          <cell r="C822">
            <v>20052055</v>
          </cell>
          <cell r="D822">
            <v>45090</v>
          </cell>
        </row>
        <row r="823">
          <cell r="A823" t="str">
            <v>Tiago Rampazo Da Silveira</v>
          </cell>
          <cell r="B823">
            <v>37003819</v>
          </cell>
          <cell r="C823">
            <v>20009971</v>
          </cell>
          <cell r="D823">
            <v>43752</v>
          </cell>
        </row>
        <row r="824">
          <cell r="A824" t="str">
            <v>Edmilson Antonio Batista</v>
          </cell>
          <cell r="B824">
            <v>37003764</v>
          </cell>
          <cell r="C824">
            <v>20008952</v>
          </cell>
          <cell r="D824">
            <v>43752</v>
          </cell>
        </row>
        <row r="825">
          <cell r="A825" t="str">
            <v>Jean Pereira da Silva</v>
          </cell>
          <cell r="B825">
            <v>37012946</v>
          </cell>
          <cell r="C825">
            <v>20052056</v>
          </cell>
          <cell r="D825">
            <v>45090</v>
          </cell>
        </row>
        <row r="826">
          <cell r="A826" t="str">
            <v>William Allan Schutz</v>
          </cell>
          <cell r="B826">
            <v>37012957</v>
          </cell>
          <cell r="C826">
            <v>20052094</v>
          </cell>
          <cell r="D826">
            <v>45090</v>
          </cell>
        </row>
        <row r="827">
          <cell r="A827" t="str">
            <v>Cleyton Do Prado</v>
          </cell>
          <cell r="B827">
            <v>37012951</v>
          </cell>
          <cell r="C827">
            <v>20052088</v>
          </cell>
          <cell r="D827">
            <v>45090</v>
          </cell>
        </row>
        <row r="828">
          <cell r="A828" t="str">
            <v>Ana Julia Francisco</v>
          </cell>
          <cell r="B828">
            <v>37012956</v>
          </cell>
          <cell r="C828">
            <v>20052093</v>
          </cell>
          <cell r="D828">
            <v>45090</v>
          </cell>
        </row>
        <row r="829">
          <cell r="A829" t="str">
            <v>Maykel Vinhati Segantine</v>
          </cell>
          <cell r="B829">
            <v>37013018</v>
          </cell>
          <cell r="C829">
            <v>20052312</v>
          </cell>
          <cell r="D829">
            <v>45097</v>
          </cell>
        </row>
        <row r="830">
          <cell r="A830" t="str">
            <v>Carlos da Silva</v>
          </cell>
          <cell r="B830">
            <v>37013019</v>
          </cell>
          <cell r="C830">
            <v>20052313</v>
          </cell>
          <cell r="D830">
            <v>45097</v>
          </cell>
        </row>
        <row r="831">
          <cell r="A831" t="str">
            <v>Dione Luiz Rodrigues Silva</v>
          </cell>
          <cell r="B831">
            <v>37013016</v>
          </cell>
          <cell r="C831">
            <v>20052310</v>
          </cell>
          <cell r="D831">
            <v>45097</v>
          </cell>
        </row>
        <row r="832">
          <cell r="A832" t="str">
            <v>Eder Alves de Camargo Moreira</v>
          </cell>
          <cell r="B832">
            <v>37013028</v>
          </cell>
          <cell r="C832">
            <v>20052322</v>
          </cell>
          <cell r="D832">
            <v>45097</v>
          </cell>
        </row>
        <row r="833">
          <cell r="A833" t="str">
            <v>Jair de Oliveira</v>
          </cell>
          <cell r="B833">
            <v>37013026</v>
          </cell>
          <cell r="C833">
            <v>20052320</v>
          </cell>
          <cell r="D833">
            <v>45097</v>
          </cell>
        </row>
        <row r="834">
          <cell r="A834" t="str">
            <v>Alyson Shideki Yoshida</v>
          </cell>
          <cell r="B834">
            <v>37013032</v>
          </cell>
          <cell r="C834">
            <v>20052326</v>
          </cell>
          <cell r="D834">
            <v>45097</v>
          </cell>
        </row>
        <row r="835">
          <cell r="A835" t="str">
            <v>Karina Honjoya</v>
          </cell>
          <cell r="B835">
            <v>37013014</v>
          </cell>
          <cell r="C835">
            <v>20009445</v>
          </cell>
          <cell r="D835">
            <v>45097</v>
          </cell>
        </row>
        <row r="836">
          <cell r="A836" t="str">
            <v>Marta Aleixo de Oliveira</v>
          </cell>
          <cell r="B836">
            <v>37013045</v>
          </cell>
          <cell r="C836">
            <v>20052339</v>
          </cell>
          <cell r="D836">
            <v>45097</v>
          </cell>
        </row>
        <row r="837">
          <cell r="A837" t="str">
            <v>Wellton Carlos Barros De Almeida</v>
          </cell>
          <cell r="B837">
            <v>37013068</v>
          </cell>
          <cell r="C837">
            <v>20052485</v>
          </cell>
          <cell r="D837">
            <v>45097</v>
          </cell>
        </row>
        <row r="838">
          <cell r="A838" t="str">
            <v>Diego Henrique Dos Santos</v>
          </cell>
          <cell r="B838">
            <v>37013059</v>
          </cell>
          <cell r="C838">
            <v>20052441</v>
          </cell>
          <cell r="D838">
            <v>45097</v>
          </cell>
        </row>
        <row r="839">
          <cell r="A839" t="str">
            <v>Willians Donizete Oliveira Rocha</v>
          </cell>
          <cell r="B839">
            <v>37013075</v>
          </cell>
          <cell r="C839">
            <v>20052492</v>
          </cell>
          <cell r="D839">
            <v>45097</v>
          </cell>
        </row>
        <row r="840">
          <cell r="A840" t="str">
            <v>Diego Guilherme da Silva</v>
          </cell>
          <cell r="B840">
            <v>37013083</v>
          </cell>
          <cell r="C840">
            <v>20052500</v>
          </cell>
          <cell r="D840">
            <v>45097</v>
          </cell>
        </row>
        <row r="841">
          <cell r="A841" t="str">
            <v>Fabricio Da Silva Meneses</v>
          </cell>
          <cell r="B841">
            <v>37013096</v>
          </cell>
          <cell r="C841">
            <v>20052815</v>
          </cell>
          <cell r="D841">
            <v>45111</v>
          </cell>
        </row>
        <row r="842">
          <cell r="A842" t="str">
            <v>Carlos Roberto da Silva Junior</v>
          </cell>
          <cell r="B842">
            <v>37013098</v>
          </cell>
          <cell r="C842">
            <v>20052817</v>
          </cell>
          <cell r="D842">
            <v>45111</v>
          </cell>
        </row>
        <row r="843">
          <cell r="A843" t="str">
            <v>Sandro de Jesus Costa</v>
          </cell>
          <cell r="B843">
            <v>37013097</v>
          </cell>
          <cell r="C843">
            <v>20052816</v>
          </cell>
          <cell r="D843">
            <v>45097</v>
          </cell>
        </row>
        <row r="844">
          <cell r="A844" t="str">
            <v>Jose Carlos da Silva</v>
          </cell>
          <cell r="B844">
            <v>37013101</v>
          </cell>
          <cell r="C844">
            <v>20052820</v>
          </cell>
          <cell r="D844">
            <v>45111</v>
          </cell>
        </row>
        <row r="845">
          <cell r="A845" t="str">
            <v>Thales Bruno Silva Santana</v>
          </cell>
          <cell r="B845">
            <v>37013129</v>
          </cell>
          <cell r="C845">
            <v>20053225</v>
          </cell>
          <cell r="D845">
            <v>45111</v>
          </cell>
        </row>
        <row r="846">
          <cell r="A846" t="str">
            <v>Caique Santos de Oliveira Toledo</v>
          </cell>
          <cell r="B846">
            <v>37013132</v>
          </cell>
          <cell r="C846">
            <v>20053228</v>
          </cell>
          <cell r="D846">
            <v>45111</v>
          </cell>
        </row>
        <row r="847">
          <cell r="A847" t="str">
            <v>Samuel Aleixo de Oliveira</v>
          </cell>
          <cell r="B847">
            <v>37013139</v>
          </cell>
          <cell r="C847">
            <v>20053235</v>
          </cell>
          <cell r="D847">
            <v>45111</v>
          </cell>
        </row>
        <row r="848">
          <cell r="A848" t="str">
            <v>Rafael Donizeti Cardoso</v>
          </cell>
          <cell r="B848">
            <v>37013145</v>
          </cell>
          <cell r="C848">
            <v>20053241</v>
          </cell>
          <cell r="D848">
            <v>45111</v>
          </cell>
        </row>
        <row r="849">
          <cell r="A849" t="str">
            <v>Leandro Rebonato Matias</v>
          </cell>
          <cell r="B849">
            <v>37013165</v>
          </cell>
          <cell r="C849">
            <v>20053292</v>
          </cell>
          <cell r="D849">
            <v>45111</v>
          </cell>
        </row>
        <row r="850">
          <cell r="A850" t="str">
            <v>Lucas Vinicius Alves</v>
          </cell>
          <cell r="B850">
            <v>37013159</v>
          </cell>
          <cell r="C850">
            <v>20053286</v>
          </cell>
          <cell r="D850">
            <v>45111</v>
          </cell>
        </row>
        <row r="851">
          <cell r="A851" t="str">
            <v>Anderson Batista De Lima</v>
          </cell>
          <cell r="B851">
            <v>37013173</v>
          </cell>
          <cell r="C851">
            <v>20053350</v>
          </cell>
          <cell r="D851">
            <v>45111</v>
          </cell>
        </row>
        <row r="852">
          <cell r="A852" t="str">
            <v>Lucas Do Carmo Barbosa</v>
          </cell>
          <cell r="B852">
            <v>37013170</v>
          </cell>
          <cell r="C852">
            <v>20053347</v>
          </cell>
          <cell r="D852">
            <v>45111</v>
          </cell>
        </row>
        <row r="853">
          <cell r="A853" t="str">
            <v>Johnatan Gama Fonseca</v>
          </cell>
          <cell r="B853">
            <v>37013183</v>
          </cell>
          <cell r="C853">
            <v>20053360</v>
          </cell>
          <cell r="D853">
            <v>45111</v>
          </cell>
        </row>
        <row r="854">
          <cell r="A854" t="str">
            <v>Danilo Silvestre Antunes</v>
          </cell>
          <cell r="B854">
            <v>37013195</v>
          </cell>
          <cell r="C854">
            <v>20053387</v>
          </cell>
          <cell r="D854">
            <v>45111</v>
          </cell>
        </row>
        <row r="855">
          <cell r="A855" t="str">
            <v>Carlos Antonio Lemes</v>
          </cell>
          <cell r="B855">
            <v>37013193</v>
          </cell>
          <cell r="C855">
            <v>20053385</v>
          </cell>
          <cell r="D855">
            <v>45111</v>
          </cell>
        </row>
        <row r="856">
          <cell r="A856" t="str">
            <v>Fernando da Silva Souza</v>
          </cell>
          <cell r="B856">
            <v>37013198</v>
          </cell>
          <cell r="C856">
            <v>20053390</v>
          </cell>
          <cell r="D856">
            <v>45111</v>
          </cell>
        </row>
        <row r="857">
          <cell r="A857" t="str">
            <v>Alex Sandro Antonio de Melo</v>
          </cell>
          <cell r="B857">
            <v>37013213</v>
          </cell>
          <cell r="C857">
            <v>20053534</v>
          </cell>
          <cell r="D857">
            <v>45111</v>
          </cell>
        </row>
        <row r="858">
          <cell r="A858" t="str">
            <v>Maicon da Silva</v>
          </cell>
          <cell r="B858">
            <v>37013214</v>
          </cell>
          <cell r="C858">
            <v>20053535</v>
          </cell>
          <cell r="D858">
            <v>45111</v>
          </cell>
        </row>
        <row r="859">
          <cell r="A859" t="str">
            <v>Lucas Bearari Martins</v>
          </cell>
          <cell r="B859">
            <v>37013228</v>
          </cell>
          <cell r="C859">
            <v>20053549</v>
          </cell>
          <cell r="D859">
            <v>45111</v>
          </cell>
        </row>
        <row r="860">
          <cell r="A860" t="str">
            <v>Adriano Oliveira dos Santos</v>
          </cell>
          <cell r="B860">
            <v>37013220</v>
          </cell>
          <cell r="C860">
            <v>20053541</v>
          </cell>
          <cell r="D860">
            <v>45111</v>
          </cell>
        </row>
        <row r="861">
          <cell r="A861" t="str">
            <v>Christiano Conti</v>
          </cell>
          <cell r="B861">
            <v>37013222</v>
          </cell>
          <cell r="C861">
            <v>20053543</v>
          </cell>
          <cell r="D861">
            <v>45111</v>
          </cell>
        </row>
        <row r="862">
          <cell r="A862" t="str">
            <v>Leandro Amaral Martins</v>
          </cell>
          <cell r="B862">
            <v>37013229</v>
          </cell>
          <cell r="C862">
            <v>20053550</v>
          </cell>
          <cell r="D862">
            <v>45111</v>
          </cell>
        </row>
        <row r="863">
          <cell r="A863" t="str">
            <v>Fabio Marques Costa</v>
          </cell>
          <cell r="B863">
            <v>37013230</v>
          </cell>
          <cell r="C863">
            <v>20053551</v>
          </cell>
          <cell r="D863">
            <v>45111</v>
          </cell>
        </row>
        <row r="864">
          <cell r="A864" t="str">
            <v>Wellington Lourenco Felix de Souza</v>
          </cell>
          <cell r="B864">
            <v>37013238</v>
          </cell>
          <cell r="C864">
            <v>20053577</v>
          </cell>
          <cell r="D864">
            <v>45111</v>
          </cell>
        </row>
        <row r="865">
          <cell r="A865" t="str">
            <v>Diego Augusto Camargo</v>
          </cell>
          <cell r="B865">
            <v>37013242</v>
          </cell>
          <cell r="C865">
            <v>20053581</v>
          </cell>
          <cell r="D865">
            <v>45111</v>
          </cell>
        </row>
        <row r="866">
          <cell r="A866" t="str">
            <v>Murilo Gomes de Souza</v>
          </cell>
          <cell r="B866">
            <v>37013247</v>
          </cell>
          <cell r="C866">
            <v>20053586</v>
          </cell>
          <cell r="D866">
            <v>45111</v>
          </cell>
        </row>
        <row r="867">
          <cell r="A867" t="str">
            <v>Rafael Rodrigues dos Santos</v>
          </cell>
          <cell r="B867">
            <v>37013248</v>
          </cell>
          <cell r="C867">
            <v>20053587</v>
          </cell>
          <cell r="D867">
            <v>45111</v>
          </cell>
        </row>
        <row r="868">
          <cell r="A868" t="str">
            <v>Lincoln Batista Melchior</v>
          </cell>
          <cell r="B868">
            <v>37013273</v>
          </cell>
          <cell r="C868">
            <v>20053630</v>
          </cell>
          <cell r="D868">
            <v>45111</v>
          </cell>
        </row>
        <row r="869">
          <cell r="A869" t="str">
            <v>Mateus Vasconcelos Freitas</v>
          </cell>
          <cell r="B869">
            <v>37013275</v>
          </cell>
          <cell r="C869">
            <v>20053632</v>
          </cell>
          <cell r="D869">
            <v>45111</v>
          </cell>
        </row>
        <row r="870">
          <cell r="A870" t="str">
            <v>Carlos Eduardo Hunas de Oliveira</v>
          </cell>
          <cell r="B870">
            <v>37013276</v>
          </cell>
          <cell r="C870">
            <v>20053633</v>
          </cell>
          <cell r="D870">
            <v>45111</v>
          </cell>
        </row>
        <row r="871">
          <cell r="A871" t="str">
            <v>Diogo Lage Ferreira</v>
          </cell>
          <cell r="B871">
            <v>37004505</v>
          </cell>
          <cell r="C871">
            <v>20008171</v>
          </cell>
          <cell r="D871">
            <v>43927</v>
          </cell>
        </row>
        <row r="872">
          <cell r="A872" t="str">
            <v>Jose Carlos Goncalves</v>
          </cell>
          <cell r="B872">
            <v>37013284</v>
          </cell>
          <cell r="C872">
            <v>20053646</v>
          </cell>
          <cell r="D872">
            <v>45111</v>
          </cell>
        </row>
        <row r="873">
          <cell r="A873" t="str">
            <v>Amanda Videira Nascimento</v>
          </cell>
          <cell r="B873">
            <v>37013310</v>
          </cell>
          <cell r="C873">
            <v>20053672</v>
          </cell>
          <cell r="D873">
            <v>45111</v>
          </cell>
        </row>
        <row r="874">
          <cell r="A874" t="str">
            <v>Manoel Fernando Garcia da Silva</v>
          </cell>
          <cell r="B874">
            <v>37013297</v>
          </cell>
          <cell r="C874">
            <v>20053659</v>
          </cell>
          <cell r="D874">
            <v>45125</v>
          </cell>
        </row>
        <row r="875">
          <cell r="A875" t="str">
            <v>Ana Carolina Souza dos Santos</v>
          </cell>
          <cell r="B875">
            <v>37013304</v>
          </cell>
          <cell r="C875">
            <v>20053666</v>
          </cell>
          <cell r="D875">
            <v>45111</v>
          </cell>
        </row>
        <row r="876">
          <cell r="A876" t="str">
            <v>Lucas Emanuel De Lemos Nascimento</v>
          </cell>
          <cell r="B876">
            <v>37013342</v>
          </cell>
          <cell r="C876">
            <v>20053733</v>
          </cell>
          <cell r="D876">
            <v>45118</v>
          </cell>
        </row>
        <row r="877">
          <cell r="A877" t="str">
            <v>Jesus Donizeti Salgado</v>
          </cell>
          <cell r="B877">
            <v>37013346</v>
          </cell>
          <cell r="C877">
            <v>20053737</v>
          </cell>
          <cell r="D877">
            <v>45118</v>
          </cell>
        </row>
        <row r="878">
          <cell r="A878" t="str">
            <v>Oswaldo de Freitas Marujo</v>
          </cell>
          <cell r="B878">
            <v>37013355</v>
          </cell>
          <cell r="C878">
            <v>20054012</v>
          </cell>
          <cell r="D878">
            <v>45118</v>
          </cell>
        </row>
        <row r="879">
          <cell r="A879" t="str">
            <v>Paulo Sergio Peres</v>
          </cell>
          <cell r="B879">
            <v>37013391</v>
          </cell>
          <cell r="C879">
            <v>20054502</v>
          </cell>
          <cell r="D879">
            <v>45118</v>
          </cell>
        </row>
        <row r="880">
          <cell r="A880" t="str">
            <v>Andre De Souza Oliveira</v>
          </cell>
          <cell r="B880">
            <v>37013399</v>
          </cell>
          <cell r="C880">
            <v>20054510</v>
          </cell>
          <cell r="D880">
            <v>45118</v>
          </cell>
        </row>
        <row r="881">
          <cell r="A881" t="str">
            <v>Lucas Henrique Zuntini</v>
          </cell>
          <cell r="B881">
            <v>37013392</v>
          </cell>
          <cell r="C881">
            <v>20054503</v>
          </cell>
          <cell r="D881">
            <v>45118</v>
          </cell>
        </row>
        <row r="882">
          <cell r="A882" t="str">
            <v>Fernando De Jesus Oliveira</v>
          </cell>
          <cell r="B882">
            <v>37013400</v>
          </cell>
          <cell r="C882">
            <v>20054511</v>
          </cell>
          <cell r="D882">
            <v>45118</v>
          </cell>
        </row>
        <row r="883">
          <cell r="A883" t="str">
            <v>Adriano da Silva Ferreira</v>
          </cell>
          <cell r="B883">
            <v>37013421</v>
          </cell>
          <cell r="C883">
            <v>20054866</v>
          </cell>
          <cell r="D883">
            <v>45118</v>
          </cell>
        </row>
        <row r="884">
          <cell r="A884" t="str">
            <v>Jose Alessandro De Campos</v>
          </cell>
          <cell r="B884">
            <v>37006041</v>
          </cell>
          <cell r="C884">
            <v>20016818</v>
          </cell>
          <cell r="D884">
            <v>44399</v>
          </cell>
        </row>
        <row r="885">
          <cell r="A885" t="str">
            <v>Carlos Aurelio Cirillo Batista De Souza</v>
          </cell>
          <cell r="B885">
            <v>37011814</v>
          </cell>
          <cell r="C885">
            <v>20045908</v>
          </cell>
          <cell r="D885">
            <v>45005</v>
          </cell>
        </row>
        <row r="886">
          <cell r="A886" t="str">
            <v>Felipe Adriano Campos</v>
          </cell>
          <cell r="B886">
            <v>37001586</v>
          </cell>
          <cell r="C886">
            <v>20009071</v>
          </cell>
          <cell r="D886">
            <v>42282</v>
          </cell>
        </row>
        <row r="887">
          <cell r="A887" t="str">
            <v>Edson Barboza</v>
          </cell>
          <cell r="B887">
            <v>37006591</v>
          </cell>
          <cell r="C887">
            <v>20018163</v>
          </cell>
          <cell r="D887">
            <v>44482</v>
          </cell>
        </row>
        <row r="888">
          <cell r="A888" t="str">
            <v>Tiago Euzebio Lopes</v>
          </cell>
          <cell r="B888">
            <v>37004772</v>
          </cell>
          <cell r="C888">
            <v>20008066</v>
          </cell>
          <cell r="D888">
            <v>44060</v>
          </cell>
        </row>
        <row r="889">
          <cell r="A889" t="str">
            <v>Diego Lopes Camilo</v>
          </cell>
          <cell r="B889">
            <v>37001536</v>
          </cell>
          <cell r="C889">
            <v>20008909</v>
          </cell>
          <cell r="D889">
            <v>42198</v>
          </cell>
        </row>
        <row r="890">
          <cell r="A890" t="str">
            <v>Ederson Martins De Moraes</v>
          </cell>
          <cell r="B890">
            <v>37001518</v>
          </cell>
          <cell r="C890">
            <v>20008939</v>
          </cell>
          <cell r="D890">
            <v>42128</v>
          </cell>
        </row>
        <row r="891">
          <cell r="A891" t="str">
            <v>Victor Luiz Chagas Pires</v>
          </cell>
          <cell r="B891">
            <v>37004403</v>
          </cell>
          <cell r="C891">
            <v>20008335</v>
          </cell>
          <cell r="D891">
            <v>43878</v>
          </cell>
        </row>
        <row r="892">
          <cell r="A892" t="str">
            <v>Rafael Augusto Matsuzaki</v>
          </cell>
          <cell r="B892">
            <v>37004538</v>
          </cell>
          <cell r="C892">
            <v>20009794</v>
          </cell>
          <cell r="D892">
            <v>43934</v>
          </cell>
        </row>
        <row r="893">
          <cell r="A893" t="str">
            <v>Paulo Henrique Bueno de Lima</v>
          </cell>
          <cell r="B893">
            <v>37013454</v>
          </cell>
          <cell r="C893">
            <v>20054989</v>
          </cell>
          <cell r="D893">
            <v>45125</v>
          </cell>
        </row>
        <row r="894">
          <cell r="A894" t="str">
            <v>Matheus Antonio Benites</v>
          </cell>
          <cell r="B894">
            <v>37005277</v>
          </cell>
          <cell r="C894">
            <v>20011113</v>
          </cell>
          <cell r="D894">
            <v>44152</v>
          </cell>
        </row>
        <row r="895">
          <cell r="A895" t="str">
            <v>Leticia Caetano Guasti</v>
          </cell>
          <cell r="B895">
            <v>37013461</v>
          </cell>
          <cell r="C895">
            <v>20054996</v>
          </cell>
          <cell r="D895">
            <v>45125</v>
          </cell>
        </row>
        <row r="896">
          <cell r="A896" t="str">
            <v>Eliezer De Castro Dallaqua</v>
          </cell>
          <cell r="B896">
            <v>37000294</v>
          </cell>
          <cell r="C896">
            <v>20008985</v>
          </cell>
          <cell r="D896">
            <v>36549</v>
          </cell>
        </row>
        <row r="897">
          <cell r="A897" t="str">
            <v>Vinicius Borin</v>
          </cell>
          <cell r="B897">
            <v>37005619</v>
          </cell>
          <cell r="C897">
            <v>20013927</v>
          </cell>
          <cell r="D897">
            <v>44319</v>
          </cell>
        </row>
        <row r="898">
          <cell r="A898" t="str">
            <v>Divino Aparecido Dominguete</v>
          </cell>
          <cell r="B898">
            <v>37004267</v>
          </cell>
          <cell r="C898">
            <v>20008917</v>
          </cell>
          <cell r="D898">
            <v>43864</v>
          </cell>
        </row>
        <row r="899">
          <cell r="A899" t="str">
            <v>Rafael De Oliveira Sonego</v>
          </cell>
          <cell r="B899">
            <v>37000430</v>
          </cell>
          <cell r="C899">
            <v>20009796</v>
          </cell>
          <cell r="D899">
            <v>38397</v>
          </cell>
        </row>
        <row r="900">
          <cell r="A900" t="str">
            <v>Cleber Ferreira de Souza</v>
          </cell>
          <cell r="B900">
            <v>37013490</v>
          </cell>
          <cell r="C900">
            <v>20055386</v>
          </cell>
          <cell r="D900">
            <v>45125</v>
          </cell>
        </row>
        <row r="901">
          <cell r="A901" t="str">
            <v>Jose Guilherme Ferrati</v>
          </cell>
          <cell r="B901">
            <v>37013512</v>
          </cell>
          <cell r="C901">
            <v>20055408</v>
          </cell>
          <cell r="D901">
            <v>45125</v>
          </cell>
        </row>
        <row r="902">
          <cell r="A902" t="str">
            <v>TIAGO JOSE VICENTE</v>
          </cell>
          <cell r="B902">
            <v>37013589</v>
          </cell>
          <cell r="C902">
            <v>20055819</v>
          </cell>
          <cell r="D902">
            <v>45125</v>
          </cell>
        </row>
        <row r="903">
          <cell r="A903" t="str">
            <v>Maira Andresa Carvalho</v>
          </cell>
          <cell r="B903">
            <v>37001454</v>
          </cell>
          <cell r="C903">
            <v>20009579</v>
          </cell>
          <cell r="D903">
            <v>41883</v>
          </cell>
        </row>
        <row r="904">
          <cell r="A904" t="str">
            <v>Sandro Pedro Rodrigues</v>
          </cell>
          <cell r="B904">
            <v>37013638</v>
          </cell>
          <cell r="C904">
            <v>20055938</v>
          </cell>
          <cell r="D904">
            <v>45139</v>
          </cell>
        </row>
        <row r="905">
          <cell r="A905" t="str">
            <v>RENAN DUARTE MANHANINI</v>
          </cell>
          <cell r="B905">
            <v>37013640</v>
          </cell>
          <cell r="C905">
            <v>20055940</v>
          </cell>
          <cell r="D905">
            <v>45139</v>
          </cell>
        </row>
        <row r="906">
          <cell r="A906" t="str">
            <v>Cristieli Nunes Da Silva</v>
          </cell>
          <cell r="B906">
            <v>37013648</v>
          </cell>
          <cell r="C906">
            <v>20055948</v>
          </cell>
          <cell r="D906">
            <v>45139</v>
          </cell>
        </row>
        <row r="907">
          <cell r="A907" t="str">
            <v>Elan Carlos De Oliveira Viana</v>
          </cell>
          <cell r="B907">
            <v>37013655</v>
          </cell>
          <cell r="C907">
            <v>20056154</v>
          </cell>
          <cell r="D907">
            <v>45139</v>
          </cell>
        </row>
        <row r="908">
          <cell r="A908" t="str">
            <v>Flavia Nogueira Bezerra</v>
          </cell>
          <cell r="B908">
            <v>37013661</v>
          </cell>
          <cell r="C908">
            <v>20056157</v>
          </cell>
          <cell r="D908">
            <v>45139</v>
          </cell>
        </row>
        <row r="909">
          <cell r="A909" t="str">
            <v>Karine Morais Alves de Oliveira</v>
          </cell>
          <cell r="B909">
            <v>37013653</v>
          </cell>
          <cell r="C909">
            <v>20056152</v>
          </cell>
          <cell r="D909">
            <v>45146</v>
          </cell>
        </row>
        <row r="910">
          <cell r="A910" t="str">
            <v>Oto de Araujo Oliveira</v>
          </cell>
          <cell r="B910">
            <v>37013656</v>
          </cell>
          <cell r="C910">
            <v>20056155</v>
          </cell>
          <cell r="D910">
            <v>45139</v>
          </cell>
        </row>
        <row r="911">
          <cell r="A911" t="str">
            <v>Marcos Antonio Baltazar Teixeira</v>
          </cell>
          <cell r="B911">
            <v>37013659</v>
          </cell>
          <cell r="C911">
            <v>20056158</v>
          </cell>
          <cell r="D911">
            <v>45139</v>
          </cell>
        </row>
        <row r="912">
          <cell r="A912" t="str">
            <v>Camilo da Silva</v>
          </cell>
          <cell r="B912">
            <v>37013667</v>
          </cell>
          <cell r="C912">
            <v>20056211</v>
          </cell>
          <cell r="D912">
            <v>45139</v>
          </cell>
        </row>
        <row r="913">
          <cell r="A913" t="str">
            <v>Cesar Aparecido Alves</v>
          </cell>
          <cell r="B913">
            <v>37013675</v>
          </cell>
          <cell r="C913">
            <v>20056238</v>
          </cell>
          <cell r="D913">
            <v>45139</v>
          </cell>
        </row>
        <row r="914">
          <cell r="A914" t="str">
            <v>Ricardo Nisiyamamoto</v>
          </cell>
          <cell r="B914">
            <v>37013684</v>
          </cell>
          <cell r="C914">
            <v>20056247</v>
          </cell>
          <cell r="D914">
            <v>45139</v>
          </cell>
        </row>
        <row r="915">
          <cell r="A915" t="str">
            <v>Claiton Lopes da Costa</v>
          </cell>
          <cell r="B915">
            <v>37013674</v>
          </cell>
          <cell r="C915">
            <v>20056237</v>
          </cell>
          <cell r="D915">
            <v>45139</v>
          </cell>
        </row>
        <row r="916">
          <cell r="A916" t="str">
            <v>Sergio Soares dos Santos</v>
          </cell>
          <cell r="B916">
            <v>37013676</v>
          </cell>
          <cell r="C916">
            <v>20056239</v>
          </cell>
          <cell r="D916">
            <v>45139</v>
          </cell>
        </row>
        <row r="917">
          <cell r="A917" t="str">
            <v>Luis Antonio Bueno Junior</v>
          </cell>
          <cell r="B917">
            <v>37013677</v>
          </cell>
          <cell r="C917">
            <v>20056240</v>
          </cell>
          <cell r="D917">
            <v>45139</v>
          </cell>
        </row>
        <row r="918">
          <cell r="A918" t="str">
            <v>Leonardo do Carmo Fusco</v>
          </cell>
          <cell r="B918">
            <v>37013678</v>
          </cell>
          <cell r="C918">
            <v>20056241</v>
          </cell>
          <cell r="D918">
            <v>45139</v>
          </cell>
        </row>
        <row r="919">
          <cell r="A919" t="str">
            <v>Regina Rodrigues Martins de Melo</v>
          </cell>
          <cell r="B919">
            <v>37013679</v>
          </cell>
          <cell r="C919">
            <v>20056242</v>
          </cell>
          <cell r="D919">
            <v>45139</v>
          </cell>
        </row>
        <row r="920">
          <cell r="A920" t="str">
            <v>Hilario Jose Da Silva</v>
          </cell>
          <cell r="B920">
            <v>37013685</v>
          </cell>
          <cell r="C920">
            <v>20056248</v>
          </cell>
          <cell r="D920">
            <v>45139</v>
          </cell>
        </row>
        <row r="921">
          <cell r="A921" t="str">
            <v>Edson Antonio Do Nascimento</v>
          </cell>
          <cell r="B921">
            <v>37013687</v>
          </cell>
          <cell r="C921">
            <v>20056250</v>
          </cell>
          <cell r="D921">
            <v>45139</v>
          </cell>
        </row>
        <row r="922">
          <cell r="A922" t="str">
            <v>Leandro Aparecido Luiz</v>
          </cell>
          <cell r="B922">
            <v>37013690</v>
          </cell>
          <cell r="C922">
            <v>20056253</v>
          </cell>
          <cell r="D922">
            <v>45139</v>
          </cell>
        </row>
        <row r="923">
          <cell r="A923" t="str">
            <v>Rodrigo Fioresi Sanches</v>
          </cell>
          <cell r="B923">
            <v>37013691</v>
          </cell>
          <cell r="C923">
            <v>20056254</v>
          </cell>
          <cell r="D923">
            <v>45139</v>
          </cell>
        </row>
        <row r="924">
          <cell r="A924" t="str">
            <v>Rogerio Theodoro Alves</v>
          </cell>
          <cell r="B924">
            <v>37013697</v>
          </cell>
          <cell r="C924">
            <v>20056279</v>
          </cell>
          <cell r="D924">
            <v>45139</v>
          </cell>
        </row>
        <row r="925">
          <cell r="A925" t="str">
            <v>Diego Samuel Ferreira</v>
          </cell>
          <cell r="B925">
            <v>37013701</v>
          </cell>
          <cell r="C925">
            <v>20056283</v>
          </cell>
          <cell r="D925">
            <v>45139</v>
          </cell>
        </row>
        <row r="926">
          <cell r="A926" t="str">
            <v>Alysson Cleber Santos</v>
          </cell>
          <cell r="B926">
            <v>37013710</v>
          </cell>
          <cell r="C926">
            <v>20056305</v>
          </cell>
          <cell r="D926">
            <v>45139</v>
          </cell>
        </row>
        <row r="927">
          <cell r="A927" t="str">
            <v>Mizael Santana Santos</v>
          </cell>
          <cell r="B927">
            <v>37013712</v>
          </cell>
          <cell r="C927">
            <v>20056307</v>
          </cell>
          <cell r="D927">
            <v>45146</v>
          </cell>
        </row>
        <row r="928">
          <cell r="A928" t="str">
            <v>Carlos Augusto Correa Malaquias</v>
          </cell>
          <cell r="B928">
            <v>37003323</v>
          </cell>
          <cell r="C928">
            <v>20008754</v>
          </cell>
          <cell r="D928">
            <v>43647</v>
          </cell>
        </row>
        <row r="929">
          <cell r="A929" t="str">
            <v>Edson Luiz dos Santos Moreira Monteiro</v>
          </cell>
          <cell r="B929">
            <v>37013719</v>
          </cell>
          <cell r="C929">
            <v>20056314</v>
          </cell>
          <cell r="D929">
            <v>45139</v>
          </cell>
        </row>
        <row r="930">
          <cell r="A930" t="str">
            <v>Jose Miguel Ferreira Capote</v>
          </cell>
          <cell r="B930">
            <v>37013736</v>
          </cell>
          <cell r="C930">
            <v>20056331</v>
          </cell>
          <cell r="D930">
            <v>45139</v>
          </cell>
        </row>
        <row r="931">
          <cell r="A931" t="str">
            <v>Ronald Figueiredo Sousa</v>
          </cell>
          <cell r="B931">
            <v>37013726</v>
          </cell>
          <cell r="C931">
            <v>20056321</v>
          </cell>
          <cell r="D931">
            <v>45139</v>
          </cell>
        </row>
        <row r="932">
          <cell r="A932" t="str">
            <v>Ivonete Szafranski</v>
          </cell>
          <cell r="B932">
            <v>37013730</v>
          </cell>
          <cell r="C932">
            <v>20056325</v>
          </cell>
          <cell r="D932">
            <v>45139</v>
          </cell>
        </row>
        <row r="933">
          <cell r="A933" t="str">
            <v>Yago Augusto Viana</v>
          </cell>
          <cell r="B933">
            <v>37013740</v>
          </cell>
          <cell r="C933">
            <v>20056335</v>
          </cell>
          <cell r="D933">
            <v>45139</v>
          </cell>
        </row>
        <row r="934">
          <cell r="A934" t="str">
            <v>Ronaldo Antonio Jose</v>
          </cell>
          <cell r="B934">
            <v>37013766</v>
          </cell>
          <cell r="C934">
            <v>20056401</v>
          </cell>
          <cell r="D934">
            <v>45139</v>
          </cell>
        </row>
        <row r="935">
          <cell r="A935" t="str">
            <v>Carlos Thuord de Souza</v>
          </cell>
          <cell r="B935">
            <v>37013764</v>
          </cell>
          <cell r="C935">
            <v>20056399</v>
          </cell>
          <cell r="D935">
            <v>45139</v>
          </cell>
        </row>
        <row r="936">
          <cell r="A936" t="str">
            <v>LETICIA DA SILVA SANTOS</v>
          </cell>
          <cell r="B936">
            <v>37013774</v>
          </cell>
          <cell r="C936">
            <v>20056425</v>
          </cell>
          <cell r="D936">
            <v>45139</v>
          </cell>
        </row>
        <row r="937">
          <cell r="A937" t="str">
            <v>Guilhermy Santos dos Santos Tolentino</v>
          </cell>
          <cell r="B937">
            <v>37013784</v>
          </cell>
          <cell r="C937">
            <v>20056435</v>
          </cell>
          <cell r="D937">
            <v>45139</v>
          </cell>
        </row>
        <row r="938">
          <cell r="A938" t="str">
            <v>Eder Angelo Afonso</v>
          </cell>
          <cell r="B938">
            <v>37013791</v>
          </cell>
          <cell r="C938">
            <v>20056442</v>
          </cell>
          <cell r="D938">
            <v>45139</v>
          </cell>
        </row>
        <row r="939">
          <cell r="A939" t="str">
            <v>Guilherme Ferreira de Oliveira Filho</v>
          </cell>
          <cell r="B939">
            <v>37013793</v>
          </cell>
          <cell r="C939">
            <v>20056444</v>
          </cell>
          <cell r="D939">
            <v>45153</v>
          </cell>
        </row>
        <row r="940">
          <cell r="A940" t="str">
            <v>Jéssica de Souza Heiras</v>
          </cell>
          <cell r="B940">
            <v>37013799</v>
          </cell>
          <cell r="C940">
            <v>20056461</v>
          </cell>
          <cell r="D940">
            <v>45139</v>
          </cell>
        </row>
        <row r="941">
          <cell r="A941" t="str">
            <v>Maria Eduarda Prenhaca</v>
          </cell>
          <cell r="B941">
            <v>37013802</v>
          </cell>
          <cell r="C941">
            <v>20056488</v>
          </cell>
          <cell r="D941">
            <v>45146</v>
          </cell>
        </row>
        <row r="942">
          <cell r="A942" t="str">
            <v>guilherme adao pavanello</v>
          </cell>
          <cell r="B942">
            <v>37013804</v>
          </cell>
          <cell r="C942">
            <v>20056490</v>
          </cell>
          <cell r="D942">
            <v>45146</v>
          </cell>
        </row>
        <row r="943">
          <cell r="A943" t="str">
            <v>Raiene Veloso de Camargo</v>
          </cell>
          <cell r="B943">
            <v>37013807</v>
          </cell>
          <cell r="C943">
            <v>20056493</v>
          </cell>
          <cell r="D943">
            <v>45146</v>
          </cell>
        </row>
        <row r="944">
          <cell r="A944" t="str">
            <v>Nubia Micaelly Emidio De Souza Santos</v>
          </cell>
          <cell r="B944">
            <v>37013806</v>
          </cell>
          <cell r="C944">
            <v>20056492</v>
          </cell>
          <cell r="D944">
            <v>45146</v>
          </cell>
        </row>
        <row r="945">
          <cell r="A945" t="str">
            <v>Lucas Fernando Cezario Da Silva</v>
          </cell>
          <cell r="B945">
            <v>37013809</v>
          </cell>
          <cell r="C945">
            <v>20056495</v>
          </cell>
          <cell r="D945">
            <v>45146</v>
          </cell>
        </row>
        <row r="946">
          <cell r="A946" t="str">
            <v>SUZANA APARECIDA BIAZZON TRUGILLO</v>
          </cell>
          <cell r="B946">
            <v>37013810</v>
          </cell>
          <cell r="C946">
            <v>20056496</v>
          </cell>
          <cell r="D946">
            <v>45146</v>
          </cell>
        </row>
        <row r="947">
          <cell r="A947" t="str">
            <v>Lineomarcos Ferreira</v>
          </cell>
          <cell r="B947">
            <v>37013813</v>
          </cell>
          <cell r="C947">
            <v>20056499</v>
          </cell>
          <cell r="D947">
            <v>45146</v>
          </cell>
        </row>
        <row r="948">
          <cell r="A948" t="str">
            <v>Guilherme Francisco Pires Da Rosa</v>
          </cell>
          <cell r="B948">
            <v>37013808</v>
          </cell>
          <cell r="C948">
            <v>20056494</v>
          </cell>
          <cell r="D948">
            <v>45146</v>
          </cell>
        </row>
        <row r="949">
          <cell r="A949" t="str">
            <v>Ohana Louise Castro Moraes</v>
          </cell>
          <cell r="B949">
            <v>37013811</v>
          </cell>
          <cell r="C949">
            <v>20056497</v>
          </cell>
          <cell r="D949">
            <v>45146</v>
          </cell>
        </row>
        <row r="950">
          <cell r="A950" t="str">
            <v>Jorge Ferreira De Camargo</v>
          </cell>
          <cell r="B950">
            <v>37013814</v>
          </cell>
          <cell r="C950">
            <v>20056500</v>
          </cell>
          <cell r="D950">
            <v>45146</v>
          </cell>
        </row>
        <row r="951">
          <cell r="A951" t="str">
            <v>Ricardo Vieira Cordeiro</v>
          </cell>
          <cell r="B951">
            <v>37013836</v>
          </cell>
          <cell r="C951">
            <v>20056793</v>
          </cell>
          <cell r="D951">
            <v>45146</v>
          </cell>
        </row>
        <row r="952">
          <cell r="A952" t="str">
            <v>Raniel Brito dos Santos</v>
          </cell>
          <cell r="B952">
            <v>37013851</v>
          </cell>
          <cell r="C952">
            <v>20056984</v>
          </cell>
          <cell r="D952">
            <v>45146</v>
          </cell>
        </row>
        <row r="953">
          <cell r="A953" t="str">
            <v>Paulo Vinicius Teodoro Vaz</v>
          </cell>
          <cell r="B953">
            <v>37013838</v>
          </cell>
          <cell r="C953">
            <v>20040615</v>
          </cell>
          <cell r="D953">
            <v>45146</v>
          </cell>
        </row>
        <row r="954">
          <cell r="A954" t="str">
            <v>Vagner Juliano Rodrigues</v>
          </cell>
          <cell r="B954">
            <v>37013876</v>
          </cell>
          <cell r="C954">
            <v>20057009</v>
          </cell>
          <cell r="D954">
            <v>45146</v>
          </cell>
        </row>
        <row r="955">
          <cell r="A955" t="str">
            <v>Caio Cesar Da Silva Pereira</v>
          </cell>
          <cell r="B955">
            <v>37013888</v>
          </cell>
          <cell r="C955">
            <v>20057047</v>
          </cell>
          <cell r="D955">
            <v>45146</v>
          </cell>
        </row>
        <row r="956">
          <cell r="A956" t="str">
            <v>Willison Gustavo da Silva</v>
          </cell>
          <cell r="B956">
            <v>37013890</v>
          </cell>
          <cell r="C956">
            <v>20057049</v>
          </cell>
          <cell r="D956">
            <v>45146</v>
          </cell>
        </row>
        <row r="957">
          <cell r="A957" t="str">
            <v>Isadora Pelegrini Bulhoes Oliveira</v>
          </cell>
          <cell r="B957">
            <v>37013898</v>
          </cell>
          <cell r="C957">
            <v>20057057</v>
          </cell>
          <cell r="D957">
            <v>45146</v>
          </cell>
        </row>
        <row r="958">
          <cell r="A958" t="str">
            <v>Ilam Rafael Correa de Mello</v>
          </cell>
          <cell r="B958">
            <v>37013901</v>
          </cell>
          <cell r="C958">
            <v>20057060</v>
          </cell>
          <cell r="D958">
            <v>45153</v>
          </cell>
        </row>
        <row r="959">
          <cell r="A959" t="str">
            <v>FLORISVALDO RICARDO</v>
          </cell>
          <cell r="B959">
            <v>37014028</v>
          </cell>
          <cell r="C959">
            <v>20057183</v>
          </cell>
          <cell r="D959">
            <v>45153</v>
          </cell>
        </row>
        <row r="960">
          <cell r="A960" t="str">
            <v>Isadora Maria Pereira</v>
          </cell>
          <cell r="B960">
            <v>37013910</v>
          </cell>
          <cell r="C960">
            <v>20057188</v>
          </cell>
          <cell r="D960">
            <v>45154</v>
          </cell>
        </row>
        <row r="961">
          <cell r="A961" t="str">
            <v>Maria Eduarda Cruz Reis</v>
          </cell>
          <cell r="B961">
            <v>37013911</v>
          </cell>
          <cell r="C961">
            <v>20057189</v>
          </cell>
          <cell r="D961">
            <v>45154</v>
          </cell>
        </row>
        <row r="962">
          <cell r="A962" t="str">
            <v>Gustavo Casagrande</v>
          </cell>
          <cell r="B962">
            <v>37013912</v>
          </cell>
          <cell r="C962">
            <v>20057190</v>
          </cell>
          <cell r="D962">
            <v>45154</v>
          </cell>
        </row>
        <row r="963">
          <cell r="A963" t="str">
            <v>Geovana Moretti Camargo</v>
          </cell>
          <cell r="B963">
            <v>37013917</v>
          </cell>
          <cell r="C963">
            <v>20057223</v>
          </cell>
          <cell r="D963">
            <v>45154</v>
          </cell>
        </row>
        <row r="964">
          <cell r="A964" t="str">
            <v>Caroline Ferreira Sebastiao</v>
          </cell>
          <cell r="B964">
            <v>37013920</v>
          </cell>
          <cell r="C964">
            <v>20057226</v>
          </cell>
          <cell r="D964">
            <v>45154</v>
          </cell>
        </row>
        <row r="965">
          <cell r="A965" t="str">
            <v>Victor Fofano Capobiango</v>
          </cell>
          <cell r="B965">
            <v>37013922</v>
          </cell>
          <cell r="C965">
            <v>20057228</v>
          </cell>
          <cell r="D965">
            <v>45154</v>
          </cell>
        </row>
        <row r="966">
          <cell r="A966" t="str">
            <v>Bianca Martins Da Silva</v>
          </cell>
          <cell r="B966">
            <v>37013936</v>
          </cell>
          <cell r="C966">
            <v>20057340</v>
          </cell>
          <cell r="D966">
            <v>45154</v>
          </cell>
        </row>
        <row r="967">
          <cell r="A967" t="str">
            <v>Elias Alves Sousa Junior</v>
          </cell>
          <cell r="B967">
            <v>37013937</v>
          </cell>
          <cell r="C967">
            <v>20057341</v>
          </cell>
          <cell r="D967">
            <v>45154</v>
          </cell>
        </row>
        <row r="968">
          <cell r="A968" t="str">
            <v>Joao Caetano Sanches</v>
          </cell>
          <cell r="B968">
            <v>37008044</v>
          </cell>
          <cell r="C968">
            <v>20026806</v>
          </cell>
          <cell r="D968">
            <v>44713</v>
          </cell>
        </row>
        <row r="969">
          <cell r="A969" t="str">
            <v>Welinson Pimenta Oliveira</v>
          </cell>
          <cell r="B969">
            <v>37013946</v>
          </cell>
          <cell r="C969">
            <v>20057350</v>
          </cell>
          <cell r="D969">
            <v>45153</v>
          </cell>
        </row>
        <row r="970">
          <cell r="A970" t="str">
            <v>Danillo Henrique Almeida</v>
          </cell>
          <cell r="B970">
            <v>37003329</v>
          </cell>
          <cell r="C970">
            <v>20008868</v>
          </cell>
          <cell r="D970">
            <v>43647</v>
          </cell>
        </row>
        <row r="971">
          <cell r="A971" t="str">
            <v>Erasmo Aparecido do Nascimento</v>
          </cell>
          <cell r="B971">
            <v>37013951</v>
          </cell>
          <cell r="C971">
            <v>20057355</v>
          </cell>
          <cell r="D971">
            <v>45153</v>
          </cell>
        </row>
        <row r="972">
          <cell r="A972" t="str">
            <v>Jane Danielle Dos Santos Rocha</v>
          </cell>
          <cell r="B972">
            <v>37013955</v>
          </cell>
          <cell r="C972">
            <v>20057359</v>
          </cell>
          <cell r="D972">
            <v>45153</v>
          </cell>
        </row>
        <row r="973">
          <cell r="A973" t="str">
            <v>Edilson de Oliveira</v>
          </cell>
          <cell r="B973">
            <v>37013960</v>
          </cell>
          <cell r="C973">
            <v>20057441</v>
          </cell>
          <cell r="D973">
            <v>45153</v>
          </cell>
        </row>
        <row r="974">
          <cell r="A974" t="str">
            <v>Tatiane De Jesus Campos</v>
          </cell>
          <cell r="B974">
            <v>37013956</v>
          </cell>
          <cell r="C974">
            <v>20040665</v>
          </cell>
          <cell r="D974">
            <v>45153</v>
          </cell>
        </row>
        <row r="975">
          <cell r="A975" t="str">
            <v>Rafael De Sousa Mendonca</v>
          </cell>
          <cell r="B975">
            <v>37013978</v>
          </cell>
          <cell r="C975">
            <v>20057460</v>
          </cell>
          <cell r="D975">
            <v>45153</v>
          </cell>
        </row>
        <row r="976">
          <cell r="A976" t="str">
            <v>Daniel Alves Lima Junior</v>
          </cell>
          <cell r="B976">
            <v>37013973</v>
          </cell>
          <cell r="C976">
            <v>20057455</v>
          </cell>
          <cell r="D976">
            <v>45153</v>
          </cell>
        </row>
        <row r="977">
          <cell r="A977" t="str">
            <v>Renan Luiz Batista De Oliveira</v>
          </cell>
          <cell r="B977">
            <v>37013974</v>
          </cell>
          <cell r="C977">
            <v>20057456</v>
          </cell>
          <cell r="D977">
            <v>45153</v>
          </cell>
        </row>
        <row r="978">
          <cell r="A978" t="str">
            <v>Elison Gonzales de Almeida</v>
          </cell>
          <cell r="B978">
            <v>37013975</v>
          </cell>
          <cell r="C978">
            <v>20057457</v>
          </cell>
          <cell r="D978">
            <v>45153</v>
          </cell>
        </row>
        <row r="979">
          <cell r="A979" t="str">
            <v>Evandro Da Silva Anastacio</v>
          </cell>
          <cell r="B979">
            <v>37013980</v>
          </cell>
          <cell r="C979">
            <v>20057462</v>
          </cell>
          <cell r="D979">
            <v>45160</v>
          </cell>
        </row>
        <row r="980">
          <cell r="A980" t="str">
            <v>Evily Monique Santos Da Silva</v>
          </cell>
          <cell r="B980">
            <v>37013984</v>
          </cell>
          <cell r="C980">
            <v>20057466</v>
          </cell>
          <cell r="D980">
            <v>45154</v>
          </cell>
        </row>
        <row r="981">
          <cell r="A981" t="str">
            <v>Erich Henrique Cardoso Roberto</v>
          </cell>
          <cell r="B981">
            <v>37013989</v>
          </cell>
          <cell r="C981">
            <v>20057471</v>
          </cell>
          <cell r="D981">
            <v>45160</v>
          </cell>
        </row>
        <row r="982">
          <cell r="A982" t="str">
            <v>Jose da Silva Junior</v>
          </cell>
          <cell r="B982">
            <v>37013987</v>
          </cell>
          <cell r="C982">
            <v>20057469</v>
          </cell>
          <cell r="D982">
            <v>45153</v>
          </cell>
        </row>
        <row r="983">
          <cell r="A983" t="str">
            <v>Daniel Bornia Miranda</v>
          </cell>
          <cell r="B983">
            <v>37013988</v>
          </cell>
          <cell r="C983">
            <v>20057470</v>
          </cell>
          <cell r="D983">
            <v>45154</v>
          </cell>
        </row>
        <row r="984">
          <cell r="A984" t="str">
            <v>Emerson Luiz Borin</v>
          </cell>
          <cell r="B984">
            <v>37000220</v>
          </cell>
          <cell r="C984">
            <v>20009005</v>
          </cell>
          <cell r="D984">
            <v>35328</v>
          </cell>
        </row>
        <row r="985">
          <cell r="A985" t="str">
            <v>Tiago Silva Bruno Costa</v>
          </cell>
          <cell r="B985">
            <v>37007034</v>
          </cell>
          <cell r="C985">
            <v>20021313</v>
          </cell>
          <cell r="D985">
            <v>44578</v>
          </cell>
        </row>
        <row r="986">
          <cell r="A986" t="str">
            <v>Leandro Antonio De Oliveira</v>
          </cell>
          <cell r="B986">
            <v>37003785</v>
          </cell>
          <cell r="C986">
            <v>20009469</v>
          </cell>
          <cell r="D986">
            <v>43752</v>
          </cell>
        </row>
        <row r="987">
          <cell r="A987" t="str">
            <v>Ulisses Rejani Zenateli</v>
          </cell>
          <cell r="B987">
            <v>37003406</v>
          </cell>
          <cell r="C987">
            <v>20009976</v>
          </cell>
          <cell r="D987">
            <v>43647</v>
          </cell>
        </row>
        <row r="988">
          <cell r="A988" t="str">
            <v>Claudionor Rodrigues De Oliveira</v>
          </cell>
          <cell r="B988">
            <v>37000211</v>
          </cell>
          <cell r="C988">
            <v>20008816</v>
          </cell>
          <cell r="D988">
            <v>35300</v>
          </cell>
        </row>
        <row r="989">
          <cell r="A989" t="str">
            <v>Vagner Dos Santos</v>
          </cell>
          <cell r="B989">
            <v>37000338</v>
          </cell>
          <cell r="C989">
            <v>20009979</v>
          </cell>
          <cell r="D989">
            <v>37258</v>
          </cell>
        </row>
        <row r="990">
          <cell r="A990" t="str">
            <v>Jose Antonio Borges da Silva</v>
          </cell>
          <cell r="B990">
            <v>37013995</v>
          </cell>
          <cell r="C990">
            <v>20057484</v>
          </cell>
          <cell r="D990">
            <v>45153</v>
          </cell>
        </row>
        <row r="991">
          <cell r="A991" t="str">
            <v>Lucia Carolina de Oliveira Cardoso</v>
          </cell>
          <cell r="B991">
            <v>37014011</v>
          </cell>
          <cell r="C991">
            <v>20057501</v>
          </cell>
          <cell r="D991">
            <v>45154</v>
          </cell>
        </row>
        <row r="992">
          <cell r="A992" t="str">
            <v>Lourenco Marcos Neto</v>
          </cell>
          <cell r="B992">
            <v>37014008</v>
          </cell>
          <cell r="C992">
            <v>20057498</v>
          </cell>
          <cell r="D992">
            <v>45153</v>
          </cell>
        </row>
        <row r="993">
          <cell r="A993" t="str">
            <v>Marino Leite Mimi</v>
          </cell>
          <cell r="B993">
            <v>37005219</v>
          </cell>
          <cell r="C993">
            <v>20011112</v>
          </cell>
          <cell r="D993">
            <v>44117</v>
          </cell>
        </row>
        <row r="994">
          <cell r="A994" t="str">
            <v>Bruna Estefani Benjamim</v>
          </cell>
          <cell r="B994">
            <v>37004743</v>
          </cell>
          <cell r="C994">
            <v>20008037</v>
          </cell>
          <cell r="D994">
            <v>44060</v>
          </cell>
        </row>
        <row r="995">
          <cell r="A995" t="str">
            <v>Giovani Giglioli Carpanezi</v>
          </cell>
          <cell r="B995">
            <v>37008747</v>
          </cell>
          <cell r="C995">
            <v>20032355</v>
          </cell>
          <cell r="D995">
            <v>44774</v>
          </cell>
        </row>
        <row r="996">
          <cell r="A996" t="str">
            <v>Roberto Amaro Domingues</v>
          </cell>
          <cell r="B996">
            <v>37006819</v>
          </cell>
          <cell r="C996">
            <v>20019996</v>
          </cell>
          <cell r="D996">
            <v>44531</v>
          </cell>
        </row>
        <row r="997">
          <cell r="A997" t="str">
            <v>Willian Alexandre Fortunato Pereira</v>
          </cell>
          <cell r="B997">
            <v>37006746</v>
          </cell>
          <cell r="C997">
            <v>20019986</v>
          </cell>
          <cell r="D997">
            <v>44522</v>
          </cell>
        </row>
        <row r="998">
          <cell r="A998" t="str">
            <v>Vinicius Alarcon Minorello</v>
          </cell>
          <cell r="B998">
            <v>37014027</v>
          </cell>
          <cell r="C998">
            <v>20040666</v>
          </cell>
          <cell r="D998">
            <v>45153</v>
          </cell>
        </row>
        <row r="999">
          <cell r="A999" t="str">
            <v>Joao Vitor Brasilio Laurentino</v>
          </cell>
          <cell r="B999">
            <v>37014025</v>
          </cell>
          <cell r="C999">
            <v>20040624</v>
          </cell>
          <cell r="D999">
            <v>45153</v>
          </cell>
        </row>
        <row r="1000">
          <cell r="A1000" t="str">
            <v>Arthur Ferreira</v>
          </cell>
          <cell r="B1000">
            <v>37014057</v>
          </cell>
          <cell r="C1000">
            <v>20057743</v>
          </cell>
          <cell r="D1000">
            <v>45160</v>
          </cell>
        </row>
        <row r="1001">
          <cell r="A1001" t="str">
            <v>Renan Da Silva Costa</v>
          </cell>
          <cell r="B1001">
            <v>37014053</v>
          </cell>
          <cell r="C1001">
            <v>20057739</v>
          </cell>
          <cell r="D1001">
            <v>45160</v>
          </cell>
        </row>
        <row r="1002">
          <cell r="A1002" t="str">
            <v>Andrius Vaz Hernandes</v>
          </cell>
          <cell r="B1002">
            <v>37014097</v>
          </cell>
          <cell r="C1002">
            <v>20057833</v>
          </cell>
          <cell r="D1002">
            <v>45160</v>
          </cell>
        </row>
        <row r="1003">
          <cell r="A1003" t="str">
            <v>Kaylane Karoline Campos Braz</v>
          </cell>
          <cell r="B1003">
            <v>37014138</v>
          </cell>
          <cell r="C1003">
            <v>20057902</v>
          </cell>
          <cell r="D1003">
            <v>45160</v>
          </cell>
        </row>
        <row r="1004">
          <cell r="A1004" t="str">
            <v>Cesar Diego Evangelista De Oliveira</v>
          </cell>
          <cell r="B1004">
            <v>37003326</v>
          </cell>
          <cell r="C1004">
            <v>20008788</v>
          </cell>
          <cell r="D1004">
            <v>43647</v>
          </cell>
        </row>
        <row r="1005">
          <cell r="A1005" t="str">
            <v>Alessandro Coneglian Sais</v>
          </cell>
          <cell r="B1005">
            <v>37003216</v>
          </cell>
          <cell r="C1005">
            <v>20008522</v>
          </cell>
          <cell r="D1005">
            <v>43619</v>
          </cell>
        </row>
        <row r="1006">
          <cell r="A1006" t="str">
            <v>Jonathan Romani Da Silva</v>
          </cell>
          <cell r="B1006">
            <v>37003369</v>
          </cell>
          <cell r="C1006">
            <v>20009362</v>
          </cell>
          <cell r="D1006">
            <v>43647</v>
          </cell>
        </row>
        <row r="1007">
          <cell r="A1007" t="str">
            <v>Alan Augusto Sant Ana Anconi</v>
          </cell>
          <cell r="B1007">
            <v>37003739</v>
          </cell>
          <cell r="C1007">
            <v>20008516</v>
          </cell>
          <cell r="D1007">
            <v>43752</v>
          </cell>
        </row>
        <row r="1008">
          <cell r="A1008" t="str">
            <v>Jeverton Alexandre da Silva</v>
          </cell>
          <cell r="B1008">
            <v>37014152</v>
          </cell>
          <cell r="C1008">
            <v>20057952</v>
          </cell>
          <cell r="D1008">
            <v>45174</v>
          </cell>
        </row>
        <row r="1009">
          <cell r="A1009" t="str">
            <v>Oswaldo Luis Da Silva</v>
          </cell>
          <cell r="B1009">
            <v>37001172</v>
          </cell>
          <cell r="C1009">
            <v>20009736</v>
          </cell>
          <cell r="D1009">
            <v>41372</v>
          </cell>
        </row>
        <row r="1010">
          <cell r="A1010" t="str">
            <v>Adriano Jose Carpanezi</v>
          </cell>
          <cell r="B1010">
            <v>37003305</v>
          </cell>
          <cell r="C1010">
            <v>20008509</v>
          </cell>
          <cell r="D1010">
            <v>43647</v>
          </cell>
        </row>
        <row r="1011">
          <cell r="A1011" t="str">
            <v>Denilson Pereira Godoy</v>
          </cell>
          <cell r="B1011">
            <v>37014153</v>
          </cell>
          <cell r="C1011">
            <v>20057954</v>
          </cell>
          <cell r="D1011">
            <v>45174</v>
          </cell>
        </row>
        <row r="1012">
          <cell r="A1012" t="str">
            <v>Juliano Roberto Panelli da Costa</v>
          </cell>
          <cell r="B1012">
            <v>37014155</v>
          </cell>
          <cell r="C1012">
            <v>20057956</v>
          </cell>
          <cell r="D1012">
            <v>45174</v>
          </cell>
        </row>
        <row r="1013">
          <cell r="A1013" t="str">
            <v>Tiago Marques Rosado</v>
          </cell>
          <cell r="B1013">
            <v>37014157</v>
          </cell>
          <cell r="C1013">
            <v>20057958</v>
          </cell>
          <cell r="D1013">
            <v>45174</v>
          </cell>
        </row>
        <row r="1014">
          <cell r="A1014" t="str">
            <v>Lucas Ferreira Cremer</v>
          </cell>
          <cell r="B1014">
            <v>37014156</v>
          </cell>
          <cell r="C1014">
            <v>20057957</v>
          </cell>
          <cell r="D1014">
            <v>45174</v>
          </cell>
        </row>
        <row r="1015">
          <cell r="A1015" t="str">
            <v>Marcos Paulo Perao</v>
          </cell>
          <cell r="B1015">
            <v>37014159</v>
          </cell>
          <cell r="C1015">
            <v>20057960</v>
          </cell>
          <cell r="D1015">
            <v>45174</v>
          </cell>
        </row>
        <row r="1016">
          <cell r="A1016" t="str">
            <v>Joao Pedro Tavella</v>
          </cell>
          <cell r="B1016">
            <v>37014164</v>
          </cell>
          <cell r="C1016">
            <v>20057965</v>
          </cell>
          <cell r="D1016">
            <v>45174</v>
          </cell>
        </row>
        <row r="1017">
          <cell r="A1017" t="str">
            <v>João Victor Nogueira Nogueira Sebastião</v>
          </cell>
          <cell r="B1017">
            <v>37014168</v>
          </cell>
          <cell r="C1017">
            <v>20057969</v>
          </cell>
          <cell r="D1017">
            <v>45174</v>
          </cell>
        </row>
        <row r="1018">
          <cell r="A1018" t="str">
            <v>Gracielly Borges Goncalves Abreu</v>
          </cell>
          <cell r="B1018">
            <v>37014170</v>
          </cell>
          <cell r="C1018">
            <v>20057971</v>
          </cell>
          <cell r="D1018">
            <v>45174</v>
          </cell>
        </row>
        <row r="1019">
          <cell r="A1019" t="str">
            <v>Ivanildo Oliveira</v>
          </cell>
          <cell r="B1019">
            <v>37014161</v>
          </cell>
          <cell r="C1019">
            <v>20057962</v>
          </cell>
          <cell r="D1019">
            <v>45174</v>
          </cell>
        </row>
        <row r="1020">
          <cell r="A1020" t="str">
            <v>Kethlin Yasmim Oliveira Silva</v>
          </cell>
          <cell r="B1020">
            <v>37014166</v>
          </cell>
          <cell r="C1020">
            <v>20057967</v>
          </cell>
          <cell r="D1020">
            <v>45174</v>
          </cell>
        </row>
        <row r="1021">
          <cell r="A1021" t="str">
            <v>Ellohana Sarah Santos</v>
          </cell>
          <cell r="B1021">
            <v>37014167</v>
          </cell>
          <cell r="C1021">
            <v>20057968</v>
          </cell>
          <cell r="D1021">
            <v>45174</v>
          </cell>
        </row>
        <row r="1022">
          <cell r="A1022" t="str">
            <v>Gerson Rodrigues Alexandre</v>
          </cell>
          <cell r="B1022">
            <v>37014171</v>
          </cell>
          <cell r="C1022">
            <v>20057972</v>
          </cell>
          <cell r="D1022">
            <v>45174</v>
          </cell>
        </row>
        <row r="1023">
          <cell r="A1023" t="str">
            <v>Rodrigo Assuncao</v>
          </cell>
          <cell r="B1023">
            <v>37014172</v>
          </cell>
          <cell r="C1023">
            <v>20057973</v>
          </cell>
          <cell r="D1023">
            <v>45174</v>
          </cell>
        </row>
        <row r="1024">
          <cell r="A1024" t="str">
            <v>Fabricio Paulo Alves Dias</v>
          </cell>
          <cell r="B1024">
            <v>37014173</v>
          </cell>
          <cell r="C1024">
            <v>20057974</v>
          </cell>
          <cell r="D1024">
            <v>45174</v>
          </cell>
        </row>
        <row r="1025">
          <cell r="A1025" t="str">
            <v>Erica Barreto Da Silva</v>
          </cell>
          <cell r="B1025">
            <v>37004422</v>
          </cell>
          <cell r="C1025">
            <v>20009012</v>
          </cell>
          <cell r="D1025">
            <v>43892</v>
          </cell>
        </row>
        <row r="1026">
          <cell r="A1026" t="str">
            <v>BRUNO VINICIUS SABINO</v>
          </cell>
          <cell r="B1026">
            <v>37014182</v>
          </cell>
          <cell r="C1026">
            <v>20057981</v>
          </cell>
          <cell r="D1026">
            <v>45174</v>
          </cell>
        </row>
        <row r="1027">
          <cell r="A1027" t="str">
            <v>Jessica Santos Antunes</v>
          </cell>
          <cell r="B1027">
            <v>37014189</v>
          </cell>
          <cell r="C1027">
            <v>20057988</v>
          </cell>
          <cell r="D1027">
            <v>45174</v>
          </cell>
        </row>
        <row r="1028">
          <cell r="A1028" t="str">
            <v>Luana Rodrigues Lima</v>
          </cell>
          <cell r="B1028">
            <v>37014191</v>
          </cell>
          <cell r="C1028">
            <v>20057990</v>
          </cell>
          <cell r="D1028">
            <v>45174</v>
          </cell>
        </row>
        <row r="1029">
          <cell r="A1029" t="str">
            <v>Victor Guilherme Paiva De Souza</v>
          </cell>
          <cell r="B1029">
            <v>37014196</v>
          </cell>
          <cell r="C1029">
            <v>20057995</v>
          </cell>
          <cell r="D1029">
            <v>45174</v>
          </cell>
        </row>
        <row r="1030">
          <cell r="A1030" t="str">
            <v>Vitor Gabriel Ponce Rodrigues</v>
          </cell>
          <cell r="B1030">
            <v>37014197</v>
          </cell>
          <cell r="C1030">
            <v>20057996</v>
          </cell>
          <cell r="D1030">
            <v>45174</v>
          </cell>
        </row>
        <row r="1031">
          <cell r="A1031" t="str">
            <v>Igor Luiz Sanches Almeida</v>
          </cell>
          <cell r="B1031">
            <v>37014198</v>
          </cell>
          <cell r="C1031">
            <v>20057997</v>
          </cell>
          <cell r="D1031">
            <v>45174</v>
          </cell>
        </row>
        <row r="1032">
          <cell r="A1032" t="str">
            <v>Alexandre Rocardo Estevam</v>
          </cell>
          <cell r="B1032">
            <v>37014199</v>
          </cell>
          <cell r="C1032">
            <v>20057998</v>
          </cell>
          <cell r="D1032">
            <v>45174</v>
          </cell>
        </row>
        <row r="1033">
          <cell r="A1033" t="str">
            <v>Maria Vitoria Mamedio Lemos</v>
          </cell>
          <cell r="B1033">
            <v>37014195</v>
          </cell>
          <cell r="C1033">
            <v>20057994</v>
          </cell>
          <cell r="D1033">
            <v>45174</v>
          </cell>
        </row>
        <row r="1034">
          <cell r="A1034" t="str">
            <v>Davi Henrique Da Silva</v>
          </cell>
          <cell r="B1034">
            <v>37014200</v>
          </cell>
          <cell r="C1034">
            <v>20057999</v>
          </cell>
          <cell r="D1034">
            <v>45174</v>
          </cell>
        </row>
        <row r="1035">
          <cell r="A1035" t="str">
            <v>Gildo Da Silva Correia</v>
          </cell>
          <cell r="B1035">
            <v>37014202</v>
          </cell>
          <cell r="C1035">
            <v>20058022</v>
          </cell>
          <cell r="D1035">
            <v>45174</v>
          </cell>
        </row>
        <row r="1036">
          <cell r="A1036" t="str">
            <v>Silval Luiz Veroneze</v>
          </cell>
          <cell r="B1036">
            <v>37014207</v>
          </cell>
          <cell r="C1036">
            <v>20058027</v>
          </cell>
          <cell r="D1036">
            <v>45174</v>
          </cell>
        </row>
        <row r="1037">
          <cell r="A1037" t="str">
            <v>Maira Fatima Rodrigues de Oliveira</v>
          </cell>
          <cell r="B1037">
            <v>37014210</v>
          </cell>
          <cell r="C1037">
            <v>20058030</v>
          </cell>
          <cell r="D1037">
            <v>45174</v>
          </cell>
        </row>
        <row r="1038">
          <cell r="A1038" t="str">
            <v>SERGIO MACACARI</v>
          </cell>
          <cell r="B1038">
            <v>37014211</v>
          </cell>
          <cell r="C1038">
            <v>20058031</v>
          </cell>
          <cell r="D1038">
            <v>45174</v>
          </cell>
        </row>
        <row r="1039">
          <cell r="A1039" t="str">
            <v>Gabriel Zaghis Alonso</v>
          </cell>
          <cell r="B1039">
            <v>37014206</v>
          </cell>
          <cell r="C1039">
            <v>20058026</v>
          </cell>
          <cell r="D1039">
            <v>45174</v>
          </cell>
        </row>
        <row r="1040">
          <cell r="A1040" t="str">
            <v>Erick Correa Fernandes</v>
          </cell>
          <cell r="B1040">
            <v>37014208</v>
          </cell>
          <cell r="C1040">
            <v>20058028</v>
          </cell>
          <cell r="D1040">
            <v>45174</v>
          </cell>
        </row>
        <row r="1041">
          <cell r="A1041" t="str">
            <v>Gislaine Gomes</v>
          </cell>
          <cell r="B1041">
            <v>37014209</v>
          </cell>
          <cell r="C1041">
            <v>20058029</v>
          </cell>
          <cell r="D1041">
            <v>45174</v>
          </cell>
        </row>
        <row r="1042">
          <cell r="A1042" t="str">
            <v>Ana Maria Santana de Oliveira</v>
          </cell>
          <cell r="B1042">
            <v>37014216</v>
          </cell>
          <cell r="C1042">
            <v>20058091</v>
          </cell>
          <cell r="D1042">
            <v>45174</v>
          </cell>
        </row>
        <row r="1043">
          <cell r="A1043" t="str">
            <v>Gabriela Aparecida Dos Santos</v>
          </cell>
          <cell r="B1043">
            <v>37014215</v>
          </cell>
          <cell r="C1043">
            <v>20058090</v>
          </cell>
          <cell r="D1043">
            <v>45174</v>
          </cell>
        </row>
        <row r="1044">
          <cell r="A1044" t="str">
            <v>Massaller Bruno Moraes Silva</v>
          </cell>
          <cell r="B1044">
            <v>37004522</v>
          </cell>
          <cell r="C1044">
            <v>20009663</v>
          </cell>
          <cell r="D1044">
            <v>43928</v>
          </cell>
        </row>
        <row r="1045">
          <cell r="A1045" t="str">
            <v>Rogerio Luis Pelegrim</v>
          </cell>
          <cell r="B1045">
            <v>37007089</v>
          </cell>
          <cell r="C1045">
            <v>20022901</v>
          </cell>
          <cell r="D1045">
            <v>44593</v>
          </cell>
        </row>
        <row r="1046">
          <cell r="A1046" t="str">
            <v>Ruan Miguel Rodrigues Coracao</v>
          </cell>
          <cell r="B1046">
            <v>37014228</v>
          </cell>
          <cell r="C1046">
            <v>20058132</v>
          </cell>
          <cell r="D1046">
            <v>45174</v>
          </cell>
        </row>
        <row r="1047">
          <cell r="A1047" t="str">
            <v>Thiago Guizini Sales</v>
          </cell>
          <cell r="B1047">
            <v>37014229</v>
          </cell>
          <cell r="C1047">
            <v>20058133</v>
          </cell>
          <cell r="D1047">
            <v>45174</v>
          </cell>
        </row>
        <row r="1048">
          <cell r="A1048" t="str">
            <v>Leonardo Augusto Guaringue</v>
          </cell>
          <cell r="B1048">
            <v>37014231</v>
          </cell>
          <cell r="C1048">
            <v>20058135</v>
          </cell>
          <cell r="D1048">
            <v>45174</v>
          </cell>
        </row>
        <row r="1049">
          <cell r="A1049" t="str">
            <v>Sidnei Aparecido Bernardo</v>
          </cell>
          <cell r="B1049">
            <v>37008933</v>
          </cell>
          <cell r="C1049">
            <v>20035281</v>
          </cell>
          <cell r="D1049">
            <v>44777</v>
          </cell>
        </row>
        <row r="1050">
          <cell r="A1050" t="str">
            <v>Roberto Cesar Freitas</v>
          </cell>
          <cell r="B1050">
            <v>37014227</v>
          </cell>
          <cell r="C1050">
            <v>20058131</v>
          </cell>
          <cell r="D1050">
            <v>45174</v>
          </cell>
        </row>
        <row r="1051">
          <cell r="A1051" t="str">
            <v>Rian Pablo Ferraz</v>
          </cell>
          <cell r="B1051">
            <v>37014230</v>
          </cell>
          <cell r="C1051">
            <v>20058134</v>
          </cell>
          <cell r="D1051">
            <v>45174</v>
          </cell>
        </row>
        <row r="1052">
          <cell r="A1052" t="str">
            <v>Antonio Alexandre Sian</v>
          </cell>
          <cell r="B1052">
            <v>37014246</v>
          </cell>
          <cell r="C1052">
            <v>20058308</v>
          </cell>
          <cell r="D1052">
            <v>45174</v>
          </cell>
        </row>
        <row r="1053">
          <cell r="A1053" t="str">
            <v>Ricardo Aparecido Nunes</v>
          </cell>
          <cell r="B1053">
            <v>37014260</v>
          </cell>
          <cell r="C1053">
            <v>20058307</v>
          </cell>
          <cell r="D1053">
            <v>45174</v>
          </cell>
        </row>
        <row r="1054">
          <cell r="A1054" t="str">
            <v>Karyn Hayssa Ben da Silva</v>
          </cell>
          <cell r="B1054">
            <v>37014250</v>
          </cell>
          <cell r="C1054">
            <v>20058312</v>
          </cell>
          <cell r="D1054">
            <v>45174</v>
          </cell>
        </row>
        <row r="1055">
          <cell r="A1055" t="str">
            <v>Gianda Gomes</v>
          </cell>
          <cell r="B1055">
            <v>37014261</v>
          </cell>
          <cell r="C1055">
            <v>20058340</v>
          </cell>
          <cell r="D1055">
            <v>45174</v>
          </cell>
        </row>
        <row r="1056">
          <cell r="A1056" t="str">
            <v>Lucas Da Silva</v>
          </cell>
          <cell r="B1056">
            <v>37014264</v>
          </cell>
          <cell r="C1056">
            <v>20058343</v>
          </cell>
          <cell r="D1056">
            <v>45174</v>
          </cell>
        </row>
        <row r="1057">
          <cell r="A1057" t="str">
            <v>Elias Britto Tonon</v>
          </cell>
          <cell r="B1057">
            <v>37014265</v>
          </cell>
          <cell r="C1057">
            <v>20058344</v>
          </cell>
          <cell r="D1057">
            <v>45174</v>
          </cell>
        </row>
        <row r="1058">
          <cell r="A1058" t="str">
            <v>Maria Islanne Fernandes da Silva</v>
          </cell>
          <cell r="B1058">
            <v>37014267</v>
          </cell>
          <cell r="C1058">
            <v>20058346</v>
          </cell>
          <cell r="D1058">
            <v>45174</v>
          </cell>
        </row>
        <row r="1059">
          <cell r="A1059" t="str">
            <v>Kaue De Figueiredo</v>
          </cell>
          <cell r="B1059">
            <v>37014268</v>
          </cell>
          <cell r="C1059">
            <v>20058347</v>
          </cell>
          <cell r="D1059">
            <v>45174</v>
          </cell>
        </row>
        <row r="1060">
          <cell r="A1060" t="str">
            <v>Willison Vaz Gomes</v>
          </cell>
          <cell r="B1060">
            <v>37014270</v>
          </cell>
          <cell r="C1060">
            <v>20058349</v>
          </cell>
          <cell r="D1060">
            <v>45174</v>
          </cell>
        </row>
        <row r="1061">
          <cell r="A1061" t="str">
            <v>Leonardo Migliorini</v>
          </cell>
          <cell r="B1061">
            <v>37014272</v>
          </cell>
          <cell r="C1061">
            <v>20058351</v>
          </cell>
          <cell r="D1061">
            <v>45174</v>
          </cell>
        </row>
        <row r="1062">
          <cell r="A1062" t="str">
            <v>Bruno Fernando Fischer Shimonaka</v>
          </cell>
          <cell r="B1062">
            <v>37014274</v>
          </cell>
          <cell r="C1062">
            <v>20058353</v>
          </cell>
          <cell r="D1062">
            <v>45174</v>
          </cell>
        </row>
        <row r="1063">
          <cell r="A1063" t="str">
            <v>Leonardo Xavier Alves</v>
          </cell>
          <cell r="B1063">
            <v>37014275</v>
          </cell>
          <cell r="C1063">
            <v>20058354</v>
          </cell>
          <cell r="D1063">
            <v>45174</v>
          </cell>
        </row>
        <row r="1064">
          <cell r="A1064" t="str">
            <v>Luiz Miguel Malavazi Pereira</v>
          </cell>
          <cell r="B1064">
            <v>37014269</v>
          </cell>
          <cell r="C1064">
            <v>20058348</v>
          </cell>
          <cell r="D1064">
            <v>45174</v>
          </cell>
        </row>
        <row r="1065">
          <cell r="A1065" t="str">
            <v>Nicolas Seara Azevedo</v>
          </cell>
          <cell r="B1065">
            <v>37014279</v>
          </cell>
          <cell r="C1065">
            <v>20058358</v>
          </cell>
          <cell r="D1065">
            <v>45174</v>
          </cell>
        </row>
        <row r="1066">
          <cell r="A1066" t="str">
            <v>Ezequiel Gomes De Lima</v>
          </cell>
          <cell r="B1066">
            <v>37014283</v>
          </cell>
          <cell r="C1066">
            <v>20058362</v>
          </cell>
          <cell r="D1066">
            <v>45174</v>
          </cell>
        </row>
        <row r="1067">
          <cell r="A1067" t="str">
            <v>Andressa Rayane Alves Pereira</v>
          </cell>
          <cell r="B1067">
            <v>37014288</v>
          </cell>
          <cell r="C1067">
            <v>20058367</v>
          </cell>
          <cell r="D1067">
            <v>45174</v>
          </cell>
        </row>
        <row r="1068">
          <cell r="A1068" t="str">
            <v>Yasmin De Oliveira</v>
          </cell>
          <cell r="B1068">
            <v>37014284</v>
          </cell>
          <cell r="C1068">
            <v>20058363</v>
          </cell>
          <cell r="D1068">
            <v>45174</v>
          </cell>
        </row>
        <row r="1069">
          <cell r="A1069" t="str">
            <v>Andre Ricardo Guerra Trevisan</v>
          </cell>
          <cell r="B1069">
            <v>37014293</v>
          </cell>
          <cell r="C1069">
            <v>20058372</v>
          </cell>
          <cell r="D1069">
            <v>45174</v>
          </cell>
        </row>
        <row r="1070">
          <cell r="A1070" t="str">
            <v>Eroaldo Dos Santos Lemes</v>
          </cell>
          <cell r="B1070">
            <v>37005620</v>
          </cell>
          <cell r="C1070">
            <v>20013928</v>
          </cell>
          <cell r="D1070">
            <v>44319</v>
          </cell>
        </row>
        <row r="1071">
          <cell r="A1071" t="str">
            <v>Bruno Henrique Pereira da Silva</v>
          </cell>
          <cell r="B1071">
            <v>37014306</v>
          </cell>
          <cell r="C1071">
            <v>20058407</v>
          </cell>
          <cell r="D1071">
            <v>45174</v>
          </cell>
        </row>
        <row r="1072">
          <cell r="A1072" t="str">
            <v>Pedro Henrique Rodrigues de Paiva</v>
          </cell>
          <cell r="B1072">
            <v>37014316</v>
          </cell>
          <cell r="C1072">
            <v>20058417</v>
          </cell>
          <cell r="D1072">
            <v>45174</v>
          </cell>
        </row>
        <row r="1073">
          <cell r="A1073" t="str">
            <v>Leticia Zaparolli Ribeiro do nascimento</v>
          </cell>
          <cell r="B1073">
            <v>37014321</v>
          </cell>
          <cell r="C1073">
            <v>20058422</v>
          </cell>
          <cell r="D1073">
            <v>45174</v>
          </cell>
        </row>
        <row r="1074">
          <cell r="A1074" t="str">
            <v>Wilson Pereira Sabino</v>
          </cell>
          <cell r="B1074">
            <v>37014323</v>
          </cell>
          <cell r="C1074">
            <v>20058424</v>
          </cell>
          <cell r="D1074">
            <v>45174</v>
          </cell>
        </row>
        <row r="1075">
          <cell r="A1075" t="str">
            <v>Vanderlei De Sousa Nunes</v>
          </cell>
          <cell r="B1075">
            <v>37004319</v>
          </cell>
          <cell r="C1075">
            <v>20010001</v>
          </cell>
          <cell r="D1075">
            <v>43864</v>
          </cell>
        </row>
        <row r="1076">
          <cell r="A1076" t="str">
            <v>Anderson Matochi</v>
          </cell>
          <cell r="B1076">
            <v>37014338</v>
          </cell>
          <cell r="C1076">
            <v>20058473</v>
          </cell>
          <cell r="D1076">
            <v>45174</v>
          </cell>
        </row>
        <row r="1077">
          <cell r="A1077" t="str">
            <v>Gilmar Osvaldo Zorzeto</v>
          </cell>
          <cell r="B1077">
            <v>37014400</v>
          </cell>
          <cell r="C1077">
            <v>20058494</v>
          </cell>
          <cell r="D1077">
            <v>45174</v>
          </cell>
        </row>
        <row r="1078">
          <cell r="A1078" t="str">
            <v>Bruna Da Silva Duete</v>
          </cell>
          <cell r="B1078">
            <v>37014351</v>
          </cell>
          <cell r="C1078">
            <v>20058486</v>
          </cell>
          <cell r="D1078">
            <v>45174</v>
          </cell>
        </row>
        <row r="1079">
          <cell r="A1079" t="str">
            <v>Rafael Monteiro Machado Melo da Silva</v>
          </cell>
          <cell r="B1079">
            <v>37014371</v>
          </cell>
          <cell r="C1079">
            <v>20058506</v>
          </cell>
          <cell r="D1079">
            <v>45174</v>
          </cell>
        </row>
        <row r="1080">
          <cell r="A1080" t="str">
            <v>Lucas Souza da Costa</v>
          </cell>
          <cell r="B1080">
            <v>37014369</v>
          </cell>
          <cell r="C1080">
            <v>20058504</v>
          </cell>
          <cell r="D1080">
            <v>45174</v>
          </cell>
        </row>
        <row r="1081">
          <cell r="A1081" t="str">
            <v>Jefferson Geraldo Alves</v>
          </cell>
          <cell r="B1081">
            <v>37014380</v>
          </cell>
          <cell r="C1081">
            <v>20058515</v>
          </cell>
          <cell r="D1081">
            <v>45174</v>
          </cell>
        </row>
        <row r="1082">
          <cell r="A1082" t="str">
            <v>Carlos De Faria Luiz</v>
          </cell>
          <cell r="B1082">
            <v>37012041</v>
          </cell>
          <cell r="C1082">
            <v>20047552</v>
          </cell>
          <cell r="D1082">
            <v>45027</v>
          </cell>
        </row>
        <row r="1083">
          <cell r="A1083" t="str">
            <v>Andre Luiz da Silva Garcia Hora</v>
          </cell>
          <cell r="B1083">
            <v>37014409</v>
          </cell>
          <cell r="C1083">
            <v>20058561</v>
          </cell>
          <cell r="D1083">
            <v>45174</v>
          </cell>
        </row>
        <row r="1084">
          <cell r="A1084" t="str">
            <v>Derik Gabriel Lima Ricardo</v>
          </cell>
          <cell r="B1084">
            <v>37014404</v>
          </cell>
          <cell r="C1084">
            <v>20058556</v>
          </cell>
          <cell r="D1084">
            <v>45174</v>
          </cell>
        </row>
        <row r="1085">
          <cell r="A1085" t="str">
            <v>Willians Gonzales Dias Rodrigues</v>
          </cell>
          <cell r="B1085">
            <v>37014412</v>
          </cell>
          <cell r="C1085">
            <v>20058564</v>
          </cell>
          <cell r="D1085">
            <v>45174</v>
          </cell>
        </row>
        <row r="1086">
          <cell r="A1086" t="str">
            <v>Luis Felipe Farias Betiol</v>
          </cell>
          <cell r="B1086">
            <v>37014429</v>
          </cell>
          <cell r="C1086">
            <v>20058575</v>
          </cell>
          <cell r="D1086">
            <v>45174</v>
          </cell>
        </row>
        <row r="1087">
          <cell r="A1087" t="str">
            <v>Eduardo Batista dos Santos</v>
          </cell>
          <cell r="B1087">
            <v>37014433</v>
          </cell>
          <cell r="C1087">
            <v>20058622</v>
          </cell>
          <cell r="D1087">
            <v>45181</v>
          </cell>
        </row>
        <row r="1088">
          <cell r="A1088" t="str">
            <v>Fernando de Almeida Lima</v>
          </cell>
          <cell r="B1088">
            <v>37014432</v>
          </cell>
          <cell r="C1088">
            <v>20058621</v>
          </cell>
          <cell r="D1088">
            <v>45181</v>
          </cell>
        </row>
        <row r="1089">
          <cell r="A1089" t="str">
            <v>Felipe Dos Santos Sofra</v>
          </cell>
          <cell r="B1089">
            <v>37014443</v>
          </cell>
          <cell r="C1089">
            <v>20058842</v>
          </cell>
          <cell r="D1089">
            <v>45181</v>
          </cell>
        </row>
        <row r="1090">
          <cell r="A1090" t="str">
            <v>Alex de Paula Lisboa Ferreira</v>
          </cell>
          <cell r="B1090">
            <v>37014440</v>
          </cell>
          <cell r="C1090">
            <v>20058839</v>
          </cell>
          <cell r="D1090">
            <v>45181</v>
          </cell>
        </row>
        <row r="1091">
          <cell r="A1091" t="str">
            <v>Leo Lucas Barbosa da Cruz</v>
          </cell>
          <cell r="B1091">
            <v>37014442</v>
          </cell>
          <cell r="C1091">
            <v>20058841</v>
          </cell>
          <cell r="D1091">
            <v>45181</v>
          </cell>
        </row>
        <row r="1092">
          <cell r="A1092" t="str">
            <v>Tiago Dos Santos Gomes</v>
          </cell>
          <cell r="B1092">
            <v>37014453</v>
          </cell>
          <cell r="C1092">
            <v>20058852</v>
          </cell>
          <cell r="D1092">
            <v>45181</v>
          </cell>
        </row>
        <row r="1093">
          <cell r="A1093" t="str">
            <v>Roberto Luswarghi</v>
          </cell>
          <cell r="B1093">
            <v>37014455</v>
          </cell>
          <cell r="C1093">
            <v>20058854</v>
          </cell>
          <cell r="D1093">
            <v>45181</v>
          </cell>
        </row>
        <row r="1094">
          <cell r="A1094" t="str">
            <v>Maria Luiza Botelho de Oliveira</v>
          </cell>
          <cell r="B1094">
            <v>37014452</v>
          </cell>
          <cell r="C1094">
            <v>20058851</v>
          </cell>
          <cell r="D1094">
            <v>45188</v>
          </cell>
        </row>
        <row r="1095">
          <cell r="A1095" t="str">
            <v>Jenifer Liberato Nascimento</v>
          </cell>
          <cell r="B1095">
            <v>37014457</v>
          </cell>
          <cell r="C1095">
            <v>20058856</v>
          </cell>
          <cell r="D1095">
            <v>45181</v>
          </cell>
        </row>
        <row r="1096">
          <cell r="A1096" t="str">
            <v>Henrique Jose Da Silva</v>
          </cell>
          <cell r="B1096">
            <v>37001628</v>
          </cell>
          <cell r="C1096">
            <v>20009241</v>
          </cell>
          <cell r="D1096">
            <v>42436</v>
          </cell>
        </row>
        <row r="1097">
          <cell r="A1097" t="str">
            <v>Hiago Augusto Pedroso De Lima</v>
          </cell>
          <cell r="B1097">
            <v>37003777</v>
          </cell>
          <cell r="C1097">
            <v>20009251</v>
          </cell>
          <cell r="D1097">
            <v>43752</v>
          </cell>
        </row>
        <row r="1098">
          <cell r="A1098" t="str">
            <v>Renan Carlos Da Silva Benjamim</v>
          </cell>
          <cell r="B1098">
            <v>37010902</v>
          </cell>
          <cell r="C1098">
            <v>20041301</v>
          </cell>
          <cell r="D1098">
            <v>44942</v>
          </cell>
        </row>
        <row r="1099">
          <cell r="A1099" t="str">
            <v>Guilherme Augusto Reis</v>
          </cell>
          <cell r="B1099">
            <v>37003619</v>
          </cell>
          <cell r="C1099">
            <v>20009198</v>
          </cell>
          <cell r="D1099">
            <v>43710</v>
          </cell>
        </row>
        <row r="1100">
          <cell r="A1100" t="str">
            <v>Rosiaria Soares Moreira</v>
          </cell>
          <cell r="B1100">
            <v>37014518</v>
          </cell>
          <cell r="C1100">
            <v>20059044</v>
          </cell>
          <cell r="D1100">
            <v>45181</v>
          </cell>
        </row>
        <row r="1101">
          <cell r="A1101" t="str">
            <v>Joao Victor De Sousa Alexandre</v>
          </cell>
          <cell r="B1101">
            <v>37014535</v>
          </cell>
          <cell r="C1101">
            <v>20059105</v>
          </cell>
          <cell r="D1101">
            <v>45181</v>
          </cell>
        </row>
        <row r="1102">
          <cell r="A1102" t="str">
            <v>Felippe Meduneckas Braz</v>
          </cell>
          <cell r="B1102">
            <v>37014544</v>
          </cell>
          <cell r="C1102">
            <v>20059115</v>
          </cell>
          <cell r="D1102">
            <v>45181</v>
          </cell>
        </row>
        <row r="1103">
          <cell r="A1103" t="str">
            <v>Denis Batista dos Santos</v>
          </cell>
          <cell r="B1103">
            <v>37014553</v>
          </cell>
          <cell r="C1103">
            <v>20059124</v>
          </cell>
          <cell r="D1103">
            <v>45181</v>
          </cell>
        </row>
        <row r="1104">
          <cell r="A1104" t="str">
            <v>Luzia Amanda Aparecida Floriano</v>
          </cell>
          <cell r="B1104">
            <v>37014558</v>
          </cell>
          <cell r="C1104">
            <v>20059129</v>
          </cell>
          <cell r="D1104">
            <v>45181</v>
          </cell>
        </row>
        <row r="1105">
          <cell r="A1105" t="str">
            <v>Luiz Paulo Debrandi</v>
          </cell>
          <cell r="B1105">
            <v>37014563</v>
          </cell>
          <cell r="C1105">
            <v>20059134</v>
          </cell>
          <cell r="D1105">
            <v>45181</v>
          </cell>
        </row>
        <row r="1106">
          <cell r="A1106" t="str">
            <v>Cassio Henrique da Silva</v>
          </cell>
          <cell r="B1106">
            <v>37014561</v>
          </cell>
          <cell r="C1106">
            <v>20059132</v>
          </cell>
          <cell r="D1106">
            <v>45181</v>
          </cell>
        </row>
        <row r="1107">
          <cell r="A1107" t="str">
            <v>Reinaldo Soares de Moura</v>
          </cell>
          <cell r="B1107">
            <v>37014566</v>
          </cell>
          <cell r="C1107">
            <v>20059137</v>
          </cell>
          <cell r="D1107">
            <v>45181</v>
          </cell>
        </row>
        <row r="1108">
          <cell r="A1108" t="str">
            <v>Daniel Do Nascimento Lima</v>
          </cell>
          <cell r="B1108">
            <v>37004342</v>
          </cell>
          <cell r="C1108">
            <v>20008165</v>
          </cell>
          <cell r="D1108">
            <v>43871</v>
          </cell>
        </row>
        <row r="1109">
          <cell r="A1109" t="str">
            <v>Jailson Heleno Da Silva</v>
          </cell>
          <cell r="B1109">
            <v>37005532</v>
          </cell>
          <cell r="C1109">
            <v>20013573</v>
          </cell>
          <cell r="D1109">
            <v>44291</v>
          </cell>
        </row>
        <row r="1110">
          <cell r="A1110" t="str">
            <v>Reinaldo Bergamin Azevedo Junior</v>
          </cell>
          <cell r="B1110">
            <v>37003399</v>
          </cell>
          <cell r="C1110">
            <v>20009821</v>
          </cell>
          <cell r="D1110">
            <v>43647</v>
          </cell>
        </row>
        <row r="1111">
          <cell r="A1111" t="str">
            <v>Alisson Everton Almeida Guilhen</v>
          </cell>
          <cell r="B1111">
            <v>37001627</v>
          </cell>
          <cell r="C1111">
            <v>20008559</v>
          </cell>
          <cell r="D1111">
            <v>42436</v>
          </cell>
        </row>
        <row r="1112">
          <cell r="A1112" t="str">
            <v>Adilson Alturria</v>
          </cell>
          <cell r="B1112">
            <v>37005611</v>
          </cell>
          <cell r="C1112">
            <v>20013629</v>
          </cell>
          <cell r="D1112">
            <v>44305</v>
          </cell>
        </row>
        <row r="1113">
          <cell r="A1113" t="str">
            <v>Luis Fernando Rossini</v>
          </cell>
          <cell r="B1113">
            <v>37003382</v>
          </cell>
          <cell r="C1113">
            <v>20009543</v>
          </cell>
          <cell r="D1113">
            <v>43647</v>
          </cell>
        </row>
        <row r="1114">
          <cell r="A1114" t="str">
            <v>Luiz Henrique de Lima Moreira</v>
          </cell>
          <cell r="B1114">
            <v>37014608</v>
          </cell>
          <cell r="C1114">
            <v>20059196</v>
          </cell>
          <cell r="D1114">
            <v>45188</v>
          </cell>
        </row>
        <row r="1115">
          <cell r="A1115" t="str">
            <v>Claudio Nonis Junior</v>
          </cell>
          <cell r="B1115">
            <v>37014656</v>
          </cell>
          <cell r="C1115">
            <v>20059395</v>
          </cell>
          <cell r="D1115">
            <v>45188</v>
          </cell>
        </row>
        <row r="1116">
          <cell r="A1116" t="str">
            <v>Uilson Avelino Dos Santos</v>
          </cell>
          <cell r="B1116">
            <v>37009165</v>
          </cell>
          <cell r="C1116">
            <v>20031835</v>
          </cell>
          <cell r="D1116">
            <v>44795</v>
          </cell>
        </row>
        <row r="1117">
          <cell r="A1117" t="str">
            <v>Fabio Antonio Bernardo</v>
          </cell>
          <cell r="B1117">
            <v>37007379</v>
          </cell>
          <cell r="C1117">
            <v>20023797</v>
          </cell>
          <cell r="D1117">
            <v>44655</v>
          </cell>
        </row>
        <row r="1118">
          <cell r="A1118" t="str">
            <v>Rafael Marchioli Nogueira</v>
          </cell>
          <cell r="B1118">
            <v>37014713</v>
          </cell>
          <cell r="C1118">
            <v>20059711</v>
          </cell>
          <cell r="D1118">
            <v>45202</v>
          </cell>
        </row>
        <row r="1119">
          <cell r="A1119" t="str">
            <v>Mauricio Valadares</v>
          </cell>
          <cell r="B1119">
            <v>37006122</v>
          </cell>
          <cell r="C1119">
            <v>20017902</v>
          </cell>
          <cell r="D1119">
            <v>44417</v>
          </cell>
        </row>
        <row r="1120">
          <cell r="A1120" t="str">
            <v>Renan Frassetto Rosa</v>
          </cell>
          <cell r="B1120">
            <v>37014754</v>
          </cell>
          <cell r="C1120">
            <v>20059959</v>
          </cell>
          <cell r="D1120">
            <v>45202</v>
          </cell>
        </row>
        <row r="1121">
          <cell r="A1121" t="str">
            <v>Leonardo Leme Leda</v>
          </cell>
          <cell r="B1121">
            <v>37014753</v>
          </cell>
          <cell r="C1121">
            <v>20040673</v>
          </cell>
          <cell r="D1121">
            <v>45202</v>
          </cell>
        </row>
        <row r="1122">
          <cell r="A1122" t="str">
            <v>PABLO ZEFERI DOS SANTOS</v>
          </cell>
          <cell r="B1122">
            <v>37014827</v>
          </cell>
          <cell r="C1122">
            <v>20060106</v>
          </cell>
          <cell r="D1122">
            <v>45209</v>
          </cell>
        </row>
        <row r="1123">
          <cell r="A1123" t="str">
            <v>Dayane Barros de Almeida</v>
          </cell>
          <cell r="B1123">
            <v>37014831</v>
          </cell>
          <cell r="C1123">
            <v>20060313</v>
          </cell>
          <cell r="D1123">
            <v>45209</v>
          </cell>
        </row>
        <row r="1124">
          <cell r="A1124" t="str">
            <v>Mateus Alves Nunes</v>
          </cell>
          <cell r="B1124">
            <v>37014838</v>
          </cell>
          <cell r="C1124">
            <v>20060320</v>
          </cell>
          <cell r="D1124">
            <v>45209</v>
          </cell>
        </row>
        <row r="1125">
          <cell r="A1125" t="str">
            <v>Yara De Souza Fonseca</v>
          </cell>
          <cell r="B1125">
            <v>37014843</v>
          </cell>
          <cell r="C1125">
            <v>20060393</v>
          </cell>
          <cell r="D1125">
            <v>45209</v>
          </cell>
        </row>
        <row r="1126">
          <cell r="A1126" t="str">
            <v>Adelcio Nascimento Cirino</v>
          </cell>
          <cell r="B1126">
            <v>37014845</v>
          </cell>
          <cell r="C1126">
            <v>20060395</v>
          </cell>
          <cell r="D1126">
            <v>45209</v>
          </cell>
        </row>
        <row r="1127">
          <cell r="A1127" t="str">
            <v>Carlos Eduardo Coelho de Almeida</v>
          </cell>
          <cell r="B1127">
            <v>37014842</v>
          </cell>
          <cell r="C1127">
            <v>20060392</v>
          </cell>
          <cell r="D1127">
            <v>45209</v>
          </cell>
        </row>
        <row r="1128">
          <cell r="A1128" t="str">
            <v>Julio Cesar Anastacio</v>
          </cell>
          <cell r="B1128">
            <v>37014852</v>
          </cell>
          <cell r="C1128">
            <v>20060402</v>
          </cell>
          <cell r="D1128">
            <v>45209</v>
          </cell>
        </row>
        <row r="1129">
          <cell r="A1129" t="str">
            <v>Armando Paccola Morelli</v>
          </cell>
          <cell r="B1129">
            <v>37001225</v>
          </cell>
          <cell r="C1129">
            <v>20008682</v>
          </cell>
          <cell r="D1129">
            <v>41519</v>
          </cell>
        </row>
        <row r="1130">
          <cell r="A1130" t="str">
            <v>Sergio Ferreira de Lima</v>
          </cell>
          <cell r="B1130">
            <v>37014858</v>
          </cell>
          <cell r="C1130">
            <v>20060408</v>
          </cell>
          <cell r="D1130">
            <v>45209</v>
          </cell>
        </row>
        <row r="1131">
          <cell r="A1131" t="str">
            <v>Maria Luiza Malafaia Borri</v>
          </cell>
          <cell r="B1131">
            <v>37014873</v>
          </cell>
          <cell r="C1131">
            <v>20060454</v>
          </cell>
          <cell r="D1131">
            <v>45209</v>
          </cell>
        </row>
        <row r="1132">
          <cell r="A1132" t="str">
            <v>Ezequiel Santana De Oliveira</v>
          </cell>
          <cell r="B1132">
            <v>37014870</v>
          </cell>
          <cell r="C1132">
            <v>20060451</v>
          </cell>
          <cell r="D1132">
            <v>45209</v>
          </cell>
        </row>
        <row r="1133">
          <cell r="A1133" t="str">
            <v>Marcelo Henrique De Oliveira</v>
          </cell>
          <cell r="B1133">
            <v>37006387</v>
          </cell>
          <cell r="C1133">
            <v>20018077</v>
          </cell>
          <cell r="D1133">
            <v>44452</v>
          </cell>
        </row>
        <row r="1134">
          <cell r="A1134" t="str">
            <v>Afonso Carlos Oliver</v>
          </cell>
          <cell r="B1134">
            <v>37014884</v>
          </cell>
          <cell r="C1134">
            <v>20060471</v>
          </cell>
          <cell r="D1134">
            <v>45209</v>
          </cell>
        </row>
        <row r="1135">
          <cell r="A1135" t="str">
            <v>ERNANI DA PAIXAO SERRA JUNIOR</v>
          </cell>
          <cell r="B1135">
            <v>37014887</v>
          </cell>
          <cell r="C1135">
            <v>20060474</v>
          </cell>
          <cell r="D1135">
            <v>45209</v>
          </cell>
        </row>
        <row r="1136">
          <cell r="A1136" t="str">
            <v>Joel Lourenco da Silva</v>
          </cell>
          <cell r="B1136">
            <v>37014890</v>
          </cell>
          <cell r="C1136">
            <v>20060477</v>
          </cell>
          <cell r="D1136">
            <v>45209</v>
          </cell>
        </row>
        <row r="1137">
          <cell r="A1137" t="str">
            <v>Elisangela Felicio Da Silva</v>
          </cell>
          <cell r="B1137">
            <v>37001346</v>
          </cell>
          <cell r="C1137">
            <v>20008990</v>
          </cell>
          <cell r="D1137">
            <v>41680</v>
          </cell>
        </row>
        <row r="1138">
          <cell r="A1138" t="str">
            <v>Paola Cristina Gomes</v>
          </cell>
          <cell r="B1138">
            <v>37004560</v>
          </cell>
          <cell r="C1138">
            <v>20009741</v>
          </cell>
          <cell r="D1138">
            <v>43969</v>
          </cell>
        </row>
        <row r="1139">
          <cell r="A1139" t="str">
            <v>Rafaella Cristina Santana De Andrade</v>
          </cell>
          <cell r="B1139">
            <v>37002742</v>
          </cell>
          <cell r="C1139">
            <v>20009810</v>
          </cell>
          <cell r="D1139">
            <v>43452</v>
          </cell>
        </row>
        <row r="1140">
          <cell r="A1140" t="str">
            <v>Thiago Rodolfo Malafatti De Souza</v>
          </cell>
          <cell r="B1140">
            <v>37009480</v>
          </cell>
          <cell r="C1140">
            <v>20034172</v>
          </cell>
          <cell r="D1140">
            <v>44823</v>
          </cell>
        </row>
        <row r="1141">
          <cell r="A1141" t="str">
            <v>Alicia Cristina Gomes Furtado</v>
          </cell>
          <cell r="B1141">
            <v>37014899</v>
          </cell>
          <cell r="C1141">
            <v>20060492</v>
          </cell>
          <cell r="D1141" t="str">
            <v>00/01/1900</v>
          </cell>
        </row>
        <row r="1142">
          <cell r="A1142" t="str">
            <v>Junior Cardoso Bonfim</v>
          </cell>
          <cell r="B1142">
            <v>37014903</v>
          </cell>
          <cell r="C1142">
            <v>20060496</v>
          </cell>
          <cell r="D1142">
            <v>45216</v>
          </cell>
        </row>
        <row r="1143">
          <cell r="A1143" t="str">
            <v>Victor Barbierato</v>
          </cell>
          <cell r="B1143">
            <v>37008335</v>
          </cell>
          <cell r="C1143">
            <v>20014883</v>
          </cell>
          <cell r="D1143">
            <v>44390</v>
          </cell>
        </row>
        <row r="1144">
          <cell r="A1144" t="str">
            <v>Bianca Nunes Leris</v>
          </cell>
          <cell r="B1144">
            <v>37007970</v>
          </cell>
          <cell r="C1144">
            <v>20026156</v>
          </cell>
          <cell r="D1144">
            <v>44713</v>
          </cell>
        </row>
        <row r="1145">
          <cell r="A1145" t="str">
            <v>Cristiano Rodrigues de Souza</v>
          </cell>
          <cell r="B1145">
            <v>37014930</v>
          </cell>
          <cell r="C1145">
            <v>20060536</v>
          </cell>
          <cell r="D1145">
            <v>45216</v>
          </cell>
        </row>
        <row r="1146">
          <cell r="A1146" t="str">
            <v>Henrique Fernandes Quaresma</v>
          </cell>
          <cell r="B1146">
            <v>37014946</v>
          </cell>
          <cell r="C1146">
            <v>20060558</v>
          </cell>
          <cell r="D1146">
            <v>45208</v>
          </cell>
        </row>
        <row r="1147">
          <cell r="A1147" t="str">
            <v>Rafael Eduardo Luciano</v>
          </cell>
          <cell r="B1147">
            <v>37014984</v>
          </cell>
          <cell r="C1147">
            <v>20060705</v>
          </cell>
          <cell r="D1147">
            <v>45216</v>
          </cell>
        </row>
        <row r="1148">
          <cell r="A1148" t="str">
            <v>Cleibson Antonio da Silva Jacinto</v>
          </cell>
          <cell r="B1148">
            <v>37014994</v>
          </cell>
          <cell r="C1148">
            <v>20060740</v>
          </cell>
          <cell r="D1148">
            <v>45216</v>
          </cell>
        </row>
        <row r="1149">
          <cell r="A1149" t="str">
            <v>Gustavo Vieira da Silva</v>
          </cell>
          <cell r="B1149">
            <v>37014997</v>
          </cell>
          <cell r="C1149">
            <v>20060743</v>
          </cell>
          <cell r="D1149" t="str">
            <v>00/01/1900</v>
          </cell>
        </row>
        <row r="1150">
          <cell r="A1150" t="str">
            <v>Gabriel Laurentino do Nascimento</v>
          </cell>
          <cell r="B1150">
            <v>37015001</v>
          </cell>
          <cell r="C1150">
            <v>20060748</v>
          </cell>
          <cell r="D1150">
            <v>45216</v>
          </cell>
        </row>
        <row r="1151">
          <cell r="A1151" t="str">
            <v>Samuel Cesar Silva Ernesto</v>
          </cell>
          <cell r="B1151">
            <v>37015008</v>
          </cell>
          <cell r="C1151">
            <v>20060755</v>
          </cell>
          <cell r="D1151" t="str">
            <v>00/01/1900</v>
          </cell>
        </row>
        <row r="1152">
          <cell r="A1152" t="str">
            <v>Barbara Cunha Piceli</v>
          </cell>
          <cell r="B1152">
            <v>37015018</v>
          </cell>
          <cell r="C1152">
            <v>20060822</v>
          </cell>
          <cell r="D1152" t="str">
            <v>00/01/1900</v>
          </cell>
        </row>
        <row r="1153">
          <cell r="A1153" t="str">
            <v>Valier Augusto Sasso Junior</v>
          </cell>
          <cell r="B1153">
            <v>37015019</v>
          </cell>
          <cell r="C1153">
            <v>20060823</v>
          </cell>
          <cell r="D1153" t="str">
            <v>00/01/1900</v>
          </cell>
        </row>
        <row r="1154">
          <cell r="A1154" t="str">
            <v>Alan Olmedo De Arruda</v>
          </cell>
          <cell r="B1154">
            <v>37015020</v>
          </cell>
          <cell r="C1154">
            <v>20060824</v>
          </cell>
          <cell r="D1154" t="str">
            <v>00/01/1900</v>
          </cell>
        </row>
        <row r="1155">
          <cell r="A1155" t="str">
            <v>Edrick Pontes Deziro</v>
          </cell>
          <cell r="B1155">
            <v>37015024</v>
          </cell>
          <cell r="C1155">
            <v>20060828</v>
          </cell>
          <cell r="D1155" t="str">
            <v>00/01/1900</v>
          </cell>
        </row>
        <row r="1156">
          <cell r="A1156" t="str">
            <v>Fernanda Lopes</v>
          </cell>
          <cell r="B1156">
            <v>37015030</v>
          </cell>
          <cell r="C1156">
            <v>20060834</v>
          </cell>
          <cell r="D1156" t="str">
            <v>00/01/1900</v>
          </cell>
        </row>
        <row r="1157">
          <cell r="A1157" t="str">
            <v>Wellington Gabriel Silva Souza</v>
          </cell>
          <cell r="B1157">
            <v>37015022</v>
          </cell>
          <cell r="C1157">
            <v>20060826</v>
          </cell>
          <cell r="D1157" t="str">
            <v>00/01/1900</v>
          </cell>
        </row>
        <row r="1158">
          <cell r="A1158" t="str">
            <v>Joao Marcelo Gomes Furtado</v>
          </cell>
          <cell r="B1158">
            <v>37015025</v>
          </cell>
          <cell r="C1158">
            <v>20060829</v>
          </cell>
          <cell r="D1158" t="str">
            <v>00/01/1900</v>
          </cell>
        </row>
        <row r="1159">
          <cell r="A1159" t="str">
            <v>Beatriz Pierotti Torres</v>
          </cell>
          <cell r="B1159">
            <v>37015027</v>
          </cell>
          <cell r="C1159">
            <v>20060831</v>
          </cell>
          <cell r="D1159" t="str">
            <v>00/01/1900</v>
          </cell>
        </row>
        <row r="1160">
          <cell r="A1160" t="str">
            <v>Julia Cecilia Sasso</v>
          </cell>
          <cell r="B1160">
            <v>37015033</v>
          </cell>
          <cell r="C1160">
            <v>20060837</v>
          </cell>
          <cell r="D1160" t="str">
            <v>00/01/1900</v>
          </cell>
        </row>
        <row r="1161">
          <cell r="A1161" t="str">
            <v>Milena Ferreira Pinto Wolf</v>
          </cell>
          <cell r="B1161">
            <v>37015040</v>
          </cell>
          <cell r="C1161">
            <v>20060844</v>
          </cell>
          <cell r="D1161" t="str">
            <v>00/01/1900</v>
          </cell>
        </row>
        <row r="1162">
          <cell r="A1162" t="str">
            <v>Fabio Aparecido de Souza</v>
          </cell>
          <cell r="B1162">
            <v>37015041</v>
          </cell>
          <cell r="C1162">
            <v>20060845</v>
          </cell>
          <cell r="D1162" t="str">
            <v>00/01/1900</v>
          </cell>
        </row>
        <row r="1163">
          <cell r="A1163" t="str">
            <v>Renan Da Silva Falcon</v>
          </cell>
          <cell r="B1163">
            <v>37015035</v>
          </cell>
          <cell r="C1163">
            <v>20060839</v>
          </cell>
          <cell r="D1163" t="str">
            <v>00/01/1900</v>
          </cell>
        </row>
        <row r="1164">
          <cell r="A1164" t="str">
            <v>Roger Modaeli Lage</v>
          </cell>
          <cell r="B1164">
            <v>37015037</v>
          </cell>
          <cell r="C1164">
            <v>20060841</v>
          </cell>
          <cell r="D1164" t="str">
            <v>00/01/1900</v>
          </cell>
        </row>
        <row r="1165">
          <cell r="A1165" t="str">
            <v>Lucas Kenji Freire Fukuda</v>
          </cell>
          <cell r="B1165">
            <v>37015045</v>
          </cell>
          <cell r="C1165">
            <v>20060849</v>
          </cell>
          <cell r="D1165" t="str">
            <v>00/01/1900</v>
          </cell>
        </row>
        <row r="1166">
          <cell r="A1166" t="str">
            <v>Maria Eduarda Claudino da Silva</v>
          </cell>
          <cell r="B1166">
            <v>37015050</v>
          </cell>
          <cell r="C1166">
            <v>20060854</v>
          </cell>
          <cell r="D1166" t="str">
            <v>00/01/1900</v>
          </cell>
        </row>
        <row r="1167">
          <cell r="A1167" t="str">
            <v>Gabriel Castilho de Rezende</v>
          </cell>
          <cell r="B1167">
            <v>37015053</v>
          </cell>
          <cell r="C1167">
            <v>20060857</v>
          </cell>
          <cell r="D1167" t="str">
            <v>00/01/1900</v>
          </cell>
        </row>
        <row r="1168">
          <cell r="A1168" t="str">
            <v>Moises Crochiquia Lopes</v>
          </cell>
          <cell r="B1168">
            <v>37015042</v>
          </cell>
          <cell r="C1168">
            <v>20060846</v>
          </cell>
          <cell r="D1168" t="str">
            <v>00/01/1900</v>
          </cell>
        </row>
        <row r="1169">
          <cell r="A1169" t="str">
            <v>Wendhell Junior Ribeiro</v>
          </cell>
          <cell r="B1169">
            <v>37015052</v>
          </cell>
          <cell r="C1169">
            <v>20060856</v>
          </cell>
          <cell r="D1169" t="str">
            <v>00/01/1900</v>
          </cell>
        </row>
        <row r="1170">
          <cell r="A1170" t="str">
            <v>Fernando de Almeida Reis</v>
          </cell>
          <cell r="B1170">
            <v>37015054</v>
          </cell>
          <cell r="C1170">
            <v>20060858</v>
          </cell>
          <cell r="D1170" t="str">
            <v>00/01/1900</v>
          </cell>
        </row>
        <row r="1171">
          <cell r="A1171" t="str">
            <v>Karine Do Santos Oliveira</v>
          </cell>
          <cell r="B1171">
            <v>37004521</v>
          </cell>
          <cell r="C1171">
            <v>20009447</v>
          </cell>
          <cell r="D1171">
            <v>43928</v>
          </cell>
        </row>
        <row r="1172">
          <cell r="A1172" t="str">
            <v>Wemerson Alan Miranda</v>
          </cell>
          <cell r="B1172">
            <v>37004439</v>
          </cell>
          <cell r="C1172">
            <v>20008348</v>
          </cell>
          <cell r="D1172">
            <v>43892</v>
          </cell>
        </row>
        <row r="1173">
          <cell r="A1173" t="str">
            <v>Gustavo Henrique do Nascimento</v>
          </cell>
          <cell r="B1173">
            <v>37015064</v>
          </cell>
          <cell r="C1173">
            <v>20061048</v>
          </cell>
          <cell r="D1173" t="str">
            <v>00/01/1900</v>
          </cell>
        </row>
        <row r="1174">
          <cell r="A1174" t="str">
            <v>Gabriel Sabino de Carvalho</v>
          </cell>
          <cell r="B1174">
            <v>37015062</v>
          </cell>
          <cell r="C1174">
            <v>20061046</v>
          </cell>
          <cell r="D1174" t="str">
            <v>00/01/1900</v>
          </cell>
        </row>
        <row r="1175">
          <cell r="A1175" t="str">
            <v>Emanuelli Cristini Matos Uliana</v>
          </cell>
          <cell r="B1175">
            <v>37015078</v>
          </cell>
          <cell r="C1175">
            <v>20061117</v>
          </cell>
          <cell r="D1175">
            <v>45237</v>
          </cell>
        </row>
        <row r="1176">
          <cell r="A1176" t="str">
            <v>Caio Pereira Leite Trevisani</v>
          </cell>
          <cell r="B1176">
            <v>37015076</v>
          </cell>
          <cell r="C1176">
            <v>20061115</v>
          </cell>
          <cell r="D1176">
            <v>45237</v>
          </cell>
        </row>
        <row r="1177">
          <cell r="A1177" t="str">
            <v>Cesar Roge Freitas da Silva Lima</v>
          </cell>
          <cell r="B1177">
            <v>37015089</v>
          </cell>
          <cell r="C1177">
            <v>20061263</v>
          </cell>
          <cell r="D1177">
            <v>45237</v>
          </cell>
        </row>
        <row r="1178">
          <cell r="A1178" t="str">
            <v>Izaqueu Fonseca Dos Santos</v>
          </cell>
          <cell r="B1178">
            <v>37015092</v>
          </cell>
          <cell r="C1178">
            <v>20061266</v>
          </cell>
          <cell r="D1178">
            <v>45237</v>
          </cell>
        </row>
        <row r="1179">
          <cell r="A1179" t="str">
            <v>Jairo Marcos Fonseca</v>
          </cell>
          <cell r="B1179">
            <v>37015099</v>
          </cell>
          <cell r="C1179">
            <v>20061273</v>
          </cell>
          <cell r="D1179">
            <v>45237</v>
          </cell>
        </row>
        <row r="1180">
          <cell r="A1180" t="str">
            <v>Gustavo Soares De Oliveira</v>
          </cell>
          <cell r="B1180">
            <v>37003775</v>
          </cell>
          <cell r="C1180">
            <v>20009226</v>
          </cell>
          <cell r="D1180">
            <v>43752</v>
          </cell>
        </row>
        <row r="1181">
          <cell r="A1181" t="str">
            <v>Herbert Vinicius Ferreira</v>
          </cell>
          <cell r="B1181">
            <v>37009460</v>
          </cell>
          <cell r="C1181">
            <v>20034181</v>
          </cell>
          <cell r="D1181">
            <v>44823</v>
          </cell>
        </row>
        <row r="1182">
          <cell r="A1182" t="str">
            <v>Vagner Parreira do Nascimento</v>
          </cell>
          <cell r="B1182">
            <v>37015144</v>
          </cell>
          <cell r="C1182">
            <v>20061454</v>
          </cell>
          <cell r="D1182">
            <v>45237</v>
          </cell>
        </row>
        <row r="1183">
          <cell r="A1183" t="str">
            <v>Robson Luiz Carvalho Ferreira</v>
          </cell>
          <cell r="B1183">
            <v>37015148</v>
          </cell>
          <cell r="C1183">
            <v>20061458</v>
          </cell>
          <cell r="D1183">
            <v>45237</v>
          </cell>
        </row>
        <row r="1184">
          <cell r="A1184" t="str">
            <v>Guilherme Renan Barbosa</v>
          </cell>
          <cell r="B1184">
            <v>37015155</v>
          </cell>
          <cell r="C1184">
            <v>20061465</v>
          </cell>
          <cell r="D1184">
            <v>45237</v>
          </cell>
        </row>
        <row r="1185">
          <cell r="A1185" t="str">
            <v>Sergio Fernando De Oliveira</v>
          </cell>
          <cell r="B1185">
            <v>37015157</v>
          </cell>
          <cell r="C1185">
            <v>20061467</v>
          </cell>
          <cell r="D1185">
            <v>45237</v>
          </cell>
        </row>
        <row r="1186">
          <cell r="A1186" t="str">
            <v>Emerson dos Santos Bueno</v>
          </cell>
          <cell r="B1186">
            <v>37015181</v>
          </cell>
          <cell r="C1186">
            <v>20061497</v>
          </cell>
          <cell r="D1186">
            <v>45237</v>
          </cell>
        </row>
        <row r="1187">
          <cell r="A1187" t="str">
            <v>Gilberto Martins Bassani</v>
          </cell>
          <cell r="B1187" t="e">
            <v>#N/A</v>
          </cell>
          <cell r="C1187">
            <v>20016877</v>
          </cell>
          <cell r="D1187" t="e">
            <v>#N/A</v>
          </cell>
        </row>
        <row r="1188">
          <cell r="A1188" t="str">
            <v>Maynnara Lima Garcez</v>
          </cell>
          <cell r="B1188">
            <v>37010110</v>
          </cell>
          <cell r="C1188">
            <v>20038233</v>
          </cell>
          <cell r="D1188">
            <v>44886</v>
          </cell>
        </row>
        <row r="1189">
          <cell r="A1189" t="str">
            <v>Cassiano Rodolfo Zamboni</v>
          </cell>
          <cell r="B1189">
            <v>37007828</v>
          </cell>
          <cell r="C1189">
            <v>20026051</v>
          </cell>
          <cell r="D1189">
            <v>44704</v>
          </cell>
        </row>
        <row r="1190">
          <cell r="A1190" t="str">
            <v>Adriano Jose Marigo</v>
          </cell>
          <cell r="B1190">
            <v>37005226</v>
          </cell>
          <cell r="C1190">
            <v>20011044</v>
          </cell>
          <cell r="D1190">
            <v>44123</v>
          </cell>
        </row>
        <row r="1191">
          <cell r="A1191" t="str">
            <v>Thiago Raul Paccola</v>
          </cell>
          <cell r="B1191">
            <v>37003818</v>
          </cell>
          <cell r="C1191">
            <v>20009960</v>
          </cell>
          <cell r="D1191">
            <v>43752</v>
          </cell>
        </row>
        <row r="1192">
          <cell r="A1192" t="str">
            <v>Marcio Jose Barbosa Lima</v>
          </cell>
          <cell r="B1192">
            <v>37003996</v>
          </cell>
          <cell r="C1192">
            <v>20009610</v>
          </cell>
          <cell r="D1192">
            <v>43801</v>
          </cell>
        </row>
        <row r="1193">
          <cell r="A1193" t="str">
            <v>Ana Caroline De Oliveira</v>
          </cell>
          <cell r="B1193">
            <v>37003745</v>
          </cell>
          <cell r="C1193">
            <v>20008576</v>
          </cell>
          <cell r="D1193">
            <v>43752</v>
          </cell>
        </row>
        <row r="1194">
          <cell r="A1194" t="str">
            <v>Andreia Aparecida Afonso</v>
          </cell>
          <cell r="B1194">
            <v>37010650</v>
          </cell>
          <cell r="C1194">
            <v>20040604</v>
          </cell>
          <cell r="D1194">
            <v>44930</v>
          </cell>
        </row>
        <row r="1195">
          <cell r="A1195" t="str">
            <v>Egon Henrique Rodrigues</v>
          </cell>
          <cell r="B1195">
            <v>37015366</v>
          </cell>
          <cell r="C1195">
            <v>20062375</v>
          </cell>
          <cell r="D1195">
            <v>45251</v>
          </cell>
        </row>
        <row r="1196">
          <cell r="A1196" t="str">
            <v>DOUGLAS REZENDE</v>
          </cell>
          <cell r="B1196">
            <v>37015413</v>
          </cell>
          <cell r="C1196">
            <v>20062576</v>
          </cell>
          <cell r="D1196">
            <v>45265</v>
          </cell>
        </row>
        <row r="1197">
          <cell r="A1197" t="str">
            <v>Joao Lucas da Silva Santos</v>
          </cell>
          <cell r="B1197">
            <v>37015424</v>
          </cell>
          <cell r="C1197">
            <v>20062587</v>
          </cell>
          <cell r="D1197">
            <v>45265</v>
          </cell>
        </row>
        <row r="1198">
          <cell r="A1198" t="str">
            <v>Mauricio Yoshio Takano</v>
          </cell>
          <cell r="B1198">
            <v>37015426</v>
          </cell>
          <cell r="C1198">
            <v>20062616</v>
          </cell>
          <cell r="D1198">
            <v>45265</v>
          </cell>
        </row>
        <row r="1199">
          <cell r="A1199" t="str">
            <v>Bruno De Oliveira Sonego</v>
          </cell>
          <cell r="B1199">
            <v>37000902</v>
          </cell>
          <cell r="C1199">
            <v>20008718</v>
          </cell>
          <cell r="D1199">
            <v>40728</v>
          </cell>
        </row>
        <row r="1200">
          <cell r="A1200" t="str">
            <v>Douglas Estevao Milani Rocha</v>
          </cell>
          <cell r="B1200">
            <v>37007180</v>
          </cell>
          <cell r="C1200">
            <v>20022983</v>
          </cell>
          <cell r="D1200">
            <v>44609</v>
          </cell>
        </row>
        <row r="1201">
          <cell r="A1201" t="str">
            <v>Andre Luiz Vieira</v>
          </cell>
          <cell r="B1201">
            <v>37005211</v>
          </cell>
          <cell r="C1201">
            <v>20011051</v>
          </cell>
          <cell r="D1201">
            <v>44117</v>
          </cell>
        </row>
        <row r="1202">
          <cell r="A1202" t="str">
            <v>Diego Henrique Ribeiro</v>
          </cell>
          <cell r="B1202">
            <v>37015498</v>
          </cell>
          <cell r="C1202">
            <v>20062749</v>
          </cell>
          <cell r="D1202">
            <v>45265</v>
          </cell>
        </row>
        <row r="1203">
          <cell r="A1203" t="str">
            <v>Thaynara Oliveira Silotti Andrade</v>
          </cell>
          <cell r="B1203">
            <v>37004889</v>
          </cell>
          <cell r="C1203">
            <v>20008125</v>
          </cell>
          <cell r="D1203">
            <v>44090</v>
          </cell>
        </row>
        <row r="1204">
          <cell r="A1204" t="str">
            <v>Larissa Da Silva Cossoniche</v>
          </cell>
          <cell r="B1204">
            <v>37015599</v>
          </cell>
          <cell r="C1204">
            <v>20062997</v>
          </cell>
          <cell r="D1204">
            <v>45272</v>
          </cell>
        </row>
        <row r="1205">
          <cell r="A1205" t="str">
            <v>Jose Carlos Santos Da Anunciacao</v>
          </cell>
          <cell r="B1205">
            <v>37008646</v>
          </cell>
          <cell r="C1205">
            <v>20027957</v>
          </cell>
          <cell r="D1205">
            <v>44760</v>
          </cell>
        </row>
        <row r="1206">
          <cell r="A1206" t="str">
            <v>Rafael Rodrigo Dos Santos</v>
          </cell>
          <cell r="B1206">
            <v>37003808</v>
          </cell>
          <cell r="C1206">
            <v>20009805</v>
          </cell>
          <cell r="D1206">
            <v>43752</v>
          </cell>
        </row>
        <row r="1207">
          <cell r="A1207" t="str">
            <v>Caio Ferreira Grizzo</v>
          </cell>
          <cell r="B1207">
            <v>37004339</v>
          </cell>
          <cell r="C1207">
            <v>20008737</v>
          </cell>
          <cell r="D1207">
            <v>43871</v>
          </cell>
        </row>
        <row r="1208">
          <cell r="A1208" t="str">
            <v>Gabriela Oliveira Rocha Sofrá</v>
          </cell>
          <cell r="B1208">
            <v>37015732</v>
          </cell>
          <cell r="C1208">
            <v>20063421</v>
          </cell>
          <cell r="D1208">
            <v>45300</v>
          </cell>
        </row>
        <row r="1209">
          <cell r="A1209" t="str">
            <v>Denise Raiany Marcelino</v>
          </cell>
          <cell r="B1209">
            <v>37015735</v>
          </cell>
          <cell r="C1209">
            <v>20063424</v>
          </cell>
          <cell r="D1209">
            <v>45300</v>
          </cell>
        </row>
        <row r="1210">
          <cell r="A1210" t="str">
            <v>Jose Carlos Pinheiro</v>
          </cell>
          <cell r="B1210">
            <v>37004168</v>
          </cell>
          <cell r="C1210">
            <v>20009383</v>
          </cell>
          <cell r="D1210">
            <v>43850</v>
          </cell>
        </row>
        <row r="1211">
          <cell r="A1211" t="str">
            <v>Paulo Henrique Nunes Colman</v>
          </cell>
          <cell r="B1211">
            <v>37004512</v>
          </cell>
          <cell r="C1211">
            <v>20008272</v>
          </cell>
          <cell r="D1211">
            <v>43927</v>
          </cell>
        </row>
        <row r="1212">
          <cell r="A1212" t="str">
            <v>Guilherme Sinicio De Barros</v>
          </cell>
          <cell r="B1212">
            <v>37005777</v>
          </cell>
          <cell r="C1212">
            <v>20015603</v>
          </cell>
          <cell r="D1212">
            <v>44348</v>
          </cell>
        </row>
        <row r="1213">
          <cell r="A1213" t="str">
            <v>Daniela Pereira Sigiliano</v>
          </cell>
          <cell r="B1213">
            <v>37015775</v>
          </cell>
          <cell r="C1213">
            <v>20063487</v>
          </cell>
          <cell r="D1213">
            <v>45306</v>
          </cell>
        </row>
        <row r="1214">
          <cell r="A1214" t="str">
            <v>Fernanda Neves Mendanha Mont-Mor</v>
          </cell>
          <cell r="B1214">
            <v>37015781</v>
          </cell>
          <cell r="C1214">
            <v>20063493</v>
          </cell>
          <cell r="D1214">
            <v>45306</v>
          </cell>
        </row>
        <row r="1215">
          <cell r="A1215" t="str">
            <v>Esther Cahali Souza Dos Santos</v>
          </cell>
          <cell r="B1215">
            <v>37015782</v>
          </cell>
          <cell r="C1215">
            <v>20063494</v>
          </cell>
          <cell r="D1215">
            <v>45306</v>
          </cell>
        </row>
        <row r="1216">
          <cell r="A1216" t="str">
            <v>Maria Angelica De Oliveira</v>
          </cell>
          <cell r="B1216">
            <v>37015797</v>
          </cell>
          <cell r="C1216">
            <v>20063520</v>
          </cell>
          <cell r="D1216">
            <v>45306</v>
          </cell>
        </row>
        <row r="1217">
          <cell r="A1217" t="str">
            <v>Amanda Oliveira Da Silva</v>
          </cell>
          <cell r="B1217">
            <v>37015800</v>
          </cell>
          <cell r="C1217">
            <v>20063523</v>
          </cell>
          <cell r="D1217">
            <v>45306</v>
          </cell>
        </row>
        <row r="1218">
          <cell r="A1218" t="str">
            <v>Amanda Tie Nakajima De Moraes</v>
          </cell>
          <cell r="B1218">
            <v>37015798</v>
          </cell>
          <cell r="C1218">
            <v>20063521</v>
          </cell>
          <cell r="D1218">
            <v>45306</v>
          </cell>
        </row>
        <row r="1219">
          <cell r="A1219" t="str">
            <v>Matheus Murilo Paulucio Carrion</v>
          </cell>
          <cell r="B1219">
            <v>37015802</v>
          </cell>
          <cell r="C1219">
            <v>20063525</v>
          </cell>
          <cell r="D1219">
            <v>45306</v>
          </cell>
        </row>
        <row r="1220">
          <cell r="A1220" t="str">
            <v>Fernando Coneglian Carletti</v>
          </cell>
          <cell r="B1220">
            <v>37001553</v>
          </cell>
          <cell r="C1220">
            <v>20009088</v>
          </cell>
          <cell r="D1220">
            <v>42240</v>
          </cell>
        </row>
        <row r="1221">
          <cell r="A1221" t="str">
            <v>Gabriel Borgo Battochio</v>
          </cell>
          <cell r="B1221">
            <v>37015884</v>
          </cell>
          <cell r="C1221">
            <v>20063562</v>
          </cell>
          <cell r="D1221">
            <v>45306</v>
          </cell>
        </row>
        <row r="1222">
          <cell r="A1222" t="str">
            <v>Mariana Lima De Almeida</v>
          </cell>
          <cell r="B1222">
            <v>37015891</v>
          </cell>
          <cell r="C1222">
            <v>20063569</v>
          </cell>
          <cell r="D1222">
            <v>45306</v>
          </cell>
        </row>
        <row r="1223">
          <cell r="A1223" t="str">
            <v>Giovana Lanza Okada</v>
          </cell>
          <cell r="B1223">
            <v>37015886</v>
          </cell>
          <cell r="C1223">
            <v>20063564</v>
          </cell>
          <cell r="D1223">
            <v>45306</v>
          </cell>
        </row>
        <row r="1224">
          <cell r="A1224" t="str">
            <v>Raissa Santos Carvalho</v>
          </cell>
          <cell r="B1224">
            <v>37015896</v>
          </cell>
          <cell r="C1224">
            <v>20063574</v>
          </cell>
          <cell r="D1224">
            <v>45306</v>
          </cell>
        </row>
        <row r="1225">
          <cell r="A1225" t="str">
            <v>Mariana Simoes Queiroz</v>
          </cell>
          <cell r="B1225">
            <v>37015900</v>
          </cell>
          <cell r="C1225">
            <v>20063578</v>
          </cell>
          <cell r="D1225">
            <v>45306</v>
          </cell>
        </row>
        <row r="1226">
          <cell r="A1226" t="str">
            <v>Heitor Alexandrino Chiqueti</v>
          </cell>
          <cell r="B1226">
            <v>37015901</v>
          </cell>
          <cell r="C1226">
            <v>20063579</v>
          </cell>
          <cell r="D1226">
            <v>45306</v>
          </cell>
        </row>
        <row r="1227">
          <cell r="A1227" t="str">
            <v>Ricardo Morato Do Amaral Bianconi</v>
          </cell>
          <cell r="B1227">
            <v>37015928</v>
          </cell>
          <cell r="C1227">
            <v>20063661</v>
          </cell>
          <cell r="D1227">
            <v>45300</v>
          </cell>
        </row>
        <row r="1228">
          <cell r="A1228" t="str">
            <v>Jessica Silvia De Resende</v>
          </cell>
          <cell r="B1228">
            <v>37001687</v>
          </cell>
          <cell r="C1228">
            <v>20009314</v>
          </cell>
          <cell r="D1228">
            <v>42555</v>
          </cell>
        </row>
        <row r="1229">
          <cell r="A1229" t="str">
            <v>Moises Rodrigo Vicente</v>
          </cell>
          <cell r="B1229">
            <v>37004302</v>
          </cell>
          <cell r="C1229">
            <v>20009701</v>
          </cell>
          <cell r="D1229">
            <v>43864</v>
          </cell>
        </row>
        <row r="1230">
          <cell r="A1230" t="str">
            <v>Marcela Fujihara Costa</v>
          </cell>
          <cell r="B1230">
            <v>37016154</v>
          </cell>
          <cell r="C1230">
            <v>20063806</v>
          </cell>
          <cell r="D1230">
            <v>45306</v>
          </cell>
        </row>
        <row r="1231">
          <cell r="A1231" t="str">
            <v>Luiz Miguel Basseto Hilario</v>
          </cell>
          <cell r="B1231">
            <v>37016200</v>
          </cell>
          <cell r="C1231">
            <v>20050179</v>
          </cell>
          <cell r="D1231">
            <v>45307</v>
          </cell>
        </row>
        <row r="1232">
          <cell r="A1232" t="str">
            <v>Edenilson Batista Lisboa</v>
          </cell>
          <cell r="B1232">
            <v>37016216</v>
          </cell>
          <cell r="C1232">
            <v>20063895</v>
          </cell>
          <cell r="D1232">
            <v>45307</v>
          </cell>
        </row>
        <row r="1233">
          <cell r="A1233" t="str">
            <v>Joao Victor Damasceno Pereira</v>
          </cell>
          <cell r="B1233">
            <v>37016199</v>
          </cell>
          <cell r="C1233">
            <v>20050172</v>
          </cell>
          <cell r="D1233">
            <v>45306</v>
          </cell>
        </row>
        <row r="1234">
          <cell r="A1234" t="str">
            <v>Iana Delmare Bomfim</v>
          </cell>
          <cell r="B1234">
            <v>37016198</v>
          </cell>
          <cell r="C1234">
            <v>20049685</v>
          </cell>
          <cell r="D1234">
            <v>45306</v>
          </cell>
        </row>
        <row r="1235">
          <cell r="A1235" t="str">
            <v>Junio Euflauzino Dias</v>
          </cell>
          <cell r="B1235">
            <v>37016234</v>
          </cell>
          <cell r="C1235">
            <v>20063918</v>
          </cell>
          <cell r="D1235">
            <v>45307</v>
          </cell>
        </row>
        <row r="1236">
          <cell r="A1236" t="str">
            <v>Jessica Dos Santos Moreira</v>
          </cell>
          <cell r="B1236">
            <v>37016240</v>
          </cell>
          <cell r="C1236">
            <v>20063924</v>
          </cell>
          <cell r="D1236">
            <v>45307</v>
          </cell>
        </row>
        <row r="1237">
          <cell r="A1237" t="str">
            <v>Vitor Froes Berbel</v>
          </cell>
          <cell r="B1237">
            <v>37016221</v>
          </cell>
          <cell r="C1237">
            <v>20050176</v>
          </cell>
          <cell r="D1237">
            <v>45306</v>
          </cell>
        </row>
        <row r="1238">
          <cell r="A1238" t="str">
            <v>Murilo Ferreira Da Rua</v>
          </cell>
          <cell r="B1238">
            <v>37016261</v>
          </cell>
          <cell r="C1238">
            <v>20063943</v>
          </cell>
          <cell r="D1238">
            <v>45307</v>
          </cell>
        </row>
        <row r="1239">
          <cell r="A1239" t="str">
            <v>Ivan Rossetto Carnietto</v>
          </cell>
          <cell r="B1239">
            <v>37000752</v>
          </cell>
          <cell r="C1239">
            <v>20009283</v>
          </cell>
          <cell r="D1239">
            <v>40219</v>
          </cell>
        </row>
        <row r="1240">
          <cell r="A1240" t="str">
            <v>Larilson Manoel Feijo</v>
          </cell>
          <cell r="B1240">
            <v>37003783</v>
          </cell>
          <cell r="C1240">
            <v>20009463</v>
          </cell>
          <cell r="D1240">
            <v>43752</v>
          </cell>
        </row>
        <row r="1241">
          <cell r="A1241" t="str">
            <v>Bruno Medolago De Oliveira</v>
          </cell>
          <cell r="B1241">
            <v>37003752</v>
          </cell>
          <cell r="C1241">
            <v>20008724</v>
          </cell>
          <cell r="D1241">
            <v>43752</v>
          </cell>
        </row>
        <row r="1242">
          <cell r="A1242" t="str">
            <v>Marcio Pereira Da Silva</v>
          </cell>
          <cell r="B1242">
            <v>37004631</v>
          </cell>
          <cell r="C1242">
            <v>20008233</v>
          </cell>
          <cell r="D1242">
            <v>44025</v>
          </cell>
        </row>
        <row r="1243">
          <cell r="A1243" t="str">
            <v>Jose Rubens Gomes</v>
          </cell>
          <cell r="B1243">
            <v>37000428</v>
          </cell>
          <cell r="C1243">
            <v>20009414</v>
          </cell>
          <cell r="D1243">
            <v>38397</v>
          </cell>
        </row>
        <row r="1244">
          <cell r="A1244" t="str">
            <v>Guilherme Felipe De Almeida Esperandio</v>
          </cell>
          <cell r="B1244">
            <v>37003772</v>
          </cell>
          <cell r="C1244">
            <v>20009203</v>
          </cell>
          <cell r="D1244">
            <v>43752</v>
          </cell>
        </row>
        <row r="1245">
          <cell r="A1245" t="str">
            <v>Joao Vitor De Oliveira Santos</v>
          </cell>
          <cell r="B1245">
            <v>37016433</v>
          </cell>
          <cell r="C1245">
            <v>20064172</v>
          </cell>
          <cell r="D1245">
            <v>45328</v>
          </cell>
        </row>
        <row r="1246">
          <cell r="A1246" t="str">
            <v>Ana Maria Pelegrin</v>
          </cell>
          <cell r="B1246">
            <v>37003311</v>
          </cell>
          <cell r="C1246">
            <v>20008586</v>
          </cell>
          <cell r="D1246">
            <v>43647</v>
          </cell>
        </row>
        <row r="1247">
          <cell r="A1247" t="str">
            <v>Alexsandro Miguel Ferreira De Souza</v>
          </cell>
          <cell r="B1247">
            <v>37003741</v>
          </cell>
          <cell r="C1247">
            <v>20008551</v>
          </cell>
          <cell r="D1247">
            <v>43752</v>
          </cell>
        </row>
        <row r="1248">
          <cell r="A1248" t="str">
            <v>Cleber Aparecido De Souza</v>
          </cell>
          <cell r="B1248">
            <v>37003756</v>
          </cell>
          <cell r="C1248">
            <v>20008819</v>
          </cell>
          <cell r="D1248">
            <v>43752</v>
          </cell>
        </row>
        <row r="1249">
          <cell r="A1249" t="str">
            <v>Gabrielli Soares de Lima</v>
          </cell>
          <cell r="B1249">
            <v>37016589</v>
          </cell>
          <cell r="C1249">
            <v>20060497</v>
          </cell>
          <cell r="D1249">
            <v>45328</v>
          </cell>
        </row>
        <row r="1250">
          <cell r="A1250" t="str">
            <v>Paulo Henrique Alencar Lima</v>
          </cell>
          <cell r="B1250">
            <v>37016602</v>
          </cell>
          <cell r="C1250">
            <v>20060503</v>
          </cell>
          <cell r="D1250">
            <v>45328</v>
          </cell>
        </row>
        <row r="1251">
          <cell r="A1251" t="str">
            <v>Lucas Evangelista Sobral</v>
          </cell>
          <cell r="B1251">
            <v>37016590</v>
          </cell>
          <cell r="C1251">
            <v>20060851</v>
          </cell>
          <cell r="D1251">
            <v>45328</v>
          </cell>
        </row>
        <row r="1252">
          <cell r="A1252" t="str">
            <v>Cleiton Queiroz Martini</v>
          </cell>
          <cell r="B1252">
            <v>37003327</v>
          </cell>
          <cell r="C1252">
            <v>20008824</v>
          </cell>
          <cell r="D1252">
            <v>43647</v>
          </cell>
        </row>
        <row r="1253">
          <cell r="A1253" t="str">
            <v>Osvaldo Luiz da Silva</v>
          </cell>
          <cell r="B1253">
            <v>37012598</v>
          </cell>
          <cell r="C1253">
            <v>20051000</v>
          </cell>
          <cell r="D1253">
            <v>45069</v>
          </cell>
        </row>
        <row r="1254">
          <cell r="A1254" t="str">
            <v>Julio Cesar Ferrari</v>
          </cell>
          <cell r="B1254">
            <v>37012019</v>
          </cell>
          <cell r="C1254">
            <v>20047171</v>
          </cell>
          <cell r="D1254">
            <v>45027</v>
          </cell>
        </row>
        <row r="1255">
          <cell r="A1255" t="str">
            <v>Andre Chede</v>
          </cell>
          <cell r="B1255">
            <v>37010026</v>
          </cell>
          <cell r="C1255">
            <v>20037931</v>
          </cell>
          <cell r="D1255">
            <v>44907</v>
          </cell>
        </row>
        <row r="1256">
          <cell r="A1256" t="str">
            <v>Ademir Dias Pereira</v>
          </cell>
          <cell r="B1256">
            <v>37010454</v>
          </cell>
          <cell r="C1256">
            <v>20039961</v>
          </cell>
          <cell r="D1256">
            <v>44907</v>
          </cell>
        </row>
        <row r="1257">
          <cell r="A1257" t="str">
            <v>Emilly Mireli Dos Santos</v>
          </cell>
          <cell r="B1257">
            <v>37016610</v>
          </cell>
          <cell r="C1257">
            <v>20057339</v>
          </cell>
          <cell r="D1257">
            <v>45342</v>
          </cell>
        </row>
        <row r="1258">
          <cell r="A1258" t="str">
            <v>Isaac Newton Vieira Filho</v>
          </cell>
          <cell r="B1258">
            <v>37016661</v>
          </cell>
          <cell r="C1258">
            <v>20064762</v>
          </cell>
          <cell r="D1258">
            <v>45342</v>
          </cell>
        </row>
        <row r="1259">
          <cell r="A1259" t="str">
            <v>Haroldo Marinho Dos Reis</v>
          </cell>
          <cell r="B1259">
            <v>37016673</v>
          </cell>
          <cell r="C1259">
            <v>20022773</v>
          </cell>
          <cell r="D1259">
            <v>45342</v>
          </cell>
        </row>
        <row r="1260">
          <cell r="A1260" t="str">
            <v>Rafael Simeao Balivo</v>
          </cell>
          <cell r="B1260">
            <v>37004467</v>
          </cell>
          <cell r="C1260">
            <v>20008288</v>
          </cell>
          <cell r="D1260">
            <v>43899</v>
          </cell>
        </row>
        <row r="1261">
          <cell r="A1261" t="str">
            <v>Edson Ricardo da Silva</v>
          </cell>
          <cell r="B1261">
            <v>37016718</v>
          </cell>
          <cell r="C1261">
            <v>20064912</v>
          </cell>
          <cell r="D1261">
            <v>45356</v>
          </cell>
        </row>
        <row r="1262">
          <cell r="A1262" t="str">
            <v>Ramon Bonfim Souza</v>
          </cell>
          <cell r="B1262">
            <v>37016719</v>
          </cell>
          <cell r="C1262">
            <v>20064913</v>
          </cell>
          <cell r="D1262">
            <v>45356</v>
          </cell>
        </row>
        <row r="1263">
          <cell r="A1263" t="str">
            <v>Nilton Campanha Junior</v>
          </cell>
          <cell r="B1263">
            <v>37016722</v>
          </cell>
          <cell r="C1263">
            <v>20064916</v>
          </cell>
          <cell r="D1263">
            <v>45356</v>
          </cell>
        </row>
        <row r="1264">
          <cell r="A1264" t="str">
            <v>Gabriel Souza</v>
          </cell>
          <cell r="B1264">
            <v>37016762</v>
          </cell>
          <cell r="C1264">
            <v>20065256</v>
          </cell>
          <cell r="D1264">
            <v>45356</v>
          </cell>
        </row>
        <row r="1265">
          <cell r="A1265" t="str">
            <v>Lucas Contente De Castro</v>
          </cell>
          <cell r="B1265">
            <v>37016775</v>
          </cell>
          <cell r="C1265">
            <v>20065274</v>
          </cell>
          <cell r="D1265">
            <v>45356</v>
          </cell>
        </row>
        <row r="1266">
          <cell r="A1266" t="str">
            <v>Nícolas Moreira Pioto</v>
          </cell>
          <cell r="B1266">
            <v>37016810</v>
          </cell>
          <cell r="C1266">
            <v>20065309</v>
          </cell>
          <cell r="D1266">
            <v>45356</v>
          </cell>
        </row>
        <row r="1267">
          <cell r="A1267" t="str">
            <v>Marcos Roberto Araujo</v>
          </cell>
          <cell r="B1267">
            <v>37000330</v>
          </cell>
          <cell r="C1267">
            <v>20009641</v>
          </cell>
          <cell r="D1267">
            <v>37169</v>
          </cell>
        </row>
        <row r="1268">
          <cell r="A1268" t="str">
            <v>Douglas Martins De Almeida</v>
          </cell>
          <cell r="B1268">
            <v>37003760</v>
          </cell>
          <cell r="C1268">
            <v>20008928</v>
          </cell>
          <cell r="D1268">
            <v>43752</v>
          </cell>
        </row>
        <row r="1269">
          <cell r="A1269" t="str">
            <v>Pedro Herculano De Assis Filho</v>
          </cell>
          <cell r="B1269">
            <v>37000624</v>
          </cell>
          <cell r="C1269">
            <v>20009780</v>
          </cell>
          <cell r="D1269">
            <v>39489</v>
          </cell>
        </row>
        <row r="1270">
          <cell r="A1270" t="str">
            <v>Jefferson Freitas Pinto E Silva</v>
          </cell>
          <cell r="B1270">
            <v>37005625</v>
          </cell>
          <cell r="C1270">
            <v>20013931</v>
          </cell>
          <cell r="D1270">
            <v>44319</v>
          </cell>
        </row>
        <row r="1271">
          <cell r="A1271" t="str">
            <v>Rogerio Carlos Correa</v>
          </cell>
          <cell r="B1271">
            <v>37001006</v>
          </cell>
          <cell r="C1271">
            <v>20009878</v>
          </cell>
          <cell r="D1271">
            <v>41071</v>
          </cell>
        </row>
        <row r="1272">
          <cell r="A1272" t="str">
            <v>Gustavo Andre Mograo Manne</v>
          </cell>
          <cell r="B1272">
            <v>37002989</v>
          </cell>
          <cell r="C1272">
            <v>20009217</v>
          </cell>
          <cell r="D1272">
            <v>43535</v>
          </cell>
        </row>
        <row r="1273">
          <cell r="A1273" t="str">
            <v>Gabriel Henrique Sanches</v>
          </cell>
          <cell r="B1273">
            <v>37004373</v>
          </cell>
          <cell r="C1273">
            <v>20009138</v>
          </cell>
          <cell r="D1273">
            <v>43878</v>
          </cell>
        </row>
        <row r="1274">
          <cell r="A1274" t="str">
            <v>Paula Cristina dos Santos</v>
          </cell>
          <cell r="B1274">
            <v>37016856</v>
          </cell>
          <cell r="C1274">
            <v>20065435</v>
          </cell>
          <cell r="D1274">
            <v>45363</v>
          </cell>
        </row>
        <row r="1275">
          <cell r="A1275" t="str">
            <v>Caio Cesar Alves</v>
          </cell>
          <cell r="B1275">
            <v>37016866</v>
          </cell>
          <cell r="C1275">
            <v>20065445</v>
          </cell>
          <cell r="D1275">
            <v>45363</v>
          </cell>
        </row>
        <row r="1276">
          <cell r="A1276" t="str">
            <v>Luiz Felipe Dias Da silva</v>
          </cell>
          <cell r="B1276">
            <v>37016906</v>
          </cell>
          <cell r="C1276">
            <v>20060501</v>
          </cell>
          <cell r="D1276">
            <v>45363</v>
          </cell>
        </row>
        <row r="1277">
          <cell r="A1277" t="str">
            <v>Sthefania Tais Pereira Procopio</v>
          </cell>
          <cell r="B1277">
            <v>37016907</v>
          </cell>
          <cell r="C1277">
            <v>20060756</v>
          </cell>
          <cell r="D1277">
            <v>45363</v>
          </cell>
        </row>
        <row r="1278">
          <cell r="A1278" t="str">
            <v>Jose Carlos Dos Santos Junior</v>
          </cell>
          <cell r="B1278">
            <v>37012442</v>
          </cell>
          <cell r="C1278">
            <v>20049742</v>
          </cell>
          <cell r="D1278">
            <v>45055</v>
          </cell>
        </row>
        <row r="1279">
          <cell r="A1279" t="str">
            <v>Karina Rufo Barbosa Elidio</v>
          </cell>
          <cell r="B1279">
            <v>37013171</v>
          </cell>
          <cell r="C1279">
            <v>20053348</v>
          </cell>
          <cell r="D1279">
            <v>45111</v>
          </cell>
        </row>
        <row r="1280">
          <cell r="A1280" t="str">
            <v>Denis Eduardo De Brito</v>
          </cell>
          <cell r="B1280">
            <v>37005918</v>
          </cell>
          <cell r="C1280">
            <v>20016737</v>
          </cell>
          <cell r="D1280">
            <v>44382</v>
          </cell>
        </row>
        <row r="1281">
          <cell r="A1281" t="str">
            <v>Fabiano Jose Teli</v>
          </cell>
          <cell r="B1281">
            <v>37009828</v>
          </cell>
          <cell r="C1281">
            <v>20037107</v>
          </cell>
          <cell r="D1281">
            <v>44872</v>
          </cell>
        </row>
        <row r="1282">
          <cell r="A1282" t="str">
            <v>Murilo Rafael Pontes De Souza</v>
          </cell>
          <cell r="B1282">
            <v>37007728</v>
          </cell>
          <cell r="C1282">
            <v>20026760</v>
          </cell>
          <cell r="D1282">
            <v>44697</v>
          </cell>
        </row>
        <row r="1283">
          <cell r="A1283" t="str">
            <v>Everton Cordeiro De Aguiar</v>
          </cell>
          <cell r="B1283">
            <v>37001709</v>
          </cell>
          <cell r="C1283">
            <v>20009029</v>
          </cell>
          <cell r="D1283">
            <v>42597</v>
          </cell>
        </row>
        <row r="1284">
          <cell r="A1284" t="str">
            <v>Raissa Vitoria Moreira Silva</v>
          </cell>
          <cell r="B1284">
            <v>37016909</v>
          </cell>
          <cell r="C1284">
            <v>20065859</v>
          </cell>
          <cell r="D1284">
            <v>45370</v>
          </cell>
        </row>
        <row r="1285">
          <cell r="A1285" t="str">
            <v>Marina Buzello Flores</v>
          </cell>
          <cell r="B1285">
            <v>37016911</v>
          </cell>
          <cell r="C1285">
            <v>20065861</v>
          </cell>
          <cell r="D1285">
            <v>45370</v>
          </cell>
        </row>
        <row r="1286">
          <cell r="A1286" t="str">
            <v>Dandara Santos Nascimento</v>
          </cell>
          <cell r="B1286">
            <v>37016914</v>
          </cell>
          <cell r="C1286">
            <v>20065864</v>
          </cell>
          <cell r="D1286">
            <v>45370</v>
          </cell>
        </row>
        <row r="1287">
          <cell r="A1287" t="str">
            <v>Yasmim Oliveira Penteado</v>
          </cell>
          <cell r="B1287">
            <v>37016908</v>
          </cell>
          <cell r="C1287">
            <v>20065858</v>
          </cell>
          <cell r="D1287">
            <v>45370</v>
          </cell>
        </row>
        <row r="1288">
          <cell r="A1288" t="str">
            <v>Maria Letícia Camargo Graci</v>
          </cell>
          <cell r="B1288">
            <v>37016912</v>
          </cell>
          <cell r="C1288">
            <v>20065862</v>
          </cell>
          <cell r="D1288">
            <v>45370</v>
          </cell>
        </row>
        <row r="1289">
          <cell r="A1289" t="str">
            <v>Bruna Beatriz Borges</v>
          </cell>
          <cell r="B1289">
            <v>37016918</v>
          </cell>
          <cell r="C1289">
            <v>20065868</v>
          </cell>
          <cell r="D1289">
            <v>45370</v>
          </cell>
        </row>
        <row r="1290">
          <cell r="A1290" t="str">
            <v>Ana Clara De Fatima Pelegrim</v>
          </cell>
          <cell r="B1290">
            <v>37016921</v>
          </cell>
          <cell r="C1290">
            <v>20065871</v>
          </cell>
          <cell r="D1290">
            <v>45370</v>
          </cell>
        </row>
        <row r="1291">
          <cell r="A1291" t="str">
            <v>Lidia Vitória Dias Lima</v>
          </cell>
          <cell r="B1291">
            <v>37016924</v>
          </cell>
          <cell r="C1291">
            <v>20065875</v>
          </cell>
          <cell r="D1291">
            <v>45370</v>
          </cell>
        </row>
        <row r="1292">
          <cell r="A1292" t="str">
            <v>João Guilherme dos Santos de Jesus</v>
          </cell>
          <cell r="B1292">
            <v>37016928</v>
          </cell>
          <cell r="C1292">
            <v>20065879</v>
          </cell>
          <cell r="D1292">
            <v>45370</v>
          </cell>
        </row>
        <row r="1293">
          <cell r="A1293" t="str">
            <v>PEDRO HENRIQUE SANTOS NASCIMENTO</v>
          </cell>
          <cell r="B1293">
            <v>37016931</v>
          </cell>
          <cell r="C1293">
            <v>20065882</v>
          </cell>
          <cell r="D1293">
            <v>45370</v>
          </cell>
        </row>
        <row r="1294">
          <cell r="A1294" t="str">
            <v>Rafael Felipe Santos</v>
          </cell>
          <cell r="B1294">
            <v>37016934</v>
          </cell>
          <cell r="C1294">
            <v>20065885</v>
          </cell>
          <cell r="D1294">
            <v>45370</v>
          </cell>
        </row>
        <row r="1295">
          <cell r="A1295" t="str">
            <v>Amanda De Jesus Lima</v>
          </cell>
          <cell r="B1295">
            <v>37016923</v>
          </cell>
          <cell r="C1295">
            <v>20065874</v>
          </cell>
          <cell r="D1295">
            <v>45370</v>
          </cell>
        </row>
        <row r="1296">
          <cell r="A1296" t="str">
            <v>Andressa Kelly Baracho Santos</v>
          </cell>
          <cell r="B1296">
            <v>37016925</v>
          </cell>
          <cell r="C1296">
            <v>20065876</v>
          </cell>
          <cell r="D1296">
            <v>45370</v>
          </cell>
        </row>
        <row r="1297">
          <cell r="A1297" t="str">
            <v>Otavio Eduardo Soares da Silva</v>
          </cell>
          <cell r="B1297">
            <v>37016929</v>
          </cell>
          <cell r="C1297">
            <v>20065880</v>
          </cell>
          <cell r="D1297">
            <v>45370</v>
          </cell>
        </row>
        <row r="1298">
          <cell r="A1298" t="str">
            <v>Luana Francine De Souza Moreira</v>
          </cell>
          <cell r="B1298">
            <v>37016943</v>
          </cell>
          <cell r="C1298">
            <v>20065894</v>
          </cell>
          <cell r="D1298">
            <v>45370</v>
          </cell>
        </row>
        <row r="1299">
          <cell r="A1299" t="str">
            <v>José Ronaldo De Oliveira</v>
          </cell>
          <cell r="B1299">
            <v>37016949</v>
          </cell>
          <cell r="C1299">
            <v>20065900</v>
          </cell>
          <cell r="D1299">
            <v>45370</v>
          </cell>
        </row>
        <row r="1300">
          <cell r="A1300" t="str">
            <v>Pamela Fernanda De Oliveira</v>
          </cell>
          <cell r="B1300">
            <v>37016937</v>
          </cell>
          <cell r="C1300">
            <v>20065888</v>
          </cell>
          <cell r="D1300">
            <v>45384</v>
          </cell>
        </row>
        <row r="1301">
          <cell r="A1301" t="str">
            <v>Ederaldo Lima Dias</v>
          </cell>
          <cell r="B1301">
            <v>37016939</v>
          </cell>
          <cell r="C1301">
            <v>20065890</v>
          </cell>
          <cell r="D1301">
            <v>45370</v>
          </cell>
        </row>
        <row r="1302">
          <cell r="A1302" t="str">
            <v>Adilson Souza Gomes</v>
          </cell>
          <cell r="B1302">
            <v>37016942</v>
          </cell>
          <cell r="C1302">
            <v>20065893</v>
          </cell>
          <cell r="D1302">
            <v>45370</v>
          </cell>
        </row>
        <row r="1303">
          <cell r="A1303" t="str">
            <v>Ana Laura Aparecida Clementino de Oliveira</v>
          </cell>
          <cell r="B1303">
            <v>37016958</v>
          </cell>
          <cell r="C1303">
            <v>20065909</v>
          </cell>
          <cell r="D1303">
            <v>45370</v>
          </cell>
        </row>
        <row r="1304">
          <cell r="A1304" t="str">
            <v>Ariane Ketelin da Silva</v>
          </cell>
          <cell r="B1304">
            <v>37016959</v>
          </cell>
          <cell r="C1304">
            <v>20065910</v>
          </cell>
          <cell r="D1304">
            <v>45370</v>
          </cell>
        </row>
        <row r="1305">
          <cell r="A1305" t="str">
            <v>Ana Paula Espindola Costa Espindola Costa</v>
          </cell>
          <cell r="B1305">
            <v>37016960</v>
          </cell>
          <cell r="C1305">
            <v>20065911</v>
          </cell>
          <cell r="D1305">
            <v>45370</v>
          </cell>
        </row>
        <row r="1306">
          <cell r="A1306" t="str">
            <v>Marcos Adriano Da Silva</v>
          </cell>
          <cell r="B1306">
            <v>37016962</v>
          </cell>
          <cell r="C1306">
            <v>20065913</v>
          </cell>
          <cell r="D1306">
            <v>45370</v>
          </cell>
        </row>
        <row r="1307">
          <cell r="A1307" t="str">
            <v>Júlia Vitória Bastos dos Santos de Oliveira</v>
          </cell>
          <cell r="B1307">
            <v>37016976</v>
          </cell>
          <cell r="C1307">
            <v>20065927</v>
          </cell>
          <cell r="D1307">
            <v>45370</v>
          </cell>
        </row>
        <row r="1308">
          <cell r="A1308" t="str">
            <v>Juciele Dantas Da Silva</v>
          </cell>
          <cell r="B1308">
            <v>37016979</v>
          </cell>
          <cell r="C1308">
            <v>20065930</v>
          </cell>
          <cell r="D1308">
            <v>45370</v>
          </cell>
        </row>
        <row r="1309">
          <cell r="A1309" t="str">
            <v>Julia Justo Barbosa</v>
          </cell>
          <cell r="B1309">
            <v>37016977</v>
          </cell>
          <cell r="C1309">
            <v>20065928</v>
          </cell>
          <cell r="D1309">
            <v>45370</v>
          </cell>
        </row>
        <row r="1310">
          <cell r="A1310" t="str">
            <v>Gabriel Alexandre Silva De Farias</v>
          </cell>
          <cell r="B1310">
            <v>37016978</v>
          </cell>
          <cell r="C1310">
            <v>20065929</v>
          </cell>
          <cell r="D1310">
            <v>45370</v>
          </cell>
        </row>
        <row r="1311">
          <cell r="A1311" t="str">
            <v>Ana Carolina De Jesus</v>
          </cell>
          <cell r="B1311">
            <v>37016982</v>
          </cell>
          <cell r="C1311">
            <v>20065933</v>
          </cell>
          <cell r="D1311">
            <v>45370</v>
          </cell>
        </row>
        <row r="1312">
          <cell r="A1312" t="str">
            <v>Guilherme Luiz Do Carmo</v>
          </cell>
          <cell r="B1312">
            <v>37016987</v>
          </cell>
          <cell r="C1312">
            <v>20065938</v>
          </cell>
          <cell r="D1312">
            <v>45370</v>
          </cell>
        </row>
        <row r="1313">
          <cell r="A1313" t="str">
            <v>Luis Henrique Tome Batista</v>
          </cell>
          <cell r="B1313">
            <v>37016992</v>
          </cell>
          <cell r="C1313">
            <v>20065943</v>
          </cell>
          <cell r="D1313">
            <v>45370</v>
          </cell>
        </row>
        <row r="1314">
          <cell r="A1314" t="str">
            <v>Luana Amelia Lourenco</v>
          </cell>
          <cell r="B1314">
            <v>37016993</v>
          </cell>
          <cell r="C1314">
            <v>20065944</v>
          </cell>
          <cell r="D1314">
            <v>45370</v>
          </cell>
        </row>
        <row r="1315">
          <cell r="A1315" t="str">
            <v>Celi Raiane Costa De Aquino</v>
          </cell>
          <cell r="B1315">
            <v>37016986</v>
          </cell>
          <cell r="C1315">
            <v>20065937</v>
          </cell>
          <cell r="D1315">
            <v>45370</v>
          </cell>
        </row>
        <row r="1316">
          <cell r="A1316" t="str">
            <v>Gabrielli Da Silva Monteiro</v>
          </cell>
          <cell r="B1316">
            <v>37016989</v>
          </cell>
          <cell r="C1316">
            <v>20065940</v>
          </cell>
          <cell r="D1316">
            <v>45370</v>
          </cell>
        </row>
        <row r="1317">
          <cell r="A1317" t="str">
            <v>Mariana De Oliveira Silva</v>
          </cell>
          <cell r="B1317">
            <v>37016994</v>
          </cell>
          <cell r="C1317">
            <v>20065945</v>
          </cell>
          <cell r="D1317">
            <v>45370</v>
          </cell>
        </row>
        <row r="1318">
          <cell r="A1318" t="str">
            <v>Tiago Trindade Lima</v>
          </cell>
          <cell r="B1318">
            <v>37016998</v>
          </cell>
          <cell r="C1318">
            <v>20065949</v>
          </cell>
          <cell r="D1318">
            <v>45370</v>
          </cell>
        </row>
        <row r="1319">
          <cell r="A1319" t="str">
            <v>Miguel Guilherme laureano Prando</v>
          </cell>
          <cell r="B1319">
            <v>37017001</v>
          </cell>
          <cell r="C1319">
            <v>20065952</v>
          </cell>
          <cell r="D1319">
            <v>45384</v>
          </cell>
        </row>
        <row r="1320">
          <cell r="A1320" t="str">
            <v>Rubens Montalvao Dias</v>
          </cell>
          <cell r="B1320">
            <v>37017002</v>
          </cell>
          <cell r="C1320">
            <v>20065953</v>
          </cell>
          <cell r="D1320">
            <v>45370</v>
          </cell>
        </row>
        <row r="1321">
          <cell r="A1321" t="str">
            <v>Murillo Robles Balestri</v>
          </cell>
          <cell r="B1321">
            <v>37016999</v>
          </cell>
          <cell r="C1321">
            <v>20065950</v>
          </cell>
          <cell r="D1321">
            <v>45370</v>
          </cell>
        </row>
        <row r="1322">
          <cell r="A1322" t="str">
            <v>Sarah Gabrielly Santos Gabriel</v>
          </cell>
          <cell r="B1322">
            <v>37017000</v>
          </cell>
          <cell r="C1322">
            <v>20065951</v>
          </cell>
          <cell r="D1322">
            <v>45370</v>
          </cell>
        </row>
        <row r="1323">
          <cell r="A1323" t="str">
            <v>Matheus Henrique Ribeiro Antonio</v>
          </cell>
          <cell r="B1323">
            <v>37017003</v>
          </cell>
          <cell r="C1323">
            <v>20065954</v>
          </cell>
          <cell r="D1323">
            <v>45370</v>
          </cell>
        </row>
        <row r="1324">
          <cell r="A1324" t="str">
            <v>Paulo Roberto Cavalcante Silva</v>
          </cell>
          <cell r="B1324">
            <v>37017004</v>
          </cell>
          <cell r="C1324">
            <v>20065955</v>
          </cell>
          <cell r="D1324">
            <v>45370</v>
          </cell>
        </row>
        <row r="1325">
          <cell r="A1325" t="str">
            <v>Nicolas Alexandre Guimaraes</v>
          </cell>
          <cell r="B1325">
            <v>37017005</v>
          </cell>
          <cell r="C1325">
            <v>20065956</v>
          </cell>
          <cell r="D1325">
            <v>45370</v>
          </cell>
        </row>
        <row r="1326">
          <cell r="A1326" t="str">
            <v>Maria Clara paccola Flávia Mara Maciel Maciel</v>
          </cell>
          <cell r="B1326">
            <v>37017007</v>
          </cell>
          <cell r="C1326">
            <v>20065958</v>
          </cell>
          <cell r="D1326">
            <v>45370</v>
          </cell>
        </row>
        <row r="1327">
          <cell r="A1327" t="str">
            <v>Jessyca Da Silva Santos</v>
          </cell>
          <cell r="B1327">
            <v>37017009</v>
          </cell>
          <cell r="C1327">
            <v>20065960</v>
          </cell>
          <cell r="D1327">
            <v>45370</v>
          </cell>
        </row>
        <row r="1328">
          <cell r="A1328" t="str">
            <v>Hugo Gomes Terra</v>
          </cell>
          <cell r="B1328">
            <v>37017013</v>
          </cell>
          <cell r="C1328">
            <v>20065964</v>
          </cell>
          <cell r="D1328">
            <v>45370</v>
          </cell>
        </row>
        <row r="1329">
          <cell r="A1329" t="str">
            <v>Mariana Aparecida Valerio Moreira</v>
          </cell>
          <cell r="B1329">
            <v>37016969</v>
          </cell>
          <cell r="C1329">
            <v>20040236</v>
          </cell>
          <cell r="D1329">
            <v>45370</v>
          </cell>
        </row>
        <row r="1330">
          <cell r="A1330" t="str">
            <v>Aline Grama Machado</v>
          </cell>
          <cell r="B1330">
            <v>37017011</v>
          </cell>
          <cell r="C1330">
            <v>20065962</v>
          </cell>
          <cell r="D1330">
            <v>45370</v>
          </cell>
        </row>
        <row r="1331">
          <cell r="A1331" t="str">
            <v>Alice Feliciano Preciato</v>
          </cell>
          <cell r="B1331">
            <v>37017017</v>
          </cell>
          <cell r="C1331">
            <v>20065968</v>
          </cell>
          <cell r="D1331">
            <v>45370</v>
          </cell>
        </row>
        <row r="1332">
          <cell r="A1332" t="str">
            <v>Bianca Natasha Eduardo</v>
          </cell>
          <cell r="B1332">
            <v>37017015</v>
          </cell>
          <cell r="C1332">
            <v>20065966</v>
          </cell>
          <cell r="D1332">
            <v>45370</v>
          </cell>
        </row>
        <row r="1333">
          <cell r="A1333" t="str">
            <v>Arthur Monteiro Rosa</v>
          </cell>
          <cell r="B1333">
            <v>37001913</v>
          </cell>
          <cell r="C1333">
            <v>20008686</v>
          </cell>
          <cell r="D1333">
            <v>42807</v>
          </cell>
        </row>
        <row r="1334">
          <cell r="A1334" t="str">
            <v>Andre Luiz Fernandes</v>
          </cell>
          <cell r="B1334">
            <v>37003314</v>
          </cell>
          <cell r="C1334">
            <v>20008625</v>
          </cell>
          <cell r="D1334">
            <v>43647</v>
          </cell>
        </row>
        <row r="1335">
          <cell r="A1335" t="str">
            <v>Jackson Gomes Balieiro</v>
          </cell>
          <cell r="B1335">
            <v>37017067</v>
          </cell>
          <cell r="C1335">
            <v>20067061</v>
          </cell>
          <cell r="D1335">
            <v>45384</v>
          </cell>
        </row>
        <row r="1336">
          <cell r="A1336" t="str">
            <v>Matheus Batista Figueiredo</v>
          </cell>
          <cell r="B1336">
            <v>37009765</v>
          </cell>
          <cell r="C1336">
            <v>20036496</v>
          </cell>
          <cell r="D1336">
            <v>44851</v>
          </cell>
        </row>
        <row r="1337">
          <cell r="A1337" t="str">
            <v>Matheus Joaquim Prado</v>
          </cell>
          <cell r="B1337">
            <v>37003802</v>
          </cell>
          <cell r="C1337">
            <v>20009678</v>
          </cell>
          <cell r="D1337">
            <v>43752</v>
          </cell>
        </row>
        <row r="1338">
          <cell r="A1338" t="str">
            <v>Gabriel Guilherme Rosa</v>
          </cell>
          <cell r="B1338">
            <v>37005540</v>
          </cell>
          <cell r="C1338">
            <v>20013578</v>
          </cell>
          <cell r="D1338">
            <v>44291</v>
          </cell>
        </row>
        <row r="1339">
          <cell r="A1339" t="str">
            <v>Edivaldo Pereira Dos Santos</v>
          </cell>
          <cell r="B1339">
            <v>37001997</v>
          </cell>
          <cell r="C1339">
            <v>20008948</v>
          </cell>
          <cell r="D1339">
            <v>42968</v>
          </cell>
        </row>
        <row r="1340">
          <cell r="A1340" t="str">
            <v>Guilherme Henrique Cavalcanti</v>
          </cell>
          <cell r="B1340">
            <v>37008670</v>
          </cell>
          <cell r="C1340">
            <v>20036620</v>
          </cell>
          <cell r="D1340">
            <v>44760</v>
          </cell>
        </row>
        <row r="1341">
          <cell r="A1341" t="str">
            <v>BRENO ROGERIO MIGLIORINI</v>
          </cell>
          <cell r="B1341">
            <v>37017138</v>
          </cell>
          <cell r="C1341">
            <v>20067699</v>
          </cell>
          <cell r="D1341">
            <v>45391</v>
          </cell>
        </row>
        <row r="1342">
          <cell r="A1342" t="str">
            <v>CLAUDIO LEITE SANCHEZ</v>
          </cell>
          <cell r="B1342">
            <v>37017143</v>
          </cell>
          <cell r="C1342">
            <v>20067706</v>
          </cell>
          <cell r="D1342">
            <v>45384</v>
          </cell>
        </row>
        <row r="1343">
          <cell r="A1343" t="str">
            <v>Joao Raphael Candido Giovanetti</v>
          </cell>
          <cell r="B1343">
            <v>37003365</v>
          </cell>
          <cell r="C1343">
            <v>20009347</v>
          </cell>
          <cell r="D1343">
            <v>43647</v>
          </cell>
        </row>
        <row r="1344">
          <cell r="A1344" t="str">
            <v>Renato Graciano</v>
          </cell>
          <cell r="B1344">
            <v>37010782</v>
          </cell>
          <cell r="C1344">
            <v>20041164</v>
          </cell>
          <cell r="D1344">
            <v>44942</v>
          </cell>
        </row>
        <row r="1345">
          <cell r="A1345" t="str">
            <v>Leandro Da Silva Argentino</v>
          </cell>
          <cell r="B1345">
            <v>37000844</v>
          </cell>
          <cell r="C1345">
            <v>20009474</v>
          </cell>
          <cell r="D1345">
            <v>40637</v>
          </cell>
        </row>
        <row r="1346">
          <cell r="A1346" t="str">
            <v>Guilherme Augusto Frizzi Silva</v>
          </cell>
          <cell r="B1346">
            <v>37012813</v>
          </cell>
          <cell r="C1346">
            <v>20051743</v>
          </cell>
          <cell r="D1346">
            <v>45083</v>
          </cell>
        </row>
        <row r="1347">
          <cell r="A1347" t="str">
            <v>Jose Ricardo Pereira</v>
          </cell>
          <cell r="B1347">
            <v>37004130</v>
          </cell>
          <cell r="C1347">
            <v>20008204</v>
          </cell>
          <cell r="D1347">
            <v>43843</v>
          </cell>
        </row>
        <row r="1348">
          <cell r="A1348" t="str">
            <v>Luiz Carlos Pimentel Ferreira</v>
          </cell>
          <cell r="B1348">
            <v>37014616</v>
          </cell>
          <cell r="C1348">
            <v>20059354</v>
          </cell>
          <cell r="D1348">
            <v>45188</v>
          </cell>
        </row>
        <row r="1349">
          <cell r="A1349" t="str">
            <v>Pedro Henrique Malavasi De Paula</v>
          </cell>
          <cell r="B1349">
            <v>37003807</v>
          </cell>
          <cell r="C1349">
            <v>20009779</v>
          </cell>
          <cell r="D1349">
            <v>43752</v>
          </cell>
        </row>
        <row r="1350">
          <cell r="A1350" t="str">
            <v>Letícia Aparecida Antonio de Oliveira</v>
          </cell>
          <cell r="B1350">
            <v>37017343</v>
          </cell>
          <cell r="C1350">
            <v>20069467</v>
          </cell>
          <cell r="D1350">
            <v>45419</v>
          </cell>
        </row>
        <row r="1351">
          <cell r="A1351" t="str">
            <v>Andreia Cristina Mantoan</v>
          </cell>
          <cell r="B1351">
            <v>37017364</v>
          </cell>
          <cell r="C1351">
            <v>20069488</v>
          </cell>
          <cell r="D1351">
            <v>45419</v>
          </cell>
        </row>
        <row r="1352">
          <cell r="A1352" t="str">
            <v>Rafael Antonio Da Silva</v>
          </cell>
          <cell r="B1352">
            <v>37017365</v>
          </cell>
          <cell r="C1352">
            <v>20069489</v>
          </cell>
          <cell r="D1352">
            <v>45419</v>
          </cell>
        </row>
        <row r="1353">
          <cell r="A1353" t="str">
            <v>LUIS FERNANDO MANOEL</v>
          </cell>
          <cell r="B1353">
            <v>37017377</v>
          </cell>
          <cell r="C1353">
            <v>20069522</v>
          </cell>
          <cell r="D1353">
            <v>45419</v>
          </cell>
        </row>
        <row r="1354">
          <cell r="A1354" t="str">
            <v>Hudson Juliano de Avila Lima</v>
          </cell>
          <cell r="B1354">
            <v>37017387</v>
          </cell>
          <cell r="C1354">
            <v>20069532</v>
          </cell>
          <cell r="D1354">
            <v>45419</v>
          </cell>
        </row>
        <row r="1355">
          <cell r="A1355" t="str">
            <v>Emelly de Souza Costa</v>
          </cell>
          <cell r="B1355">
            <v>37017380</v>
          </cell>
          <cell r="C1355">
            <v>20069525</v>
          </cell>
          <cell r="D1355">
            <v>45419</v>
          </cell>
        </row>
        <row r="1356">
          <cell r="A1356" t="str">
            <v>Marcio Henrique Giacomini</v>
          </cell>
          <cell r="B1356">
            <v>37017391</v>
          </cell>
          <cell r="C1356">
            <v>20069536</v>
          </cell>
          <cell r="D1356">
            <v>45419</v>
          </cell>
        </row>
        <row r="1357">
          <cell r="A1357" t="str">
            <v>Caio Fernando Martins</v>
          </cell>
          <cell r="B1357">
            <v>37017398</v>
          </cell>
          <cell r="C1357">
            <v>20069543</v>
          </cell>
          <cell r="D1357">
            <v>45419</v>
          </cell>
        </row>
        <row r="1358">
          <cell r="A1358" t="str">
            <v>Mateus Galli</v>
          </cell>
          <cell r="B1358">
            <v>37017399</v>
          </cell>
          <cell r="C1358">
            <v>20069544</v>
          </cell>
          <cell r="D1358">
            <v>45419</v>
          </cell>
        </row>
        <row r="1359">
          <cell r="A1359" t="str">
            <v>Leandro Monteiro da Silva</v>
          </cell>
          <cell r="B1359">
            <v>37017404</v>
          </cell>
          <cell r="C1359">
            <v>20069549</v>
          </cell>
          <cell r="D1359">
            <v>45419</v>
          </cell>
        </row>
        <row r="1360">
          <cell r="A1360" t="str">
            <v>Tatiele Vaz Vaz Rui</v>
          </cell>
          <cell r="B1360">
            <v>37017407</v>
          </cell>
          <cell r="C1360">
            <v>20069552</v>
          </cell>
          <cell r="D1360">
            <v>45419</v>
          </cell>
        </row>
        <row r="1361">
          <cell r="A1361" t="str">
            <v>Valdenice Lima Silva Silva Lima</v>
          </cell>
          <cell r="B1361">
            <v>37017435</v>
          </cell>
          <cell r="C1361">
            <v>20069580</v>
          </cell>
          <cell r="D1361">
            <v>45419</v>
          </cell>
        </row>
        <row r="1362">
          <cell r="A1362" t="str">
            <v>Allany Marcelino Rodrigues</v>
          </cell>
          <cell r="B1362">
            <v>37017447</v>
          </cell>
          <cell r="C1362">
            <v>20069592</v>
          </cell>
          <cell r="D1362">
            <v>45419</v>
          </cell>
        </row>
        <row r="1363">
          <cell r="A1363" t="str">
            <v>Paulo Sergio De Mattos Junior</v>
          </cell>
          <cell r="B1363">
            <v>37017463</v>
          </cell>
          <cell r="C1363">
            <v>20069606</v>
          </cell>
          <cell r="D1363">
            <v>45419</v>
          </cell>
        </row>
        <row r="1364">
          <cell r="A1364" t="str">
            <v>Luiz Fernando Novakowski Junior</v>
          </cell>
          <cell r="B1364">
            <v>37017517</v>
          </cell>
          <cell r="C1364">
            <v>20069661</v>
          </cell>
          <cell r="D1364">
            <v>45419</v>
          </cell>
        </row>
        <row r="1365">
          <cell r="A1365" t="str">
            <v>Julio Cesar Da Silva</v>
          </cell>
          <cell r="B1365">
            <v>37017523</v>
          </cell>
          <cell r="C1365">
            <v>20009434</v>
          </cell>
          <cell r="D1365">
            <v>45419</v>
          </cell>
        </row>
        <row r="1366">
          <cell r="A1366" t="str">
            <v>Fernando Henrique De Lima</v>
          </cell>
          <cell r="B1366">
            <v>37004786</v>
          </cell>
          <cell r="C1366">
            <v>20008084</v>
          </cell>
          <cell r="D1366">
            <v>44067</v>
          </cell>
        </row>
        <row r="1367">
          <cell r="A1367" t="str">
            <v>Luiz Eduardo Antonio Perez</v>
          </cell>
          <cell r="B1367">
            <v>37010570</v>
          </cell>
          <cell r="C1367">
            <v>20040423</v>
          </cell>
          <cell r="D1367">
            <v>44914</v>
          </cell>
        </row>
        <row r="1368">
          <cell r="A1368" t="str">
            <v>Ricardo Guasti Lopes</v>
          </cell>
          <cell r="B1368">
            <v>37004496</v>
          </cell>
          <cell r="C1368">
            <v>20008297</v>
          </cell>
          <cell r="D1368">
            <v>43906</v>
          </cell>
        </row>
        <row r="1369">
          <cell r="A1369" t="str">
            <v>Edson Eduardo Alves Nunes</v>
          </cell>
          <cell r="B1369">
            <v>37007233</v>
          </cell>
          <cell r="C1369">
            <v>20023031</v>
          </cell>
          <cell r="D1369">
            <v>44622</v>
          </cell>
        </row>
        <row r="1370">
          <cell r="A1370" t="str">
            <v>Felipe Correa Da Silva</v>
          </cell>
          <cell r="B1370">
            <v>37009829</v>
          </cell>
          <cell r="C1370">
            <v>20037108</v>
          </cell>
          <cell r="D1370">
            <v>44872</v>
          </cell>
        </row>
        <row r="1371">
          <cell r="A1371" t="str">
            <v>Marcio Jose Casemiro</v>
          </cell>
          <cell r="B1371">
            <v>37004295</v>
          </cell>
          <cell r="C1371">
            <v>20008231</v>
          </cell>
          <cell r="D1371">
            <v>43864</v>
          </cell>
        </row>
        <row r="1372">
          <cell r="A1372" t="str">
            <v>Hugo Campos De Magalhaes</v>
          </cell>
          <cell r="B1372">
            <v>37005617</v>
          </cell>
          <cell r="C1372">
            <v>20013926</v>
          </cell>
          <cell r="D1372">
            <v>44319</v>
          </cell>
        </row>
        <row r="1373">
          <cell r="A1373" t="str">
            <v>Vagner Morales</v>
          </cell>
          <cell r="B1373">
            <v>37000121</v>
          </cell>
          <cell r="C1373">
            <v>20009980</v>
          </cell>
          <cell r="D1373">
            <v>34639</v>
          </cell>
        </row>
        <row r="1374">
          <cell r="A1374" t="str">
            <v>Caique Martins Glicerio Augusto</v>
          </cell>
          <cell r="B1374">
            <v>37012911</v>
          </cell>
          <cell r="C1374">
            <v>20051999</v>
          </cell>
          <cell r="D1374">
            <v>45090</v>
          </cell>
        </row>
        <row r="1375">
          <cell r="A1375" t="str">
            <v>Breno Otavio Marchioli</v>
          </cell>
          <cell r="B1375">
            <v>37003750</v>
          </cell>
          <cell r="C1375">
            <v>20008708</v>
          </cell>
          <cell r="D1375">
            <v>43752</v>
          </cell>
        </row>
        <row r="1376">
          <cell r="A1376" t="str">
            <v>Alessandro Rogerio Pasqualinoto</v>
          </cell>
          <cell r="B1376">
            <v>37007804</v>
          </cell>
          <cell r="C1376">
            <v>20026011</v>
          </cell>
          <cell r="D1376">
            <v>44704</v>
          </cell>
        </row>
        <row r="1377">
          <cell r="A1377" t="str">
            <v>Sergio Antonio Silveira</v>
          </cell>
          <cell r="B1377">
            <v>37014325</v>
          </cell>
          <cell r="C1377">
            <v>20058426</v>
          </cell>
          <cell r="D1377">
            <v>45174</v>
          </cell>
        </row>
        <row r="1378">
          <cell r="A1378" t="str">
            <v>Rafaela Oliveira Pereira</v>
          </cell>
          <cell r="B1378">
            <v>37014313</v>
          </cell>
          <cell r="C1378">
            <v>20058414</v>
          </cell>
          <cell r="D1378">
            <v>45174</v>
          </cell>
        </row>
        <row r="1379">
          <cell r="A1379" t="str">
            <v>Camila Sayuri Hirota</v>
          </cell>
          <cell r="B1379">
            <v>37014857</v>
          </cell>
          <cell r="C1379">
            <v>20060407</v>
          </cell>
          <cell r="D1379">
            <v>45209</v>
          </cell>
        </row>
        <row r="1380">
          <cell r="A1380" t="str">
            <v>Jameson Hirxlehor Nogueira Santana Dos S</v>
          </cell>
          <cell r="B1380">
            <v>37009171</v>
          </cell>
          <cell r="C1380">
            <v>20031937</v>
          </cell>
          <cell r="D1380">
            <v>44795</v>
          </cell>
        </row>
        <row r="1381">
          <cell r="A1381" t="str">
            <v>Bruno Ismael da Silva Schneider</v>
          </cell>
          <cell r="B1381">
            <v>37014943</v>
          </cell>
          <cell r="C1381">
            <v>20060549</v>
          </cell>
          <cell r="D1381">
            <v>45216</v>
          </cell>
        </row>
        <row r="1382">
          <cell r="A1382" t="str">
            <v>Heitor Murilo Angelico</v>
          </cell>
          <cell r="B1382">
            <v>37003776</v>
          </cell>
          <cell r="C1382">
            <v>20009228</v>
          </cell>
          <cell r="D1382">
            <v>43752</v>
          </cell>
        </row>
        <row r="1383">
          <cell r="A1383" t="str">
            <v>Romulo Rodrigues De Andrade Santos</v>
          </cell>
          <cell r="B1383">
            <v>37009762</v>
          </cell>
          <cell r="C1383">
            <v>20036462</v>
          </cell>
          <cell r="D1383">
            <v>44851</v>
          </cell>
        </row>
        <row r="1384">
          <cell r="A1384" t="str">
            <v>Ulisses Pavanelli De Araujo Junior</v>
          </cell>
          <cell r="B1384">
            <v>37009770</v>
          </cell>
          <cell r="C1384">
            <v>20036490</v>
          </cell>
          <cell r="D1384">
            <v>44851</v>
          </cell>
        </row>
        <row r="1385">
          <cell r="A1385" t="str">
            <v>Paulo Henrique De Oliveira</v>
          </cell>
          <cell r="B1385">
            <v>37900789</v>
          </cell>
          <cell r="C1385">
            <v>20069933</v>
          </cell>
          <cell r="D1385" t="str">
            <v>00/01/1900</v>
          </cell>
        </row>
        <row r="1386">
          <cell r="A1386" t="str">
            <v>Nathalia Francisco Correia</v>
          </cell>
          <cell r="B1386">
            <v>37900790</v>
          </cell>
          <cell r="C1386">
            <v>20069935</v>
          </cell>
          <cell r="D1386" t="str">
            <v>00/01/1900</v>
          </cell>
        </row>
        <row r="1387">
          <cell r="A1387" t="str">
            <v>Maria Fernanda Souza Reis Rodrigues</v>
          </cell>
          <cell r="B1387">
            <v>37005121</v>
          </cell>
          <cell r="C1387">
            <v>20011589</v>
          </cell>
          <cell r="D1387">
            <v>44200</v>
          </cell>
        </row>
        <row r="1388">
          <cell r="A1388" t="str">
            <v>Bernardo Helou Khalil</v>
          </cell>
          <cell r="B1388">
            <v>37009781</v>
          </cell>
          <cell r="C1388">
            <v>20036498</v>
          </cell>
          <cell r="D1388">
            <v>44851</v>
          </cell>
        </row>
        <row r="1389">
          <cell r="A1389" t="str">
            <v>Karen Bento Badesso</v>
          </cell>
          <cell r="B1389">
            <v>37009756</v>
          </cell>
          <cell r="C1389">
            <v>20036474</v>
          </cell>
          <cell r="D1389">
            <v>44851</v>
          </cell>
        </row>
        <row r="1390">
          <cell r="A1390" t="str">
            <v>Natalia Rosa Dos Santos</v>
          </cell>
          <cell r="B1390">
            <v>37009755</v>
          </cell>
          <cell r="C1390">
            <v>20036475</v>
          </cell>
          <cell r="D1390">
            <v>44851</v>
          </cell>
        </row>
        <row r="1391">
          <cell r="A1391" t="str">
            <v>Cleoerson de Oliveira Barreto</v>
          </cell>
          <cell r="B1391">
            <v>37012606</v>
          </cell>
          <cell r="C1391">
            <v>20051008</v>
          </cell>
          <cell r="D1391">
            <v>45069</v>
          </cell>
        </row>
        <row r="1392">
          <cell r="A1392" t="str">
            <v>Marcela Caovila Carvalho Pinto</v>
          </cell>
          <cell r="B1392">
            <v>37009761</v>
          </cell>
          <cell r="C1392">
            <v>20036482</v>
          </cell>
          <cell r="D1392">
            <v>44851</v>
          </cell>
        </row>
        <row r="1393">
          <cell r="A1393" t="str">
            <v>Matheus Henrique Fogaca De Camargo</v>
          </cell>
          <cell r="B1393">
            <v>37009753</v>
          </cell>
          <cell r="C1393">
            <v>20036478</v>
          </cell>
          <cell r="D1393">
            <v>44851</v>
          </cell>
        </row>
        <row r="1394">
          <cell r="A1394" t="str">
            <v>VICTOR GATAVESKAS BOAVENTURA</v>
          </cell>
          <cell r="B1394">
            <v>37900792</v>
          </cell>
          <cell r="C1394">
            <v>20069986</v>
          </cell>
          <cell r="D1394" t="str">
            <v>00/01/1900</v>
          </cell>
        </row>
        <row r="1395">
          <cell r="A1395" t="str">
            <v>Rafael Teixeira De Campos</v>
          </cell>
          <cell r="B1395">
            <v>37900793</v>
          </cell>
          <cell r="C1395">
            <v>20069988</v>
          </cell>
          <cell r="D1395" t="str">
            <v>00/01/1900</v>
          </cell>
        </row>
        <row r="1396">
          <cell r="A1396" t="str">
            <v>Moises Silva De Franca</v>
          </cell>
          <cell r="B1396">
            <v>37900794</v>
          </cell>
          <cell r="C1396">
            <v>20069989</v>
          </cell>
          <cell r="D1396" t="str">
            <v>00/01/1900</v>
          </cell>
        </row>
        <row r="1397">
          <cell r="A1397" t="str">
            <v>Marcos Vinicius Afonso Junior</v>
          </cell>
          <cell r="B1397">
            <v>37900795</v>
          </cell>
          <cell r="C1397">
            <v>20069991</v>
          </cell>
          <cell r="D1397" t="str">
            <v>00/01/1900</v>
          </cell>
        </row>
        <row r="1398">
          <cell r="A1398" t="str">
            <v>Marcos Rogério Gibeline  Da Costa</v>
          </cell>
          <cell r="B1398">
            <v>37900796</v>
          </cell>
          <cell r="C1398">
            <v>20069992</v>
          </cell>
          <cell r="D1398" t="str">
            <v>00/01/1900</v>
          </cell>
        </row>
        <row r="1399">
          <cell r="A1399" t="str">
            <v>Iara Ferreira de Oliveira</v>
          </cell>
          <cell r="B1399">
            <v>37014735</v>
          </cell>
          <cell r="C1399">
            <v>20059819</v>
          </cell>
          <cell r="D1399">
            <v>45202</v>
          </cell>
        </row>
        <row r="1400">
          <cell r="A1400" t="str">
            <v>Thays Silva Lima</v>
          </cell>
          <cell r="B1400">
            <v>37017606</v>
          </cell>
          <cell r="C1400">
            <v>20069987</v>
          </cell>
          <cell r="D1400" t="str">
            <v>00/01/1900</v>
          </cell>
        </row>
        <row r="1401">
          <cell r="A1401" t="str">
            <v>Matheus Batista Felipe Batista Bueno</v>
          </cell>
          <cell r="B1401">
            <v>37017607</v>
          </cell>
          <cell r="C1401">
            <v>20069990</v>
          </cell>
          <cell r="D1401" t="str">
            <v>00/01/1900</v>
          </cell>
        </row>
        <row r="1402">
          <cell r="A1402" t="str">
            <v>Marcos Paulo Laurentino</v>
          </cell>
          <cell r="B1402">
            <v>37900797</v>
          </cell>
          <cell r="C1402">
            <v>20069993</v>
          </cell>
          <cell r="D1402" t="str">
            <v>00/01/1900</v>
          </cell>
        </row>
        <row r="1403">
          <cell r="A1403" t="str">
            <v>Luis Fernando Do Prado Emidio</v>
          </cell>
          <cell r="B1403">
            <v>37900798</v>
          </cell>
          <cell r="C1403">
            <v>20069994</v>
          </cell>
          <cell r="D1403" t="str">
            <v>00/01/1900</v>
          </cell>
        </row>
        <row r="1404">
          <cell r="A1404" t="str">
            <v>Leonardo De Campos Galicia</v>
          </cell>
          <cell r="B1404">
            <v>37900799</v>
          </cell>
          <cell r="C1404">
            <v>20069995</v>
          </cell>
          <cell r="D1404" t="str">
            <v>00/01/1900</v>
          </cell>
        </row>
        <row r="1405">
          <cell r="A1405" t="str">
            <v>Victor Gabryel De Salles Justino</v>
          </cell>
          <cell r="B1405">
            <v>37900800</v>
          </cell>
          <cell r="C1405">
            <v>20069998</v>
          </cell>
          <cell r="D1405" t="str">
            <v>00/01/1900</v>
          </cell>
        </row>
        <row r="1406">
          <cell r="A1406" t="str">
            <v>Darciana Leal</v>
          </cell>
          <cell r="B1406">
            <v>37900804</v>
          </cell>
          <cell r="C1406">
            <v>20070004</v>
          </cell>
          <cell r="D1406" t="str">
            <v>00/01/1900</v>
          </cell>
        </row>
        <row r="1407">
          <cell r="A1407" t="str">
            <v>Joana Freire Da Silva Santos</v>
          </cell>
          <cell r="B1407">
            <v>37900806</v>
          </cell>
          <cell r="C1407">
            <v>20070006</v>
          </cell>
          <cell r="D1407" t="str">
            <v>00/01/1900</v>
          </cell>
        </row>
        <row r="1408">
          <cell r="A1408" t="str">
            <v>Edilson Santos De Souza</v>
          </cell>
          <cell r="B1408">
            <v>37900808</v>
          </cell>
          <cell r="C1408">
            <v>20070008</v>
          </cell>
          <cell r="D1408" t="str">
            <v>00/01/1900</v>
          </cell>
        </row>
        <row r="1409">
          <cell r="A1409" t="str">
            <v>Camila Aparecida Lino Matias</v>
          </cell>
          <cell r="B1409">
            <v>37900814</v>
          </cell>
          <cell r="C1409">
            <v>20070017</v>
          </cell>
          <cell r="D1409" t="str">
            <v>00/01/1900</v>
          </cell>
        </row>
        <row r="1410">
          <cell r="A1410" t="str">
            <v>Vitor Martins Sarzi</v>
          </cell>
          <cell r="B1410">
            <v>37900801</v>
          </cell>
          <cell r="C1410">
            <v>20069999</v>
          </cell>
          <cell r="D1410" t="str">
            <v>00/01/1900</v>
          </cell>
        </row>
        <row r="1411">
          <cell r="A1411" t="str">
            <v>Juliane Cristiane Novaes Narcizo</v>
          </cell>
          <cell r="B1411">
            <v>37017608</v>
          </cell>
          <cell r="C1411">
            <v>20070001</v>
          </cell>
          <cell r="D1411" t="str">
            <v>00/01/1900</v>
          </cell>
        </row>
        <row r="1412">
          <cell r="A1412" t="str">
            <v>Erick Fitipaldi Luiz</v>
          </cell>
          <cell r="B1412">
            <v>37017609</v>
          </cell>
          <cell r="C1412">
            <v>20070002</v>
          </cell>
          <cell r="D1412" t="str">
            <v>00/01/1900</v>
          </cell>
        </row>
        <row r="1413">
          <cell r="A1413" t="str">
            <v>Gabriel Nicioli</v>
          </cell>
          <cell r="B1413">
            <v>37900807</v>
          </cell>
          <cell r="C1413">
            <v>20070007</v>
          </cell>
          <cell r="D1413" t="str">
            <v>00/01/1900</v>
          </cell>
        </row>
        <row r="1414">
          <cell r="A1414" t="str">
            <v>Cristiane Gomes</v>
          </cell>
          <cell r="B1414">
            <v>37017610</v>
          </cell>
          <cell r="C1414">
            <v>20070009</v>
          </cell>
          <cell r="D1414" t="str">
            <v>00/01/1900</v>
          </cell>
        </row>
        <row r="1415">
          <cell r="A1415" t="str">
            <v>Jessica Andressa Marrega</v>
          </cell>
          <cell r="B1415">
            <v>37900809</v>
          </cell>
          <cell r="C1415">
            <v>20070010</v>
          </cell>
          <cell r="D1415" t="str">
            <v>00/01/1900</v>
          </cell>
        </row>
        <row r="1416">
          <cell r="A1416" t="str">
            <v>Gustavo Silva</v>
          </cell>
          <cell r="B1416">
            <v>37017611</v>
          </cell>
          <cell r="C1416">
            <v>20070011</v>
          </cell>
          <cell r="D1416" t="str">
            <v>00/01/1900</v>
          </cell>
        </row>
        <row r="1417">
          <cell r="A1417" t="str">
            <v>Victória Flávia Scaliante</v>
          </cell>
          <cell r="B1417">
            <v>37900811</v>
          </cell>
          <cell r="C1417">
            <v>20070013</v>
          </cell>
          <cell r="D1417" t="str">
            <v>00/01/1900</v>
          </cell>
        </row>
        <row r="1418">
          <cell r="A1418" t="str">
            <v>Higor Henrique De Oliveira Gea</v>
          </cell>
          <cell r="B1418">
            <v>37900812</v>
          </cell>
          <cell r="C1418">
            <v>20070014</v>
          </cell>
          <cell r="D1418" t="str">
            <v>00/01/1900</v>
          </cell>
        </row>
        <row r="1419">
          <cell r="A1419" t="str">
            <v>Cleyton Jesus Silva Nascimento</v>
          </cell>
          <cell r="B1419">
            <v>37900813</v>
          </cell>
          <cell r="C1419">
            <v>20070016</v>
          </cell>
          <cell r="D1419" t="str">
            <v>00/01/1900</v>
          </cell>
        </row>
        <row r="1420">
          <cell r="A1420" t="str">
            <v>Flavia Fernandes Rodrigues</v>
          </cell>
          <cell r="B1420">
            <v>37017613</v>
          </cell>
          <cell r="C1420">
            <v>20070021</v>
          </cell>
          <cell r="D1420" t="str">
            <v>00/01/1900</v>
          </cell>
        </row>
        <row r="1421">
          <cell r="A1421" t="str">
            <v>Bruno Felipe Souza Silva</v>
          </cell>
          <cell r="B1421">
            <v>37900821</v>
          </cell>
          <cell r="C1421">
            <v>20070025</v>
          </cell>
          <cell r="D1421" t="str">
            <v>00/01/1900</v>
          </cell>
        </row>
        <row r="1422">
          <cell r="A1422" t="str">
            <v>Carlos Eduardo Torres De Souza</v>
          </cell>
          <cell r="B1422">
            <v>37900815</v>
          </cell>
          <cell r="C1422">
            <v>20070018</v>
          </cell>
          <cell r="D1422" t="str">
            <v>00/01/1900</v>
          </cell>
        </row>
        <row r="1423">
          <cell r="A1423" t="str">
            <v>Eulalian Angelica De Oliveira</v>
          </cell>
          <cell r="B1423">
            <v>37900818</v>
          </cell>
          <cell r="C1423">
            <v>20070022</v>
          </cell>
          <cell r="D1423" t="str">
            <v>00/01/1900</v>
          </cell>
        </row>
        <row r="1424">
          <cell r="A1424" t="str">
            <v>Crislei Joana Cordeiro</v>
          </cell>
          <cell r="B1424">
            <v>37900819</v>
          </cell>
          <cell r="C1424">
            <v>20070023</v>
          </cell>
          <cell r="D1424" t="str">
            <v>00/01/1900</v>
          </cell>
        </row>
        <row r="1425">
          <cell r="A1425" t="str">
            <v>Amanda Cristina Tiburtino Costa</v>
          </cell>
          <cell r="B1425">
            <v>37900822</v>
          </cell>
          <cell r="C1425">
            <v>20070026</v>
          </cell>
          <cell r="D1425" t="str">
            <v>00/01/1900</v>
          </cell>
        </row>
        <row r="1426">
          <cell r="A1426" t="str">
            <v>Milena Cheque Da Silva</v>
          </cell>
          <cell r="B1426">
            <v>37900823</v>
          </cell>
          <cell r="C1426">
            <v>20070027</v>
          </cell>
          <cell r="D1426" t="str">
            <v>00/01/1900</v>
          </cell>
        </row>
        <row r="1427">
          <cell r="A1427" t="str">
            <v>Felipe Diniz</v>
          </cell>
          <cell r="B1427">
            <v>37900824</v>
          </cell>
          <cell r="C1427">
            <v>20070028</v>
          </cell>
          <cell r="D1427" t="str">
            <v>00/01/1900</v>
          </cell>
        </row>
        <row r="1428">
          <cell r="A1428" t="str">
            <v>Carolina Freitas de Moura</v>
          </cell>
          <cell r="B1428">
            <v>37017614</v>
          </cell>
          <cell r="C1428">
            <v>20070029</v>
          </cell>
          <cell r="D1428" t="str">
            <v>00/01/1900</v>
          </cell>
        </row>
        <row r="1429">
          <cell r="A1429" t="str">
            <v>Daniele Cristiane Da Costa e Silva</v>
          </cell>
          <cell r="B1429">
            <v>37017615</v>
          </cell>
          <cell r="C1429">
            <v>20070030</v>
          </cell>
          <cell r="D1429" t="str">
            <v>00/01/1900</v>
          </cell>
        </row>
        <row r="1430">
          <cell r="A1430" t="str">
            <v>Glauco Ferro Leal</v>
          </cell>
          <cell r="B1430">
            <v>37002848</v>
          </cell>
          <cell r="C1430">
            <v>20009191</v>
          </cell>
          <cell r="D1430">
            <v>43479</v>
          </cell>
        </row>
        <row r="1431">
          <cell r="A1431" t="str">
            <v>Mateus Mamoni Rosseto</v>
          </cell>
          <cell r="B1431">
            <v>37004299</v>
          </cell>
          <cell r="C1431">
            <v>20008248</v>
          </cell>
          <cell r="D1431">
            <v>43864</v>
          </cell>
        </row>
        <row r="1432">
          <cell r="A1432" t="str">
            <v>Nicoly Aparecida Aroca</v>
          </cell>
          <cell r="B1432">
            <v>37017616</v>
          </cell>
          <cell r="C1432">
            <v>20044506</v>
          </cell>
          <cell r="D1432">
            <v>45419</v>
          </cell>
        </row>
        <row r="1433">
          <cell r="A1433" t="str">
            <v>Ingrid Sanches Almeida</v>
          </cell>
          <cell r="B1433">
            <v>37900825</v>
          </cell>
          <cell r="C1433">
            <v>20070051</v>
          </cell>
          <cell r="D1433" t="str">
            <v>00/01/1900</v>
          </cell>
        </row>
        <row r="1434">
          <cell r="A1434" t="str">
            <v>Everaldo Do Amaral</v>
          </cell>
          <cell r="B1434">
            <v>37000514</v>
          </cell>
          <cell r="C1434">
            <v>20009027</v>
          </cell>
          <cell r="D1434">
            <v>39146</v>
          </cell>
        </row>
        <row r="1435">
          <cell r="A1435" t="str">
            <v>Raquel Bonella Paes</v>
          </cell>
          <cell r="B1435">
            <v>37015028</v>
          </cell>
          <cell r="C1435">
            <v>20060832</v>
          </cell>
          <cell r="D1435" t="str">
            <v>00/01/1900</v>
          </cell>
        </row>
        <row r="1436">
          <cell r="A1436" t="str">
            <v>Otoniel Balbino Do Nascimento</v>
          </cell>
          <cell r="B1436">
            <v>37017684</v>
          </cell>
          <cell r="C1436">
            <v>20008263</v>
          </cell>
          <cell r="D1436">
            <v>45433</v>
          </cell>
        </row>
        <row r="1437">
          <cell r="A1437" t="str">
            <v>Danillo Kaiki Nishizima</v>
          </cell>
          <cell r="B1437">
            <v>37017711</v>
          </cell>
          <cell r="C1437">
            <v>20070337</v>
          </cell>
          <cell r="D1437">
            <v>45433</v>
          </cell>
        </row>
        <row r="1438">
          <cell r="A1438" t="str">
            <v>Ailton Ricardo Ravanha da silva</v>
          </cell>
          <cell r="B1438">
            <v>37017731</v>
          </cell>
          <cell r="C1438">
            <v>20070365</v>
          </cell>
          <cell r="D1438">
            <v>45433</v>
          </cell>
        </row>
        <row r="1439">
          <cell r="A1439" t="str">
            <v>Paulo Ricardo de Souza</v>
          </cell>
          <cell r="B1439">
            <v>37900838</v>
          </cell>
          <cell r="C1439">
            <v>20070418</v>
          </cell>
          <cell r="D1439">
            <v>45433</v>
          </cell>
        </row>
        <row r="1440">
          <cell r="A1440" t="str">
            <v>Paola Rodrigues De Pontes</v>
          </cell>
          <cell r="B1440">
            <v>37900839</v>
          </cell>
          <cell r="C1440">
            <v>20070419</v>
          </cell>
          <cell r="D1440">
            <v>45433</v>
          </cell>
        </row>
        <row r="1441">
          <cell r="A1441" t="str">
            <v>João Pedro Bento Soares</v>
          </cell>
          <cell r="B1441">
            <v>37900840</v>
          </cell>
          <cell r="C1441">
            <v>20070420</v>
          </cell>
          <cell r="D1441">
            <v>45433</v>
          </cell>
        </row>
        <row r="1442">
          <cell r="A1442" t="str">
            <v>Giovanna Patrocinio Casimira</v>
          </cell>
          <cell r="B1442">
            <v>37900846</v>
          </cell>
          <cell r="C1442">
            <v>20070426</v>
          </cell>
          <cell r="D1442">
            <v>45433</v>
          </cell>
        </row>
        <row r="1443">
          <cell r="A1443" t="str">
            <v>Gabriela Vitória Da Silva</v>
          </cell>
          <cell r="B1443">
            <v>37900847</v>
          </cell>
          <cell r="C1443">
            <v>20070428</v>
          </cell>
          <cell r="D1443">
            <v>45433</v>
          </cell>
        </row>
        <row r="1444">
          <cell r="A1444" t="str">
            <v>Luisa de Moraes Totino</v>
          </cell>
          <cell r="B1444">
            <v>37900829</v>
          </cell>
          <cell r="C1444">
            <v>20049693</v>
          </cell>
          <cell r="D1444">
            <v>45433</v>
          </cell>
        </row>
        <row r="1445">
          <cell r="A1445" t="str">
            <v>Maisa Analus Da Mota</v>
          </cell>
          <cell r="B1445">
            <v>37900830</v>
          </cell>
          <cell r="C1445">
            <v>20070409</v>
          </cell>
          <cell r="D1445">
            <v>45433</v>
          </cell>
        </row>
        <row r="1446">
          <cell r="A1446" t="str">
            <v>Luan Henrique Ambrosio</v>
          </cell>
          <cell r="B1446">
            <v>37900831</v>
          </cell>
          <cell r="C1446">
            <v>20070410</v>
          </cell>
          <cell r="D1446">
            <v>45433</v>
          </cell>
        </row>
        <row r="1447">
          <cell r="A1447" t="str">
            <v>Lorena Leoncio De Azevedo</v>
          </cell>
          <cell r="B1447">
            <v>37900833</v>
          </cell>
          <cell r="C1447">
            <v>20070412</v>
          </cell>
          <cell r="D1447">
            <v>45433</v>
          </cell>
        </row>
        <row r="1448">
          <cell r="A1448" t="str">
            <v>KAYENE FERREIRA DE OLIVEIRA</v>
          </cell>
          <cell r="B1448">
            <v>37900835</v>
          </cell>
          <cell r="C1448">
            <v>20070415</v>
          </cell>
          <cell r="D1448">
            <v>45433</v>
          </cell>
        </row>
        <row r="1449">
          <cell r="A1449" t="str">
            <v>Kailane Sousa Borges</v>
          </cell>
          <cell r="B1449">
            <v>37900837</v>
          </cell>
          <cell r="C1449">
            <v>20070417</v>
          </cell>
          <cell r="D1449">
            <v>45433</v>
          </cell>
        </row>
        <row r="1450">
          <cell r="A1450" t="str">
            <v>Mariana Rove Ferreira</v>
          </cell>
          <cell r="B1450">
            <v>37900841</v>
          </cell>
          <cell r="C1450">
            <v>20070421</v>
          </cell>
          <cell r="D1450">
            <v>45433</v>
          </cell>
        </row>
        <row r="1451">
          <cell r="A1451" t="str">
            <v>Maria Vitoria Boato Goncalves</v>
          </cell>
          <cell r="B1451">
            <v>37900842</v>
          </cell>
          <cell r="C1451">
            <v>20070422</v>
          </cell>
          <cell r="D1451">
            <v>45433</v>
          </cell>
        </row>
        <row r="1452">
          <cell r="A1452" t="str">
            <v>Ingrid Correia Costa</v>
          </cell>
          <cell r="B1452">
            <v>37900843</v>
          </cell>
          <cell r="C1452">
            <v>20070423</v>
          </cell>
          <cell r="D1452">
            <v>45433</v>
          </cell>
        </row>
        <row r="1453">
          <cell r="A1453" t="str">
            <v>Maria Letícia Ribeiro De Oliveira</v>
          </cell>
          <cell r="B1453">
            <v>37900844</v>
          </cell>
          <cell r="C1453">
            <v>20070424</v>
          </cell>
          <cell r="D1453">
            <v>45433</v>
          </cell>
        </row>
        <row r="1454">
          <cell r="A1454" t="str">
            <v>Henrique Luquis Da Silva</v>
          </cell>
          <cell r="B1454">
            <v>37900845</v>
          </cell>
          <cell r="C1454">
            <v>20070425</v>
          </cell>
          <cell r="D1454">
            <v>45433</v>
          </cell>
        </row>
        <row r="1455">
          <cell r="A1455" t="str">
            <v>Felipe Reinhold Dos Santos</v>
          </cell>
          <cell r="B1455">
            <v>37017751</v>
          </cell>
          <cell r="C1455">
            <v>20040249</v>
          </cell>
          <cell r="D1455">
            <v>45433</v>
          </cell>
        </row>
        <row r="1456">
          <cell r="A1456" t="str">
            <v>Gabriel Artur Moretto Da Silva</v>
          </cell>
          <cell r="B1456">
            <v>37900852</v>
          </cell>
          <cell r="C1456">
            <v>20070443</v>
          </cell>
          <cell r="D1456">
            <v>45433</v>
          </cell>
        </row>
        <row r="1457">
          <cell r="A1457" t="str">
            <v>Maria Eduarda Dias De Paula</v>
          </cell>
          <cell r="B1457">
            <v>37900848</v>
          </cell>
          <cell r="C1457">
            <v>20070429</v>
          </cell>
          <cell r="D1457">
            <v>45433</v>
          </cell>
        </row>
        <row r="1458">
          <cell r="A1458" t="str">
            <v>Maria Eduarda Bispo do Nascimento</v>
          </cell>
          <cell r="B1458">
            <v>37900849</v>
          </cell>
          <cell r="C1458">
            <v>20070430</v>
          </cell>
          <cell r="D1458">
            <v>45433</v>
          </cell>
        </row>
        <row r="1459">
          <cell r="A1459" t="str">
            <v>Gabriel Borges da Silva</v>
          </cell>
          <cell r="B1459">
            <v>37900850</v>
          </cell>
          <cell r="C1459">
            <v>20070431</v>
          </cell>
          <cell r="D1459">
            <v>45433</v>
          </cell>
        </row>
        <row r="1460">
          <cell r="A1460" t="str">
            <v>Evelin Stefany Batista Barbosa</v>
          </cell>
          <cell r="B1460">
            <v>37017750</v>
          </cell>
          <cell r="C1460">
            <v>20070432</v>
          </cell>
          <cell r="D1460">
            <v>45433</v>
          </cell>
        </row>
        <row r="1461">
          <cell r="A1461" t="str">
            <v>Fernando Azevedo Lontra</v>
          </cell>
          <cell r="B1461">
            <v>37900851</v>
          </cell>
          <cell r="C1461">
            <v>20070433</v>
          </cell>
          <cell r="D1461">
            <v>45433</v>
          </cell>
        </row>
        <row r="1462">
          <cell r="A1462" t="str">
            <v>Raissa Carolina Oliveira Dos Santos</v>
          </cell>
          <cell r="B1462">
            <v>37900853</v>
          </cell>
          <cell r="C1462">
            <v>20070444</v>
          </cell>
          <cell r="D1462">
            <v>45433</v>
          </cell>
        </row>
        <row r="1463">
          <cell r="A1463" t="str">
            <v>Rian Alves Rodrigues</v>
          </cell>
          <cell r="B1463">
            <v>37900854</v>
          </cell>
          <cell r="C1463">
            <v>20070445</v>
          </cell>
          <cell r="D1463">
            <v>45433</v>
          </cell>
        </row>
        <row r="1464">
          <cell r="A1464" t="str">
            <v>Vitor De Oliveira Correa</v>
          </cell>
          <cell r="B1464">
            <v>37900855</v>
          </cell>
          <cell r="C1464">
            <v>20070446</v>
          </cell>
          <cell r="D1464">
            <v>45433</v>
          </cell>
        </row>
        <row r="1465">
          <cell r="A1465" t="str">
            <v>Eduardo Felipe De Assis Angelico</v>
          </cell>
          <cell r="B1465">
            <v>37017754</v>
          </cell>
          <cell r="C1465">
            <v>20070448</v>
          </cell>
          <cell r="D1465">
            <v>45433</v>
          </cell>
        </row>
        <row r="1466">
          <cell r="A1466" t="str">
            <v>Allan Cleiton Da Silva</v>
          </cell>
          <cell r="B1466">
            <v>37017755</v>
          </cell>
          <cell r="C1466">
            <v>20070449</v>
          </cell>
          <cell r="D1466">
            <v>45433</v>
          </cell>
        </row>
        <row r="1467">
          <cell r="A1467" t="str">
            <v>Cauan Luiz Vicentini</v>
          </cell>
          <cell r="B1467">
            <v>37017758</v>
          </cell>
          <cell r="C1467">
            <v>20070452</v>
          </cell>
          <cell r="D1467">
            <v>45433</v>
          </cell>
        </row>
        <row r="1468">
          <cell r="A1468" t="str">
            <v>Bruna Maria Rilichias da Silva</v>
          </cell>
          <cell r="B1468">
            <v>37017760</v>
          </cell>
          <cell r="C1468">
            <v>20070454</v>
          </cell>
          <cell r="D1468">
            <v>45433</v>
          </cell>
        </row>
        <row r="1469">
          <cell r="A1469" t="str">
            <v>Aline Alves dos Santos</v>
          </cell>
          <cell r="B1469">
            <v>37017765</v>
          </cell>
          <cell r="C1469">
            <v>20070459</v>
          </cell>
          <cell r="D1469">
            <v>45433</v>
          </cell>
        </row>
        <row r="1470">
          <cell r="A1470" t="str">
            <v>Pedro Henrique Aparecido Rodrigues</v>
          </cell>
          <cell r="B1470">
            <v>37900856</v>
          </cell>
          <cell r="C1470">
            <v>20070461</v>
          </cell>
          <cell r="D1470">
            <v>45433</v>
          </cell>
        </row>
        <row r="1471">
          <cell r="A1471" t="str">
            <v>Emily Vitoria Gomes Dos Santos</v>
          </cell>
          <cell r="B1471">
            <v>37017753</v>
          </cell>
          <cell r="C1471">
            <v>20070447</v>
          </cell>
          <cell r="D1471">
            <v>45433</v>
          </cell>
        </row>
        <row r="1472">
          <cell r="A1472" t="str">
            <v>Eduarda Vitoria Teixeira Carneiro</v>
          </cell>
          <cell r="B1472">
            <v>37017756</v>
          </cell>
          <cell r="C1472">
            <v>20070450</v>
          </cell>
          <cell r="D1472">
            <v>45433</v>
          </cell>
        </row>
        <row r="1473">
          <cell r="A1473" t="str">
            <v>Daniel Gonçalves Do Carmo</v>
          </cell>
          <cell r="B1473">
            <v>37017757</v>
          </cell>
          <cell r="C1473">
            <v>20070451</v>
          </cell>
          <cell r="D1473">
            <v>45433</v>
          </cell>
        </row>
        <row r="1474">
          <cell r="A1474" t="str">
            <v>Bianca Santos Barbosa</v>
          </cell>
          <cell r="B1474">
            <v>37017761</v>
          </cell>
          <cell r="C1474">
            <v>20070455</v>
          </cell>
          <cell r="D1474">
            <v>45433</v>
          </cell>
        </row>
        <row r="1475">
          <cell r="A1475" t="str">
            <v>Barbara Romualdo Da Cruz</v>
          </cell>
          <cell r="B1475">
            <v>37017763</v>
          </cell>
          <cell r="C1475">
            <v>20070457</v>
          </cell>
          <cell r="D1475">
            <v>45433</v>
          </cell>
        </row>
        <row r="1476">
          <cell r="A1476" t="str">
            <v>Ana Paula Bocardo</v>
          </cell>
          <cell r="B1476">
            <v>37017764</v>
          </cell>
          <cell r="C1476">
            <v>20070458</v>
          </cell>
          <cell r="D1476">
            <v>45433</v>
          </cell>
        </row>
        <row r="1477">
          <cell r="A1477" t="str">
            <v>Adrian Matheus Dos Santos Araujo</v>
          </cell>
          <cell r="B1477">
            <v>37017766</v>
          </cell>
          <cell r="C1477">
            <v>20070460</v>
          </cell>
          <cell r="D1477">
            <v>45433</v>
          </cell>
        </row>
        <row r="1478">
          <cell r="A1478" t="str">
            <v>Murilo Henrique De Morais Telli</v>
          </cell>
          <cell r="B1478">
            <v>37900858</v>
          </cell>
          <cell r="C1478">
            <v>20070463</v>
          </cell>
          <cell r="D1478">
            <v>45433</v>
          </cell>
        </row>
        <row r="1479">
          <cell r="A1479" t="str">
            <v>Maria Eduarda Leda Oliveira</v>
          </cell>
          <cell r="B1479">
            <v>37900859</v>
          </cell>
          <cell r="C1479">
            <v>20070464</v>
          </cell>
          <cell r="D1479">
            <v>45433</v>
          </cell>
        </row>
        <row r="1480">
          <cell r="A1480" t="str">
            <v>Aléxia De Sousa Dias Rovero</v>
          </cell>
          <cell r="B1480">
            <v>37017767</v>
          </cell>
          <cell r="C1480">
            <v>20070465</v>
          </cell>
          <cell r="D1480">
            <v>45433</v>
          </cell>
        </row>
        <row r="1481">
          <cell r="A1481" t="str">
            <v>Jamyle Amaral Oliveira</v>
          </cell>
          <cell r="B1481">
            <v>37900857</v>
          </cell>
          <cell r="C1481">
            <v>20070462</v>
          </cell>
          <cell r="D1481">
            <v>45433</v>
          </cell>
        </row>
        <row r="1482">
          <cell r="A1482" t="str">
            <v>Gilson Teixeira Pinto Junior</v>
          </cell>
          <cell r="B1482">
            <v>37017862</v>
          </cell>
          <cell r="C1482">
            <v>20070892</v>
          </cell>
          <cell r="D1482">
            <v>45447</v>
          </cell>
        </row>
        <row r="1483">
          <cell r="A1483" t="str">
            <v>Cleber Da Silva</v>
          </cell>
          <cell r="B1483">
            <v>37017877</v>
          </cell>
          <cell r="C1483">
            <v>20070924</v>
          </cell>
          <cell r="D1483">
            <v>45447</v>
          </cell>
        </row>
        <row r="1484">
          <cell r="A1484" t="str">
            <v>Gislei dos Santos de Souza</v>
          </cell>
          <cell r="B1484">
            <v>37017901</v>
          </cell>
          <cell r="C1484">
            <v>20070948</v>
          </cell>
          <cell r="D1484">
            <v>45447</v>
          </cell>
        </row>
        <row r="1485">
          <cell r="A1485" t="str">
            <v>Roseli Aparecida Alves dos Santos</v>
          </cell>
          <cell r="B1485">
            <v>37017905</v>
          </cell>
          <cell r="C1485">
            <v>20070952</v>
          </cell>
          <cell r="D1485">
            <v>45447</v>
          </cell>
        </row>
        <row r="1486">
          <cell r="A1486" t="str">
            <v>Rodrigo Guimarães Moraes</v>
          </cell>
          <cell r="B1486">
            <v>37017903</v>
          </cell>
          <cell r="C1486">
            <v>20070950</v>
          </cell>
          <cell r="D1486">
            <v>45447</v>
          </cell>
        </row>
        <row r="1487">
          <cell r="A1487" t="str">
            <v>Altierys Evangelista Gimenez</v>
          </cell>
          <cell r="B1487">
            <v>37017908</v>
          </cell>
          <cell r="C1487">
            <v>20070955</v>
          </cell>
          <cell r="D1487">
            <v>45447</v>
          </cell>
        </row>
        <row r="1488">
          <cell r="A1488" t="str">
            <v>Gian Carlo Antunes Cardoso</v>
          </cell>
          <cell r="B1488">
            <v>37005135</v>
          </cell>
          <cell r="C1488">
            <v>20011600</v>
          </cell>
          <cell r="D1488">
            <v>44207</v>
          </cell>
        </row>
        <row r="1489">
          <cell r="A1489" t="str">
            <v>Rafael Santa Barbara De Almeida</v>
          </cell>
          <cell r="B1489">
            <v>37000007</v>
          </cell>
          <cell r="C1489">
            <v>20027971</v>
          </cell>
          <cell r="D1489">
            <v>44755</v>
          </cell>
        </row>
        <row r="1490">
          <cell r="A1490" t="str">
            <v>Flavio Pinheiro De Freitas</v>
          </cell>
          <cell r="B1490">
            <v>37003338</v>
          </cell>
          <cell r="C1490">
            <v>20009116</v>
          </cell>
          <cell r="D1490">
            <v>43647</v>
          </cell>
        </row>
        <row r="1491">
          <cell r="A1491" t="str">
            <v>Mateus Nascimento Santana</v>
          </cell>
          <cell r="B1491">
            <v>37013021</v>
          </cell>
          <cell r="C1491">
            <v>20052315</v>
          </cell>
          <cell r="D1491">
            <v>45097</v>
          </cell>
        </row>
        <row r="1492">
          <cell r="A1492" t="str">
            <v>Rafael Vinicius Dos Santos</v>
          </cell>
          <cell r="B1492">
            <v>37008744</v>
          </cell>
          <cell r="C1492">
            <v>20032352</v>
          </cell>
          <cell r="D1492">
            <v>44774</v>
          </cell>
        </row>
        <row r="1493">
          <cell r="A1493" t="str">
            <v>Weslley Roberto De Lima Nascimento</v>
          </cell>
          <cell r="B1493">
            <v>37012914</v>
          </cell>
          <cell r="C1493">
            <v>20052002</v>
          </cell>
          <cell r="D1493">
            <v>45090</v>
          </cell>
        </row>
        <row r="1494">
          <cell r="A1494" t="str">
            <v>Emanuelle Ferreira Cabral de Melo</v>
          </cell>
          <cell r="B1494">
            <v>37018032</v>
          </cell>
          <cell r="C1494">
            <v>20065935</v>
          </cell>
          <cell r="D1494">
            <v>45447</v>
          </cell>
        </row>
        <row r="1495">
          <cell r="A1495" t="str">
            <v>Hugo Gea</v>
          </cell>
          <cell r="B1495">
            <v>37018048</v>
          </cell>
          <cell r="C1495">
            <v>20071441</v>
          </cell>
          <cell r="D1495">
            <v>45454</v>
          </cell>
        </row>
        <row r="1496">
          <cell r="A1496" t="str">
            <v>Henrique Akiyo Konno</v>
          </cell>
          <cell r="B1496">
            <v>37013036</v>
          </cell>
          <cell r="C1496">
            <v>20052330</v>
          </cell>
          <cell r="D1496">
            <v>45097</v>
          </cell>
        </row>
        <row r="1497">
          <cell r="A1497" t="str">
            <v>Guilherme Henrique Salvador Bona</v>
          </cell>
          <cell r="B1497">
            <v>37018051</v>
          </cell>
          <cell r="C1497">
            <v>20071444</v>
          </cell>
          <cell r="D1497">
            <v>45454</v>
          </cell>
        </row>
        <row r="1498">
          <cell r="A1498" t="str">
            <v>Everlin Eduardo Gomes De Oliveira</v>
          </cell>
          <cell r="B1498">
            <v>37017037</v>
          </cell>
          <cell r="C1498">
            <v>20066636</v>
          </cell>
          <cell r="D1498">
            <v>45384</v>
          </cell>
        </row>
        <row r="1499">
          <cell r="A1499" t="str">
            <v>Melina Lirio Dos Santos</v>
          </cell>
          <cell r="B1499">
            <v>37009623</v>
          </cell>
          <cell r="C1499">
            <v>20035702</v>
          </cell>
          <cell r="D1499">
            <v>44844</v>
          </cell>
        </row>
        <row r="1500">
          <cell r="A1500" t="str">
            <v>Danilo Oliveira Manzano</v>
          </cell>
          <cell r="B1500">
            <v>37001552</v>
          </cell>
          <cell r="C1500">
            <v>20008875</v>
          </cell>
          <cell r="D1500">
            <v>42240</v>
          </cell>
        </row>
        <row r="1501">
          <cell r="A1501" t="str">
            <v>Jamali Fabiano Biazotto</v>
          </cell>
          <cell r="B1501">
            <v>37004753</v>
          </cell>
          <cell r="C1501">
            <v>20008030</v>
          </cell>
          <cell r="D1501">
            <v>44060</v>
          </cell>
        </row>
        <row r="1502">
          <cell r="A1502" t="str">
            <v>Ronian Giovane Purgano da Silva</v>
          </cell>
          <cell r="B1502">
            <v>37014837</v>
          </cell>
          <cell r="C1502">
            <v>20060319</v>
          </cell>
          <cell r="D1502">
            <v>45209</v>
          </cell>
        </row>
        <row r="1503">
          <cell r="A1503" t="str">
            <v>Camila Rosa Gomes</v>
          </cell>
          <cell r="B1503">
            <v>37014742</v>
          </cell>
          <cell r="C1503">
            <v>20015618</v>
          </cell>
          <cell r="D1503">
            <v>45202</v>
          </cell>
        </row>
        <row r="1504">
          <cell r="A1504" t="str">
            <v>Diou Mex da Costa Alexandre</v>
          </cell>
          <cell r="B1504">
            <v>37014343</v>
          </cell>
          <cell r="C1504">
            <v>20058478</v>
          </cell>
          <cell r="D1504">
            <v>45174</v>
          </cell>
        </row>
        <row r="1505">
          <cell r="A1505" t="str">
            <v>Thiago Ferrarezi</v>
          </cell>
          <cell r="B1505">
            <v>37003816</v>
          </cell>
          <cell r="C1505">
            <v>20009953</v>
          </cell>
          <cell r="D1505">
            <v>43752</v>
          </cell>
        </row>
        <row r="1506">
          <cell r="A1506" t="str">
            <v>Elaine Cristine Silva</v>
          </cell>
          <cell r="B1506">
            <v>37017393</v>
          </cell>
          <cell r="C1506">
            <v>20069538</v>
          </cell>
          <cell r="D1506">
            <v>45419</v>
          </cell>
        </row>
        <row r="1507">
          <cell r="A1507" t="str">
            <v>Adriano Celestino De Oliveira</v>
          </cell>
          <cell r="B1507">
            <v>37003738</v>
          </cell>
          <cell r="C1507">
            <v>20008506</v>
          </cell>
          <cell r="D1507">
            <v>43752</v>
          </cell>
        </row>
        <row r="1508">
          <cell r="A1508" t="str">
            <v>Lucinalva Lopes Freitas</v>
          </cell>
          <cell r="B1508">
            <v>37017414</v>
          </cell>
          <cell r="C1508">
            <v>20069559</v>
          </cell>
          <cell r="D1508">
            <v>45419</v>
          </cell>
        </row>
        <row r="1509">
          <cell r="A1509" t="str">
            <v>Thiago Godoi Dos Santos</v>
          </cell>
          <cell r="B1509">
            <v>37003817</v>
          </cell>
          <cell r="C1509">
            <v>20009955</v>
          </cell>
          <cell r="D1509">
            <v>43752</v>
          </cell>
        </row>
        <row r="1510">
          <cell r="A1510" t="str">
            <v>Rodolfo Rodrigo De Araujo</v>
          </cell>
          <cell r="B1510">
            <v>37003400</v>
          </cell>
          <cell r="C1510">
            <v>20009861</v>
          </cell>
          <cell r="D1510">
            <v>43647</v>
          </cell>
        </row>
        <row r="1511">
          <cell r="A1511" t="str">
            <v>Luiz Antonio Messias Fadoni</v>
          </cell>
          <cell r="B1511">
            <v>37003383</v>
          </cell>
          <cell r="C1511">
            <v>20009551</v>
          </cell>
          <cell r="D1511">
            <v>43647</v>
          </cell>
        </row>
        <row r="1512">
          <cell r="A1512" t="str">
            <v>Gabriel Willian Medeiros</v>
          </cell>
          <cell r="B1512">
            <v>37018131</v>
          </cell>
          <cell r="C1512">
            <v>20072279</v>
          </cell>
          <cell r="D1512">
            <v>45461</v>
          </cell>
        </row>
        <row r="1513">
          <cell r="A1513" t="str">
            <v>ANA CAROLINA MANTOAN CAPELLANES DE SOUZA</v>
          </cell>
          <cell r="B1513">
            <v>37018134</v>
          </cell>
          <cell r="C1513">
            <v>20072282</v>
          </cell>
          <cell r="D1513">
            <v>45461</v>
          </cell>
        </row>
        <row r="1514">
          <cell r="A1514" t="str">
            <v>Maycon Vivaldini Ferreira</v>
          </cell>
          <cell r="B1514">
            <v>37018163</v>
          </cell>
          <cell r="C1514">
            <v>20072312</v>
          </cell>
          <cell r="D1514">
            <v>45461</v>
          </cell>
        </row>
        <row r="1515">
          <cell r="A1515" t="str">
            <v>Fabio Ribeiro</v>
          </cell>
          <cell r="B1515" t="e">
            <v>#N/A</v>
          </cell>
          <cell r="C1515">
            <v>20072314</v>
          </cell>
          <cell r="D1515" t="e">
            <v>#N/A</v>
          </cell>
        </row>
        <row r="1516">
          <cell r="A1516" t="str">
            <v>Joao Murilo Santos</v>
          </cell>
          <cell r="B1516">
            <v>37018168</v>
          </cell>
          <cell r="C1516">
            <v>20072317</v>
          </cell>
          <cell r="D1516">
            <v>45461</v>
          </cell>
        </row>
        <row r="1517">
          <cell r="A1517" t="str">
            <v>Diego Conceição Magalhães</v>
          </cell>
          <cell r="B1517">
            <v>37018183</v>
          </cell>
          <cell r="C1517">
            <v>20072332</v>
          </cell>
          <cell r="D1517">
            <v>45461</v>
          </cell>
        </row>
        <row r="1518">
          <cell r="A1518" t="str">
            <v>Joselene Pereira de Souza</v>
          </cell>
          <cell r="B1518">
            <v>37018170</v>
          </cell>
          <cell r="C1518">
            <v>20072319</v>
          </cell>
          <cell r="D1518">
            <v>45461</v>
          </cell>
        </row>
        <row r="1519">
          <cell r="A1519" t="str">
            <v>Jose Adalberto Alves</v>
          </cell>
          <cell r="B1519">
            <v>37018173</v>
          </cell>
          <cell r="C1519">
            <v>20072322</v>
          </cell>
          <cell r="D1519">
            <v>45461</v>
          </cell>
        </row>
        <row r="1520">
          <cell r="A1520" t="str">
            <v>Everton Santos Da Silva</v>
          </cell>
          <cell r="B1520">
            <v>37018185</v>
          </cell>
          <cell r="C1520">
            <v>20072334</v>
          </cell>
          <cell r="D1520">
            <v>45461</v>
          </cell>
        </row>
        <row r="1521">
          <cell r="A1521" t="str">
            <v>Joao Fabricio Soares Toledo</v>
          </cell>
          <cell r="B1521">
            <v>37018195</v>
          </cell>
          <cell r="C1521">
            <v>20072351</v>
          </cell>
          <cell r="D1521">
            <v>45461</v>
          </cell>
        </row>
        <row r="1522">
          <cell r="A1522" t="str">
            <v>Thaymara Cosmo</v>
          </cell>
          <cell r="B1522">
            <v>37018198</v>
          </cell>
          <cell r="C1522">
            <v>20072354</v>
          </cell>
          <cell r="D1522">
            <v>45461</v>
          </cell>
        </row>
        <row r="1523">
          <cell r="A1523" t="str">
            <v>Diego Borges de Oliveira</v>
          </cell>
          <cell r="B1523">
            <v>37900860</v>
          </cell>
          <cell r="C1523">
            <v>20072358</v>
          </cell>
          <cell r="D1523" t="str">
            <v>00/01/1900</v>
          </cell>
        </row>
        <row r="1524">
          <cell r="A1524" t="str">
            <v>Livia do nascimento Marques</v>
          </cell>
          <cell r="B1524">
            <v>37900861</v>
          </cell>
          <cell r="C1524">
            <v>20072402</v>
          </cell>
          <cell r="D1524" t="str">
            <v>00/01/1900</v>
          </cell>
        </row>
        <row r="1525">
          <cell r="A1525" t="str">
            <v>Kailany Kowalski Affonso</v>
          </cell>
          <cell r="B1525">
            <v>37018210</v>
          </cell>
          <cell r="C1525">
            <v>20072404</v>
          </cell>
          <cell r="D1525" t="str">
            <v>00/01/1900</v>
          </cell>
        </row>
        <row r="1526">
          <cell r="A1526" t="str">
            <v>Vivian Castro Pachioni</v>
          </cell>
          <cell r="B1526">
            <v>37018212</v>
          </cell>
          <cell r="C1526">
            <v>20072406</v>
          </cell>
          <cell r="D1526" t="str">
            <v>00/01/1900</v>
          </cell>
        </row>
        <row r="1527">
          <cell r="A1527" t="str">
            <v>Luciana Muroni De Moraes</v>
          </cell>
          <cell r="B1527">
            <v>37018209</v>
          </cell>
          <cell r="C1527">
            <v>20072401</v>
          </cell>
          <cell r="D1527" t="str">
            <v>00/01/1900</v>
          </cell>
        </row>
        <row r="1528">
          <cell r="A1528" t="str">
            <v>Lara pereira Buccalon</v>
          </cell>
          <cell r="B1528">
            <v>37900862</v>
          </cell>
          <cell r="C1528">
            <v>20072403</v>
          </cell>
          <cell r="D1528" t="str">
            <v>00/01/1900</v>
          </cell>
        </row>
        <row r="1529">
          <cell r="A1529" t="str">
            <v>Vitor Polaro Barra</v>
          </cell>
          <cell r="B1529">
            <v>37900863</v>
          </cell>
          <cell r="C1529">
            <v>20072407</v>
          </cell>
          <cell r="D1529" t="str">
            <v>00/01/1900</v>
          </cell>
        </row>
        <row r="1530">
          <cell r="A1530" t="str">
            <v>Vinicius Da Cunha Amaral</v>
          </cell>
          <cell r="B1530">
            <v>37018214</v>
          </cell>
          <cell r="C1530">
            <v>20072441</v>
          </cell>
          <cell r="D1530" t="str">
            <v>00/01/1900</v>
          </cell>
        </row>
        <row r="1531">
          <cell r="A1531" t="str">
            <v>Rafaela Marques Sanchez Assad</v>
          </cell>
          <cell r="B1531">
            <v>37900864</v>
          </cell>
          <cell r="C1531">
            <v>20072446</v>
          </cell>
          <cell r="D1531" t="str">
            <v>00/01/1900</v>
          </cell>
        </row>
        <row r="1532">
          <cell r="A1532" t="str">
            <v>Michele Aparecida Leite</v>
          </cell>
          <cell r="B1532">
            <v>37018218</v>
          </cell>
          <cell r="C1532">
            <v>20072447</v>
          </cell>
          <cell r="D1532" t="str">
            <v>00/01/1900</v>
          </cell>
        </row>
        <row r="1533">
          <cell r="A1533" t="str">
            <v>Melissa Aiolfi Codeço</v>
          </cell>
          <cell r="B1533">
            <v>37018219</v>
          </cell>
          <cell r="C1533">
            <v>20072448</v>
          </cell>
          <cell r="D1533" t="str">
            <v>00/01/1900</v>
          </cell>
        </row>
        <row r="1534">
          <cell r="A1534" t="str">
            <v>João Gabriel Avi</v>
          </cell>
          <cell r="B1534">
            <v>37900865</v>
          </cell>
          <cell r="C1534">
            <v>20072451</v>
          </cell>
          <cell r="D1534" t="str">
            <v>00/01/1900</v>
          </cell>
        </row>
        <row r="1535">
          <cell r="A1535" t="str">
            <v>Jessica Garcia Alves Mellim</v>
          </cell>
          <cell r="B1535">
            <v>37900866</v>
          </cell>
          <cell r="C1535">
            <v>20072452</v>
          </cell>
          <cell r="D1535" t="str">
            <v>00/01/1900</v>
          </cell>
        </row>
        <row r="1536">
          <cell r="A1536" t="str">
            <v>Gustavo Angélla</v>
          </cell>
          <cell r="B1536">
            <v>37018223</v>
          </cell>
          <cell r="C1536">
            <v>20072455</v>
          </cell>
          <cell r="D1536" t="str">
            <v>00/01/1900</v>
          </cell>
        </row>
        <row r="1537">
          <cell r="A1537" t="str">
            <v>Rariane Dos Santos Pereira</v>
          </cell>
          <cell r="B1537">
            <v>37018216</v>
          </cell>
          <cell r="C1537">
            <v>20072443</v>
          </cell>
          <cell r="D1537" t="str">
            <v>00/01/1900</v>
          </cell>
        </row>
        <row r="1538">
          <cell r="A1538" t="str">
            <v>Raphaela Do Nascimento Ribeiro</v>
          </cell>
          <cell r="B1538">
            <v>37018217</v>
          </cell>
          <cell r="C1538">
            <v>20072445</v>
          </cell>
          <cell r="D1538" t="str">
            <v>00/01/1900</v>
          </cell>
        </row>
        <row r="1539">
          <cell r="A1539" t="str">
            <v>Marcela Andrade Gonçalves</v>
          </cell>
          <cell r="B1539">
            <v>37018220</v>
          </cell>
          <cell r="C1539">
            <v>20072449</v>
          </cell>
          <cell r="D1539" t="str">
            <v>00/01/1900</v>
          </cell>
        </row>
        <row r="1540">
          <cell r="A1540" t="str">
            <v>João Victor Salmi Valadao Borges</v>
          </cell>
          <cell r="B1540">
            <v>37018221</v>
          </cell>
          <cell r="C1540">
            <v>20072450</v>
          </cell>
          <cell r="D1540" t="str">
            <v>00/01/1900</v>
          </cell>
        </row>
        <row r="1541">
          <cell r="A1541" t="str">
            <v>Gustavo Augusto Gomes Brasil</v>
          </cell>
          <cell r="B1541">
            <v>37900867</v>
          </cell>
          <cell r="C1541">
            <v>20072453</v>
          </cell>
          <cell r="D1541" t="str">
            <v>00/01/1900</v>
          </cell>
        </row>
        <row r="1542">
          <cell r="A1542" t="str">
            <v>Giovana de Aquino Magalhaes</v>
          </cell>
          <cell r="B1542">
            <v>37900894</v>
          </cell>
          <cell r="C1542">
            <v>20072454</v>
          </cell>
          <cell r="D1542" t="str">
            <v>00/01/1900</v>
          </cell>
        </row>
        <row r="1543">
          <cell r="A1543" t="str">
            <v>Rodrigo Candido Batista</v>
          </cell>
          <cell r="B1543">
            <v>37018224</v>
          </cell>
          <cell r="C1543">
            <v>20072456</v>
          </cell>
          <cell r="D1543" t="str">
            <v>00/01/1900</v>
          </cell>
        </row>
        <row r="1544">
          <cell r="A1544" t="str">
            <v>Felipe Olbera Riehl</v>
          </cell>
          <cell r="B1544">
            <v>37900870</v>
          </cell>
          <cell r="C1544">
            <v>20072460</v>
          </cell>
          <cell r="D1544" t="str">
            <v>00/01/1900</v>
          </cell>
        </row>
        <row r="1545">
          <cell r="A1545" t="str">
            <v>Emanuele Gomes Damaceno</v>
          </cell>
          <cell r="B1545">
            <v>37900873</v>
          </cell>
          <cell r="C1545">
            <v>20072463</v>
          </cell>
          <cell r="D1545" t="str">
            <v>00/01/1900</v>
          </cell>
        </row>
        <row r="1546">
          <cell r="A1546" t="str">
            <v>Ariana Aparecida Modesto Rosa</v>
          </cell>
          <cell r="B1546">
            <v>37018227</v>
          </cell>
          <cell r="C1546">
            <v>20072465</v>
          </cell>
          <cell r="D1546" t="str">
            <v>00/01/1900</v>
          </cell>
        </row>
        <row r="1547">
          <cell r="A1547" t="str">
            <v>Benjamin Camila dos Santos</v>
          </cell>
          <cell r="B1547">
            <v>37900874</v>
          </cell>
          <cell r="C1547">
            <v>20072466</v>
          </cell>
          <cell r="D1547" t="str">
            <v>00/01/1900</v>
          </cell>
        </row>
        <row r="1548">
          <cell r="A1548" t="str">
            <v>Jamilly Vitoria da Silva Araujo</v>
          </cell>
          <cell r="B1548">
            <v>37900877</v>
          </cell>
          <cell r="C1548">
            <v>20072473</v>
          </cell>
          <cell r="D1548" t="str">
            <v>00/01/1900</v>
          </cell>
        </row>
        <row r="1549">
          <cell r="A1549" t="str">
            <v>Diogo Damaceno de Souza</v>
          </cell>
          <cell r="B1549">
            <v>37018226</v>
          </cell>
          <cell r="C1549">
            <v>20072464</v>
          </cell>
          <cell r="D1549" t="str">
            <v>00/01/1900</v>
          </cell>
        </row>
        <row r="1550">
          <cell r="A1550" t="str">
            <v>Alvaro Lemmi</v>
          </cell>
          <cell r="B1550">
            <v>37018229</v>
          </cell>
          <cell r="C1550">
            <v>20072470</v>
          </cell>
          <cell r="D1550" t="str">
            <v>00/01/1900</v>
          </cell>
        </row>
        <row r="1551">
          <cell r="A1551" t="str">
            <v>Beatriz Conti Silvestre</v>
          </cell>
          <cell r="B1551">
            <v>37018230</v>
          </cell>
          <cell r="C1551">
            <v>20072471</v>
          </cell>
          <cell r="D1551" t="str">
            <v>00/01/1900</v>
          </cell>
        </row>
        <row r="1552">
          <cell r="A1552" t="str">
            <v>Gabriela Stefani Guedes Souza</v>
          </cell>
          <cell r="B1552">
            <v>37018231</v>
          </cell>
          <cell r="C1552">
            <v>20072472</v>
          </cell>
          <cell r="D1552" t="str">
            <v>00/01/1900</v>
          </cell>
        </row>
        <row r="1553">
          <cell r="A1553" t="str">
            <v>Barbara Fernanda Suarez Barbosa</v>
          </cell>
          <cell r="B1553">
            <v>37018232</v>
          </cell>
          <cell r="C1553">
            <v>20072474</v>
          </cell>
          <cell r="D1553" t="str">
            <v>00/01/1900</v>
          </cell>
        </row>
        <row r="1554">
          <cell r="A1554" t="str">
            <v>Julia Mirela Nerez Bidoia</v>
          </cell>
          <cell r="B1554">
            <v>37018233</v>
          </cell>
          <cell r="C1554">
            <v>20072476</v>
          </cell>
          <cell r="D1554" t="str">
            <v>00/01/1900</v>
          </cell>
        </row>
        <row r="1555">
          <cell r="A1555" t="str">
            <v>Giovanna de Jesus Ferreira</v>
          </cell>
          <cell r="B1555">
            <v>37900880</v>
          </cell>
          <cell r="C1555">
            <v>20065931</v>
          </cell>
          <cell r="D1555" t="str">
            <v>00/01/1900</v>
          </cell>
        </row>
        <row r="1556">
          <cell r="A1556" t="str">
            <v>Alessandro Bezerra Mateus Junior</v>
          </cell>
          <cell r="B1556">
            <v>37900889</v>
          </cell>
          <cell r="C1556">
            <v>20072525</v>
          </cell>
          <cell r="D1556" t="str">
            <v>00/01/1900</v>
          </cell>
        </row>
        <row r="1557">
          <cell r="A1557" t="str">
            <v>Laura Parreiras Gomes</v>
          </cell>
          <cell r="B1557">
            <v>37018238</v>
          </cell>
          <cell r="C1557">
            <v>20072747</v>
          </cell>
          <cell r="D1557" t="str">
            <v>00/01/1900</v>
          </cell>
        </row>
        <row r="1558">
          <cell r="A1558" t="str">
            <v>Luiz Henrique Souza</v>
          </cell>
          <cell r="B1558" t="e">
            <v>#N/A</v>
          </cell>
          <cell r="C1558">
            <v>20060499</v>
          </cell>
          <cell r="D1558" t="e">
            <v>#N/A</v>
          </cell>
        </row>
        <row r="1559">
          <cell r="A1559" t="str">
            <v>Mariele Vitoria Do Livramento</v>
          </cell>
          <cell r="B1559" t="e">
            <v>#N/A</v>
          </cell>
          <cell r="C1559">
            <v>20057184</v>
          </cell>
          <cell r="D1559" t="e">
            <v>#N/A</v>
          </cell>
        </row>
        <row r="1560">
          <cell r="A1560" t="str">
            <v>Tales Ferreira Resende</v>
          </cell>
          <cell r="B1560">
            <v>37012735</v>
          </cell>
          <cell r="C1560">
            <v>20051319</v>
          </cell>
          <cell r="D1560">
            <v>45083</v>
          </cell>
        </row>
        <row r="1561">
          <cell r="A1561" t="str">
            <v>Emanoelle Cabral Moretti</v>
          </cell>
          <cell r="B1561">
            <v>37018271</v>
          </cell>
          <cell r="C1561">
            <v>20072798</v>
          </cell>
          <cell r="D1561">
            <v>45475</v>
          </cell>
        </row>
        <row r="1562">
          <cell r="A1562" t="str">
            <v>Kaio Gabriel Bueno</v>
          </cell>
          <cell r="B1562">
            <v>37018284</v>
          </cell>
          <cell r="C1562">
            <v>20072843</v>
          </cell>
          <cell r="D1562">
            <v>45475</v>
          </cell>
        </row>
        <row r="1563">
          <cell r="A1563" t="str">
            <v>Kaue Ligramante Lisboa</v>
          </cell>
          <cell r="B1563">
            <v>37018292</v>
          </cell>
          <cell r="C1563">
            <v>20072851</v>
          </cell>
          <cell r="D1563">
            <v>45475</v>
          </cell>
        </row>
        <row r="1564">
          <cell r="A1564" t="str">
            <v>Rafael Rodrigues De Barros</v>
          </cell>
          <cell r="B1564">
            <v>37018338</v>
          </cell>
          <cell r="C1564">
            <v>20073122</v>
          </cell>
          <cell r="D1564">
            <v>45475</v>
          </cell>
        </row>
        <row r="1565">
          <cell r="A1565" t="str">
            <v>Alexandre Alves Guimarães</v>
          </cell>
          <cell r="B1565">
            <v>37018337</v>
          </cell>
          <cell r="C1565">
            <v>20073121</v>
          </cell>
          <cell r="D1565">
            <v>45475</v>
          </cell>
        </row>
        <row r="1566">
          <cell r="A1566" t="str">
            <v>Danilo Salomão de Castro Vanda Pessoa</v>
          </cell>
          <cell r="B1566">
            <v>37018347</v>
          </cell>
          <cell r="C1566">
            <v>20073131</v>
          </cell>
          <cell r="D1566">
            <v>45475</v>
          </cell>
        </row>
        <row r="1567">
          <cell r="A1567" t="str">
            <v>Mario Jose Souza De Oliveira</v>
          </cell>
          <cell r="B1567">
            <v>37018359</v>
          </cell>
          <cell r="C1567">
            <v>20073143</v>
          </cell>
          <cell r="D1567">
            <v>45475</v>
          </cell>
        </row>
        <row r="1568">
          <cell r="A1568" t="str">
            <v>Luis Felipe Mazero Guimarães</v>
          </cell>
          <cell r="B1568">
            <v>37018381</v>
          </cell>
          <cell r="C1568">
            <v>20073165</v>
          </cell>
          <cell r="D1568">
            <v>45475</v>
          </cell>
        </row>
        <row r="1569">
          <cell r="A1569" t="str">
            <v>Derik Magalhães França</v>
          </cell>
          <cell r="B1569">
            <v>37018363</v>
          </cell>
          <cell r="C1569">
            <v>20073147</v>
          </cell>
          <cell r="D1569">
            <v>45475</v>
          </cell>
        </row>
        <row r="1570">
          <cell r="A1570" t="str">
            <v>Paulo Cesar Barbosa</v>
          </cell>
          <cell r="B1570">
            <v>37018371</v>
          </cell>
          <cell r="C1570">
            <v>20073155</v>
          </cell>
          <cell r="D1570">
            <v>45475</v>
          </cell>
        </row>
        <row r="1571">
          <cell r="A1571" t="str">
            <v>Ricardo da Rocha Lima</v>
          </cell>
          <cell r="B1571">
            <v>37018374</v>
          </cell>
          <cell r="C1571">
            <v>20073158</v>
          </cell>
          <cell r="D1571">
            <v>45475</v>
          </cell>
        </row>
        <row r="1572">
          <cell r="A1572" t="str">
            <v>ELLEN FRANCINE DOS SANTOS BELTRAMIN</v>
          </cell>
          <cell r="B1572">
            <v>37018388</v>
          </cell>
          <cell r="C1572">
            <v>20073172</v>
          </cell>
          <cell r="D1572">
            <v>45475</v>
          </cell>
        </row>
        <row r="1573">
          <cell r="A1573" t="str">
            <v>Brenda Lara Prestes</v>
          </cell>
          <cell r="B1573">
            <v>37010652</v>
          </cell>
          <cell r="C1573">
            <v>20040606</v>
          </cell>
          <cell r="D1573">
            <v>44930</v>
          </cell>
        </row>
        <row r="1574">
          <cell r="A1574" t="str">
            <v>Tarcio De Carvalho Pereira</v>
          </cell>
          <cell r="B1574">
            <v>37018393</v>
          </cell>
          <cell r="C1574">
            <v>20073177</v>
          </cell>
          <cell r="D1574">
            <v>45475</v>
          </cell>
        </row>
        <row r="1575">
          <cell r="A1575" t="str">
            <v>Renan Isfer Schmitt</v>
          </cell>
          <cell r="B1575">
            <v>37018398</v>
          </cell>
          <cell r="C1575">
            <v>20073183</v>
          </cell>
          <cell r="D1575">
            <v>45475</v>
          </cell>
        </row>
        <row r="1576">
          <cell r="A1576" t="str">
            <v>Victor Domingos Ferro</v>
          </cell>
          <cell r="B1576" t="e">
            <v>#N/A</v>
          </cell>
          <cell r="C1576">
            <v>20052478</v>
          </cell>
          <cell r="D1576" t="e">
            <v>#N/A</v>
          </cell>
        </row>
        <row r="1577">
          <cell r="A1577" t="str">
            <v>Jefferson Matias de Oliveira</v>
          </cell>
          <cell r="B1577" t="e">
            <v>#N/A</v>
          </cell>
          <cell r="C1577">
            <v>20060825</v>
          </cell>
          <cell r="D1577" t="e">
            <v>#N/A</v>
          </cell>
        </row>
        <row r="1578">
          <cell r="A1578" t="str">
            <v>Cleiton Fernando Bertollo da Silva</v>
          </cell>
          <cell r="B1578">
            <v>37010761</v>
          </cell>
          <cell r="C1578">
            <v>20040971</v>
          </cell>
          <cell r="D1578">
            <v>44935</v>
          </cell>
        </row>
        <row r="1579">
          <cell r="A1579" t="str">
            <v>Carlos Eduardo Barbosa Da Silva</v>
          </cell>
          <cell r="B1579">
            <v>37009681</v>
          </cell>
          <cell r="C1579">
            <v>20035350</v>
          </cell>
          <cell r="D1579">
            <v>44851</v>
          </cell>
        </row>
        <row r="1580">
          <cell r="A1580" t="str">
            <v>Thiago Freitas Barreto</v>
          </cell>
          <cell r="B1580">
            <v>37018413</v>
          </cell>
          <cell r="C1580">
            <v>20073605</v>
          </cell>
          <cell r="D1580">
            <v>45483</v>
          </cell>
        </row>
        <row r="1581">
          <cell r="A1581" t="str">
            <v>Douglas Ferreira Antunes</v>
          </cell>
          <cell r="B1581">
            <v>37018461</v>
          </cell>
          <cell r="C1581">
            <v>20073657</v>
          </cell>
          <cell r="D1581">
            <v>45483</v>
          </cell>
        </row>
        <row r="1582">
          <cell r="A1582" t="str">
            <v>Andrey Ricardo Gonçalves</v>
          </cell>
          <cell r="B1582">
            <v>37018467</v>
          </cell>
          <cell r="C1582">
            <v>20073663</v>
          </cell>
          <cell r="D1582">
            <v>45483</v>
          </cell>
        </row>
        <row r="1583">
          <cell r="A1583" t="str">
            <v>Bruno Cesar Leda</v>
          </cell>
          <cell r="B1583">
            <v>37018482</v>
          </cell>
          <cell r="C1583">
            <v>20073678</v>
          </cell>
          <cell r="D1583">
            <v>45483</v>
          </cell>
        </row>
        <row r="1584">
          <cell r="A1584" t="str">
            <v>Mayke Alves Coelho</v>
          </cell>
          <cell r="B1584">
            <v>37018495</v>
          </cell>
          <cell r="C1584">
            <v>20073851</v>
          </cell>
          <cell r="D1584">
            <v>45483</v>
          </cell>
        </row>
        <row r="1585">
          <cell r="A1585" t="str">
            <v>Fernando Prates Xavier</v>
          </cell>
          <cell r="B1585" t="e">
            <v>#N/A</v>
          </cell>
          <cell r="C1585">
            <v>20073853</v>
          </cell>
          <cell r="D1585" t="e">
            <v>#N/A</v>
          </cell>
        </row>
        <row r="1586">
          <cell r="A1586" t="str">
            <v>TIAGO JOSE MAGALHAES MAGALHAES</v>
          </cell>
          <cell r="B1586">
            <v>37018507</v>
          </cell>
          <cell r="C1586">
            <v>20073863</v>
          </cell>
          <cell r="D1586">
            <v>45483</v>
          </cell>
        </row>
        <row r="1587">
          <cell r="A1587" t="str">
            <v>Denis Augusto Coneglian Moreto</v>
          </cell>
          <cell r="B1587">
            <v>37018511</v>
          </cell>
          <cell r="C1587">
            <v>20073868</v>
          </cell>
          <cell r="D1587">
            <v>45483</v>
          </cell>
        </row>
        <row r="1588">
          <cell r="A1588" t="str">
            <v>Diego Soares Caitano</v>
          </cell>
          <cell r="B1588">
            <v>37018516</v>
          </cell>
          <cell r="C1588">
            <v>20073873</v>
          </cell>
          <cell r="D1588">
            <v>45483</v>
          </cell>
        </row>
        <row r="1589">
          <cell r="A1589" t="str">
            <v>Fabiano da Silva</v>
          </cell>
          <cell r="B1589">
            <v>37018530</v>
          </cell>
          <cell r="C1589">
            <v>20073887</v>
          </cell>
          <cell r="D1589">
            <v>45483</v>
          </cell>
        </row>
        <row r="1590">
          <cell r="A1590" t="str">
            <v>Fabio Aroldo De Melo Junior</v>
          </cell>
          <cell r="B1590">
            <v>37003224</v>
          </cell>
          <cell r="C1590">
            <v>20009050</v>
          </cell>
          <cell r="D1590">
            <v>43619</v>
          </cell>
        </row>
        <row r="1591">
          <cell r="A1591" t="str">
            <v>Kaue Marchioli Goss</v>
          </cell>
          <cell r="B1591">
            <v>37007187</v>
          </cell>
          <cell r="C1591">
            <v>20022993</v>
          </cell>
          <cell r="D1591">
            <v>44609</v>
          </cell>
        </row>
        <row r="1592">
          <cell r="A1592" t="str">
            <v>Cleverson Fantin</v>
          </cell>
          <cell r="B1592">
            <v>37014847</v>
          </cell>
          <cell r="C1592">
            <v>20060397</v>
          </cell>
          <cell r="D1592">
            <v>45209</v>
          </cell>
        </row>
        <row r="1593">
          <cell r="A1593" t="str">
            <v>Helio Da Silva Beserra</v>
          </cell>
          <cell r="B1593">
            <v>37006508</v>
          </cell>
          <cell r="C1593">
            <v>20019104</v>
          </cell>
          <cell r="D1593">
            <v>44473</v>
          </cell>
        </row>
        <row r="1594">
          <cell r="A1594" t="str">
            <v>Rafael Malavasi De Assis</v>
          </cell>
          <cell r="B1594">
            <v>37001708</v>
          </cell>
          <cell r="C1594">
            <v>20009802</v>
          </cell>
          <cell r="D1594">
            <v>42590</v>
          </cell>
        </row>
        <row r="1595">
          <cell r="A1595" t="str">
            <v>Fernanda De Oliveira Souza</v>
          </cell>
          <cell r="B1595">
            <v>37008921</v>
          </cell>
          <cell r="C1595">
            <v>20034641</v>
          </cell>
          <cell r="D1595">
            <v>44777</v>
          </cell>
        </row>
        <row r="1596">
          <cell r="A1596" t="str">
            <v>Evandro Artero Pereira</v>
          </cell>
          <cell r="B1596">
            <v>37005534</v>
          </cell>
          <cell r="C1596">
            <v>20013575</v>
          </cell>
          <cell r="D1596">
            <v>44291</v>
          </cell>
        </row>
        <row r="1597">
          <cell r="A1597" t="str">
            <v>Fernanda Guiare Varejano</v>
          </cell>
          <cell r="B1597">
            <v>37003337</v>
          </cell>
          <cell r="C1597">
            <v>20009081</v>
          </cell>
          <cell r="D1597">
            <v>43647</v>
          </cell>
        </row>
        <row r="1598">
          <cell r="A1598" t="str">
            <v>Cristiano Rodrigues da Trindade</v>
          </cell>
          <cell r="B1598">
            <v>37013704</v>
          </cell>
          <cell r="C1598">
            <v>20056286</v>
          </cell>
          <cell r="D1598">
            <v>45139</v>
          </cell>
        </row>
        <row r="1599">
          <cell r="A1599" t="str">
            <v>Gustavo Dorival Baptista Lopes</v>
          </cell>
          <cell r="B1599">
            <v>37900909</v>
          </cell>
          <cell r="C1599">
            <v>20070012</v>
          </cell>
          <cell r="D1599" t="str">
            <v>00/01/1900</v>
          </cell>
        </row>
        <row r="1600">
          <cell r="A1600" t="str">
            <v>Elias Talarico Filho</v>
          </cell>
          <cell r="B1600" t="e">
            <v>#N/A</v>
          </cell>
          <cell r="C1600">
            <v>20045912</v>
          </cell>
          <cell r="D1600" t="e">
            <v>#N/A</v>
          </cell>
        </row>
        <row r="1601">
          <cell r="A1601" t="str">
            <v>Maycon Rosemberg Salgado</v>
          </cell>
          <cell r="B1601">
            <v>37009799</v>
          </cell>
          <cell r="C1601">
            <v>20037069</v>
          </cell>
          <cell r="D1601">
            <v>44872</v>
          </cell>
        </row>
        <row r="1602">
          <cell r="A1602" t="str">
            <v>Naor Pereira Sales</v>
          </cell>
          <cell r="B1602">
            <v>37013840</v>
          </cell>
          <cell r="C1602">
            <v>20056498</v>
          </cell>
          <cell r="D1602">
            <v>45146</v>
          </cell>
        </row>
        <row r="1603">
          <cell r="A1603" t="str">
            <v>Bianca Caroline Oliveira Da Silva</v>
          </cell>
          <cell r="B1603">
            <v>37018563</v>
          </cell>
          <cell r="C1603">
            <v>20073989</v>
          </cell>
          <cell r="D1603">
            <v>45483</v>
          </cell>
        </row>
        <row r="1604">
          <cell r="A1604" t="str">
            <v>Diego Angelo Rompinelli</v>
          </cell>
          <cell r="B1604">
            <v>37002023</v>
          </cell>
          <cell r="C1604">
            <v>20008902</v>
          </cell>
          <cell r="D1604">
            <v>43017</v>
          </cell>
        </row>
        <row r="1605">
          <cell r="A1605" t="str">
            <v>Gustavo De Lima Couto</v>
          </cell>
          <cell r="B1605">
            <v>37018580</v>
          </cell>
          <cell r="C1605">
            <v>20023765</v>
          </cell>
          <cell r="D1605">
            <v>45489</v>
          </cell>
        </row>
        <row r="1606">
          <cell r="A1606" t="str">
            <v>Gabriel dos Santos</v>
          </cell>
          <cell r="B1606">
            <v>37018611</v>
          </cell>
          <cell r="C1606">
            <v>20074189</v>
          </cell>
          <cell r="D1606">
            <v>45489</v>
          </cell>
        </row>
        <row r="1607">
          <cell r="A1607" t="str">
            <v>Luana Gabriely Godoy</v>
          </cell>
          <cell r="B1607">
            <v>37018613</v>
          </cell>
          <cell r="C1607">
            <v>20074191</v>
          </cell>
          <cell r="D1607">
            <v>45489</v>
          </cell>
        </row>
        <row r="1608">
          <cell r="A1608" t="str">
            <v>Maria Eduarda Nogueira Pinho</v>
          </cell>
          <cell r="B1608">
            <v>37900910</v>
          </cell>
          <cell r="C1608">
            <v>20074311</v>
          </cell>
          <cell r="D1608" t="str">
            <v>00/01/1900</v>
          </cell>
        </row>
        <row r="1609">
          <cell r="A1609" t="str">
            <v>Raul Eduardo Soares Da Silva</v>
          </cell>
          <cell r="B1609">
            <v>37005636</v>
          </cell>
          <cell r="C1609">
            <v>20013939</v>
          </cell>
          <cell r="D1609">
            <v>44326</v>
          </cell>
        </row>
        <row r="1610">
          <cell r="A1610" t="str">
            <v>Everton Alexandre De Oliveira</v>
          </cell>
          <cell r="B1610">
            <v>37005592</v>
          </cell>
          <cell r="C1610">
            <v>20013614</v>
          </cell>
          <cell r="D1610">
            <v>44305</v>
          </cell>
        </row>
        <row r="1611">
          <cell r="A1611" t="str">
            <v>Eduardo Nascimento Gonçalves</v>
          </cell>
          <cell r="B1611">
            <v>37018693</v>
          </cell>
          <cell r="C1611">
            <v>20074850</v>
          </cell>
          <cell r="D1611">
            <v>45510</v>
          </cell>
        </row>
        <row r="1612">
          <cell r="A1612" t="str">
            <v>Rafael Lizabel Cardoso</v>
          </cell>
          <cell r="B1612">
            <v>37018695</v>
          </cell>
          <cell r="C1612">
            <v>20074852</v>
          </cell>
          <cell r="D1612">
            <v>45510</v>
          </cell>
        </row>
        <row r="1613">
          <cell r="A1613" t="str">
            <v>Wendel Schiavi Zanesco</v>
          </cell>
          <cell r="B1613">
            <v>37018696</v>
          </cell>
          <cell r="C1613">
            <v>20074853</v>
          </cell>
          <cell r="D1613">
            <v>45510</v>
          </cell>
        </row>
        <row r="1614">
          <cell r="A1614" t="str">
            <v>Junior Aparecido Ferreira</v>
          </cell>
          <cell r="B1614">
            <v>37018698</v>
          </cell>
          <cell r="C1614">
            <v>20074855</v>
          </cell>
          <cell r="D1614">
            <v>45510</v>
          </cell>
        </row>
        <row r="1615">
          <cell r="A1615" t="str">
            <v>Matheus Quintilhano De Aguiar</v>
          </cell>
          <cell r="B1615">
            <v>37018711</v>
          </cell>
          <cell r="C1615">
            <v>20074879</v>
          </cell>
          <cell r="D1615">
            <v>45510</v>
          </cell>
        </row>
        <row r="1616">
          <cell r="A1616" t="str">
            <v>Priscila Gândara Guastala</v>
          </cell>
          <cell r="B1616">
            <v>37018728</v>
          </cell>
          <cell r="C1616">
            <v>20074914</v>
          </cell>
          <cell r="D1616">
            <v>45510</v>
          </cell>
        </row>
        <row r="1617">
          <cell r="A1617" t="str">
            <v>Maiara Sales Tereza</v>
          </cell>
          <cell r="B1617">
            <v>37018731</v>
          </cell>
          <cell r="C1617">
            <v>20074931</v>
          </cell>
          <cell r="D1617">
            <v>45510</v>
          </cell>
        </row>
        <row r="1618">
          <cell r="A1618" t="str">
            <v>Gabriel Benjamim dos Santos Silva</v>
          </cell>
          <cell r="B1618">
            <v>37018761</v>
          </cell>
          <cell r="C1618">
            <v>20075047</v>
          </cell>
          <cell r="D1618">
            <v>45510</v>
          </cell>
        </row>
        <row r="1619">
          <cell r="A1619" t="str">
            <v>Adriana Santana Luiz Sampaio</v>
          </cell>
          <cell r="B1619">
            <v>37018827</v>
          </cell>
          <cell r="C1619">
            <v>20075122</v>
          </cell>
          <cell r="D1619">
            <v>45510</v>
          </cell>
        </row>
        <row r="1620">
          <cell r="A1620" t="str">
            <v>Gustavo Modolo Biazon</v>
          </cell>
          <cell r="B1620">
            <v>37018841</v>
          </cell>
          <cell r="C1620">
            <v>20075136</v>
          </cell>
          <cell r="D1620">
            <v>45510</v>
          </cell>
        </row>
        <row r="1621">
          <cell r="A1621" t="str">
            <v>Adriana Fabricio da Silva</v>
          </cell>
          <cell r="B1621">
            <v>37014530</v>
          </cell>
          <cell r="C1621">
            <v>20059056</v>
          </cell>
          <cell r="D1621">
            <v>45181</v>
          </cell>
        </row>
        <row r="1622">
          <cell r="A1622" t="str">
            <v>Bruno De Souza Cruz</v>
          </cell>
          <cell r="B1622">
            <v>37013184</v>
          </cell>
          <cell r="C1622">
            <v>20053361</v>
          </cell>
          <cell r="D1622">
            <v>45111</v>
          </cell>
        </row>
        <row r="1623">
          <cell r="A1623" t="str">
            <v>Luiz Valentim Da Silva Neto</v>
          </cell>
          <cell r="B1623">
            <v>37001803</v>
          </cell>
          <cell r="C1623">
            <v>20009574</v>
          </cell>
          <cell r="D1623">
            <v>42653</v>
          </cell>
        </row>
        <row r="1624">
          <cell r="A1624" t="str">
            <v>Luccas Felipe Pereira</v>
          </cell>
          <cell r="B1624">
            <v>37012918</v>
          </cell>
          <cell r="C1624">
            <v>20052006</v>
          </cell>
          <cell r="D1624">
            <v>45090</v>
          </cell>
        </row>
        <row r="1625">
          <cell r="A1625" t="str">
            <v>Luiz Ricardo Biso</v>
          </cell>
          <cell r="B1625">
            <v>37012905</v>
          </cell>
          <cell r="C1625">
            <v>20051993</v>
          </cell>
          <cell r="D1625">
            <v>45090</v>
          </cell>
        </row>
        <row r="1626">
          <cell r="A1626" t="str">
            <v>Henrique Da Silva Fadel</v>
          </cell>
          <cell r="B1626">
            <v>37003029</v>
          </cell>
          <cell r="C1626">
            <v>20009239</v>
          </cell>
          <cell r="D1626">
            <v>43542</v>
          </cell>
        </row>
        <row r="1627">
          <cell r="A1627" t="str">
            <v>Adriana Helligia Martins Patez</v>
          </cell>
          <cell r="B1627">
            <v>37015091</v>
          </cell>
          <cell r="C1627">
            <v>20061265</v>
          </cell>
          <cell r="D1627">
            <v>45237</v>
          </cell>
        </row>
        <row r="1628">
          <cell r="A1628" t="str">
            <v>Vinicius Gabriel Nunes</v>
          </cell>
          <cell r="B1628">
            <v>37013915</v>
          </cell>
          <cell r="C1628">
            <v>20010014</v>
          </cell>
          <cell r="D1628">
            <v>45146</v>
          </cell>
        </row>
        <row r="1629">
          <cell r="A1629" t="str">
            <v>Fabio Almeida Nunes dos Santos</v>
          </cell>
          <cell r="B1629">
            <v>37014839</v>
          </cell>
          <cell r="C1629">
            <v>20060321</v>
          </cell>
          <cell r="D1629">
            <v>45209</v>
          </cell>
        </row>
        <row r="1630">
          <cell r="A1630" t="str">
            <v>William Jose Dos Santos</v>
          </cell>
          <cell r="B1630">
            <v>37011015</v>
          </cell>
          <cell r="C1630">
            <v>20041847</v>
          </cell>
          <cell r="D1630">
            <v>44958</v>
          </cell>
        </row>
        <row r="1631">
          <cell r="A1631" t="str">
            <v>Ácsa Araujo Moura</v>
          </cell>
          <cell r="B1631">
            <v>37018861</v>
          </cell>
          <cell r="C1631">
            <v>20075474</v>
          </cell>
          <cell r="D1631">
            <v>45517</v>
          </cell>
        </row>
        <row r="1632">
          <cell r="A1632" t="str">
            <v>Vinicius Rogério Moscardini</v>
          </cell>
          <cell r="B1632">
            <v>37018866</v>
          </cell>
          <cell r="C1632">
            <v>20075480</v>
          </cell>
          <cell r="D1632">
            <v>45517</v>
          </cell>
        </row>
        <row r="1633">
          <cell r="A1633" t="str">
            <v>Reginaldo Ferreira</v>
          </cell>
          <cell r="B1633">
            <v>37018867</v>
          </cell>
          <cell r="C1633">
            <v>20075481</v>
          </cell>
          <cell r="D1633">
            <v>45517</v>
          </cell>
        </row>
        <row r="1634">
          <cell r="A1634" t="str">
            <v>Thais Alves Da Graca</v>
          </cell>
          <cell r="B1634">
            <v>37005919</v>
          </cell>
          <cell r="C1634">
            <v>20015639</v>
          </cell>
          <cell r="D1634">
            <v>44382</v>
          </cell>
        </row>
        <row r="1635">
          <cell r="A1635" t="str">
            <v>Kleber Rodrigues Lima</v>
          </cell>
          <cell r="B1635">
            <v>37013971</v>
          </cell>
          <cell r="C1635">
            <v>20057453</v>
          </cell>
          <cell r="D1635">
            <v>45153</v>
          </cell>
        </row>
        <row r="1636">
          <cell r="A1636" t="str">
            <v>Adriano Terassi</v>
          </cell>
          <cell r="B1636">
            <v>37017690</v>
          </cell>
          <cell r="C1636">
            <v>20070316</v>
          </cell>
          <cell r="D1636">
            <v>45433</v>
          </cell>
        </row>
        <row r="1637">
          <cell r="A1637" t="str">
            <v>Jhonatas Felipe Silva Costa</v>
          </cell>
          <cell r="B1637">
            <v>37003361</v>
          </cell>
          <cell r="C1637">
            <v>20009317</v>
          </cell>
          <cell r="D1637">
            <v>43647</v>
          </cell>
        </row>
        <row r="1638">
          <cell r="A1638" t="str">
            <v>Roni Pontes dos Santos</v>
          </cell>
          <cell r="B1638" t="e">
            <v>#N/A</v>
          </cell>
          <cell r="C1638">
            <v>20060504</v>
          </cell>
          <cell r="D1638" t="e">
            <v>#N/A</v>
          </cell>
        </row>
        <row r="1639">
          <cell r="A1639" t="str">
            <v>Lucivaldo de Souza Monteiro</v>
          </cell>
          <cell r="B1639">
            <v>37018870</v>
          </cell>
          <cell r="C1639">
            <v>20075484</v>
          </cell>
          <cell r="D1639">
            <v>45517</v>
          </cell>
        </row>
        <row r="1640">
          <cell r="A1640" t="str">
            <v>Alessandro Jose Moreira</v>
          </cell>
          <cell r="B1640">
            <v>37000358</v>
          </cell>
          <cell r="C1640">
            <v>20008525</v>
          </cell>
          <cell r="D1640">
            <v>37592</v>
          </cell>
        </row>
        <row r="1641">
          <cell r="A1641" t="str">
            <v>Jean Roberto de Souza Santos</v>
          </cell>
          <cell r="B1641">
            <v>37015929</v>
          </cell>
          <cell r="C1641">
            <v>20063662</v>
          </cell>
          <cell r="D1641">
            <v>45300</v>
          </cell>
        </row>
        <row r="1642">
          <cell r="A1642" t="str">
            <v>Luis Felipe Silva Mendes</v>
          </cell>
          <cell r="B1642">
            <v>37012018</v>
          </cell>
          <cell r="C1642">
            <v>20047170</v>
          </cell>
          <cell r="D1642">
            <v>45027</v>
          </cell>
        </row>
        <row r="1643">
          <cell r="A1643" t="str">
            <v>Miguel de Souza Arias</v>
          </cell>
          <cell r="B1643">
            <v>37018872</v>
          </cell>
          <cell r="C1643">
            <v>20060500</v>
          </cell>
          <cell r="D1643">
            <v>45510</v>
          </cell>
        </row>
        <row r="1644">
          <cell r="A1644" t="str">
            <v>Joice Pereira De Godoy</v>
          </cell>
          <cell r="B1644">
            <v>37007637</v>
          </cell>
          <cell r="C1644">
            <v>20025648</v>
          </cell>
          <cell r="D1644">
            <v>44683</v>
          </cell>
        </row>
        <row r="1645">
          <cell r="A1645" t="str">
            <v>Lucas Pereira De Souza</v>
          </cell>
          <cell r="B1645">
            <v>37018913</v>
          </cell>
          <cell r="C1645">
            <v>20076047</v>
          </cell>
          <cell r="D1645">
            <v>45524</v>
          </cell>
        </row>
        <row r="1646">
          <cell r="A1646" t="str">
            <v>Victor Piovesane Silva</v>
          </cell>
          <cell r="B1646">
            <v>37018921</v>
          </cell>
          <cell r="C1646">
            <v>20076055</v>
          </cell>
          <cell r="D1646" t="str">
            <v>00/01/1900</v>
          </cell>
        </row>
        <row r="1647">
          <cell r="A1647" t="str">
            <v>Beatriz Ferreira da Silva</v>
          </cell>
          <cell r="B1647">
            <v>37900912</v>
          </cell>
          <cell r="C1647">
            <v>20072469</v>
          </cell>
          <cell r="D1647" t="str">
            <v>00/01/1900</v>
          </cell>
        </row>
        <row r="1648">
          <cell r="A1648" t="str">
            <v>Andre Neto Mello</v>
          </cell>
          <cell r="B1648">
            <v>37018956</v>
          </cell>
          <cell r="C1648">
            <v>20076090</v>
          </cell>
          <cell r="D1648">
            <v>45524</v>
          </cell>
        </row>
        <row r="1649">
          <cell r="A1649" t="str">
            <v>Gideonis Bonfim dos Santos Bonfim dos Santos</v>
          </cell>
          <cell r="B1649">
            <v>37018961</v>
          </cell>
          <cell r="C1649">
            <v>20076095</v>
          </cell>
          <cell r="D1649">
            <v>45524</v>
          </cell>
        </row>
        <row r="1650">
          <cell r="A1650" t="str">
            <v>Agnaldo Pereira Filho</v>
          </cell>
          <cell r="B1650">
            <v>37018962</v>
          </cell>
          <cell r="C1650">
            <v>20076096</v>
          </cell>
          <cell r="D1650">
            <v>45524</v>
          </cell>
        </row>
        <row r="1651">
          <cell r="A1651" t="str">
            <v>Aparecido Antônio Caulizano</v>
          </cell>
          <cell r="B1651">
            <v>37018949</v>
          </cell>
          <cell r="C1651">
            <v>20076083</v>
          </cell>
          <cell r="D1651">
            <v>45524</v>
          </cell>
        </row>
        <row r="1652">
          <cell r="A1652" t="str">
            <v>Renan Eduardo Virginia</v>
          </cell>
          <cell r="B1652">
            <v>37018971</v>
          </cell>
          <cell r="C1652">
            <v>20076182</v>
          </cell>
          <cell r="D1652">
            <v>45524</v>
          </cell>
        </row>
        <row r="1653">
          <cell r="A1653" t="str">
            <v>Anderson Fernando Antunes Acósta</v>
          </cell>
          <cell r="B1653">
            <v>37018972</v>
          </cell>
          <cell r="C1653">
            <v>20076183</v>
          </cell>
          <cell r="D1653">
            <v>45524</v>
          </cell>
        </row>
        <row r="1654">
          <cell r="A1654" t="str">
            <v>Nicolas Francisco Godoy</v>
          </cell>
          <cell r="B1654">
            <v>37018975</v>
          </cell>
          <cell r="C1654">
            <v>20076194</v>
          </cell>
          <cell r="D1654">
            <v>45524</v>
          </cell>
        </row>
        <row r="1655">
          <cell r="A1655" t="str">
            <v>Frederich Peruch</v>
          </cell>
          <cell r="B1655">
            <v>37018983</v>
          </cell>
          <cell r="C1655">
            <v>20076758</v>
          </cell>
          <cell r="D1655">
            <v>45538</v>
          </cell>
        </row>
        <row r="1656">
          <cell r="A1656" t="str">
            <v>Gabriela Isadora Germino</v>
          </cell>
          <cell r="B1656">
            <v>37018987</v>
          </cell>
          <cell r="C1656">
            <v>20060495</v>
          </cell>
          <cell r="D1656">
            <v>45524</v>
          </cell>
        </row>
        <row r="1657">
          <cell r="A1657" t="str">
            <v>Marcelo De Souza Carvalho</v>
          </cell>
          <cell r="B1657">
            <v>37014886</v>
          </cell>
          <cell r="C1657">
            <v>20060473</v>
          </cell>
          <cell r="D1657">
            <v>45209</v>
          </cell>
        </row>
        <row r="1658">
          <cell r="A1658" t="str">
            <v>Alexsandro Angelino de Souza</v>
          </cell>
          <cell r="B1658">
            <v>37019031</v>
          </cell>
          <cell r="C1658">
            <v>20076870</v>
          </cell>
          <cell r="D1658">
            <v>45538</v>
          </cell>
        </row>
        <row r="1659">
          <cell r="A1659" t="str">
            <v>Reginaldo Santana De Oliveira</v>
          </cell>
          <cell r="B1659">
            <v>37019032</v>
          </cell>
          <cell r="C1659">
            <v>20076872</v>
          </cell>
          <cell r="D1659">
            <v>45538</v>
          </cell>
        </row>
        <row r="1660">
          <cell r="A1660" t="str">
            <v>Breno Ferreira Silva</v>
          </cell>
          <cell r="B1660">
            <v>37019036</v>
          </cell>
          <cell r="C1660">
            <v>20076888</v>
          </cell>
          <cell r="D1660">
            <v>45538</v>
          </cell>
        </row>
        <row r="1661">
          <cell r="A1661" t="str">
            <v>Rafaela Saskya Parlla Parlla Jansan</v>
          </cell>
          <cell r="B1661">
            <v>37019048</v>
          </cell>
          <cell r="C1661">
            <v>20076900</v>
          </cell>
          <cell r="D1661">
            <v>45538</v>
          </cell>
        </row>
        <row r="1662">
          <cell r="A1662" t="str">
            <v>MARCELA DA SILVA ESTEVO</v>
          </cell>
          <cell r="B1662">
            <v>37019051</v>
          </cell>
          <cell r="C1662">
            <v>20076903</v>
          </cell>
          <cell r="D1662">
            <v>45538</v>
          </cell>
        </row>
        <row r="1663">
          <cell r="A1663" t="str">
            <v>Igor Gabriel Barnabe</v>
          </cell>
          <cell r="B1663">
            <v>37019075</v>
          </cell>
          <cell r="C1663">
            <v>20076928</v>
          </cell>
          <cell r="D1663">
            <v>45538</v>
          </cell>
        </row>
        <row r="1664">
          <cell r="A1664" t="str">
            <v>Carlos Ivan Pereira dos Santos</v>
          </cell>
          <cell r="B1664">
            <v>37019072</v>
          </cell>
          <cell r="C1664">
            <v>20076925</v>
          </cell>
          <cell r="D1664">
            <v>45538</v>
          </cell>
        </row>
        <row r="1665">
          <cell r="A1665" t="str">
            <v>Luis Fernando de caldas Gutierrez Fabiana Furtado</v>
          </cell>
          <cell r="B1665">
            <v>37019079</v>
          </cell>
          <cell r="C1665">
            <v>20076932</v>
          </cell>
          <cell r="D1665">
            <v>45538</v>
          </cell>
        </row>
        <row r="1666">
          <cell r="A1666" t="str">
            <v>Danillo Ribeiro</v>
          </cell>
          <cell r="B1666">
            <v>37019076</v>
          </cell>
          <cell r="C1666">
            <v>20076929</v>
          </cell>
          <cell r="D1666">
            <v>45538</v>
          </cell>
        </row>
        <row r="1667">
          <cell r="A1667" t="str">
            <v>Sandro Jose De Souza</v>
          </cell>
          <cell r="B1667">
            <v>37019082</v>
          </cell>
          <cell r="C1667">
            <v>20076935</v>
          </cell>
          <cell r="D1667">
            <v>45538</v>
          </cell>
        </row>
        <row r="1668">
          <cell r="A1668" t="str">
            <v>Wanderson miranda</v>
          </cell>
          <cell r="B1668">
            <v>37019089</v>
          </cell>
          <cell r="C1668">
            <v>20076942</v>
          </cell>
          <cell r="D1668">
            <v>45538</v>
          </cell>
        </row>
        <row r="1669">
          <cell r="A1669" t="str">
            <v>Lucas Felipe Conceicao Firmino</v>
          </cell>
          <cell r="B1669">
            <v>37014521</v>
          </cell>
          <cell r="C1669">
            <v>20059047</v>
          </cell>
          <cell r="D1669">
            <v>45188</v>
          </cell>
        </row>
        <row r="1670">
          <cell r="A1670" t="str">
            <v>Jossuany De Souza Neves</v>
          </cell>
          <cell r="B1670">
            <v>37014460</v>
          </cell>
          <cell r="C1670">
            <v>20058859</v>
          </cell>
          <cell r="D1670">
            <v>45181</v>
          </cell>
        </row>
        <row r="1671">
          <cell r="A1671" t="str">
            <v>Gabriel Henrique Mantoan de Souza</v>
          </cell>
          <cell r="B1671">
            <v>37014725</v>
          </cell>
          <cell r="C1671">
            <v>20059785</v>
          </cell>
          <cell r="D1671">
            <v>45202</v>
          </cell>
        </row>
        <row r="1672">
          <cell r="A1672" t="str">
            <v>Suelem Pereira Kovalski</v>
          </cell>
          <cell r="B1672">
            <v>37014851</v>
          </cell>
          <cell r="C1672">
            <v>20060401</v>
          </cell>
          <cell r="D1672">
            <v>45209</v>
          </cell>
        </row>
        <row r="1673">
          <cell r="A1673" t="str">
            <v>Gabriel Alencar Mondeck</v>
          </cell>
          <cell r="B1673">
            <v>37014434</v>
          </cell>
          <cell r="C1673">
            <v>20058785</v>
          </cell>
          <cell r="D1673">
            <v>45181</v>
          </cell>
        </row>
        <row r="1674">
          <cell r="A1674" t="str">
            <v>Michael Da Silva Pereira</v>
          </cell>
          <cell r="B1674">
            <v>37003390</v>
          </cell>
          <cell r="C1674">
            <v>20009692</v>
          </cell>
          <cell r="D1674">
            <v>43647</v>
          </cell>
        </row>
        <row r="1675">
          <cell r="A1675" t="str">
            <v>Isabela Pedroso de Oliveira</v>
          </cell>
          <cell r="B1675">
            <v>37014214</v>
          </cell>
          <cell r="C1675">
            <v>20058089</v>
          </cell>
          <cell r="D1675">
            <v>45174</v>
          </cell>
        </row>
        <row r="1676">
          <cell r="A1676" t="str">
            <v>Ellen Mikaeli Dos Santos</v>
          </cell>
          <cell r="B1676">
            <v>37014165</v>
          </cell>
          <cell r="C1676">
            <v>20057966</v>
          </cell>
          <cell r="D1676">
            <v>45174</v>
          </cell>
        </row>
        <row r="1677">
          <cell r="A1677" t="str">
            <v>Cidemar Godoi de Almeida</v>
          </cell>
          <cell r="B1677">
            <v>37014154</v>
          </cell>
          <cell r="C1677">
            <v>20057955</v>
          </cell>
          <cell r="D1677">
            <v>45174</v>
          </cell>
        </row>
        <row r="1678">
          <cell r="A1678" t="str">
            <v>CARLOS EDUARDO PIRAZZA</v>
          </cell>
          <cell r="B1678">
            <v>37016506</v>
          </cell>
          <cell r="C1678">
            <v>20064488</v>
          </cell>
          <cell r="D1678">
            <v>45328</v>
          </cell>
        </row>
        <row r="1679">
          <cell r="A1679" t="str">
            <v>Diego Fernando Leme</v>
          </cell>
          <cell r="B1679">
            <v>37014829</v>
          </cell>
          <cell r="C1679">
            <v>20060108</v>
          </cell>
          <cell r="D1679">
            <v>45209</v>
          </cell>
        </row>
        <row r="1680">
          <cell r="A1680" t="str">
            <v>Emerson Martins Niza</v>
          </cell>
          <cell r="B1680">
            <v>37015305</v>
          </cell>
          <cell r="C1680">
            <v>20062074</v>
          </cell>
          <cell r="D1680">
            <v>45243</v>
          </cell>
        </row>
        <row r="1681">
          <cell r="A1681" t="str">
            <v>Michel Lara Da Silva</v>
          </cell>
          <cell r="B1681">
            <v>37003391</v>
          </cell>
          <cell r="C1681">
            <v>20009695</v>
          </cell>
          <cell r="D1681">
            <v>43647</v>
          </cell>
        </row>
        <row r="1682">
          <cell r="A1682" t="str">
            <v>Luana Francine Dos Santos</v>
          </cell>
          <cell r="B1682">
            <v>37002664</v>
          </cell>
          <cell r="C1682">
            <v>20009502</v>
          </cell>
          <cell r="D1682">
            <v>43437</v>
          </cell>
        </row>
        <row r="1683">
          <cell r="A1683" t="str">
            <v>Aparecido Donizeti Costa</v>
          </cell>
          <cell r="B1683">
            <v>37018082</v>
          </cell>
          <cell r="C1683">
            <v>20071750</v>
          </cell>
          <cell r="D1683">
            <v>45453</v>
          </cell>
        </row>
        <row r="1684">
          <cell r="A1684" t="str">
            <v>Giliarde Aparecido Pereira</v>
          </cell>
          <cell r="B1684">
            <v>37003686</v>
          </cell>
          <cell r="C1684">
            <v>20009174</v>
          </cell>
          <cell r="D1684">
            <v>43724</v>
          </cell>
        </row>
        <row r="1685">
          <cell r="A1685" t="str">
            <v>Guilherme da Silva Viana</v>
          </cell>
          <cell r="B1685">
            <v>37019134</v>
          </cell>
          <cell r="C1685">
            <v>20077318</v>
          </cell>
          <cell r="D1685">
            <v>45545</v>
          </cell>
        </row>
        <row r="1686">
          <cell r="A1686" t="str">
            <v>Gilmar Barbosa Da Silva</v>
          </cell>
          <cell r="B1686">
            <v>37012640</v>
          </cell>
          <cell r="C1686">
            <v>20051147</v>
          </cell>
          <cell r="D1686">
            <v>45083</v>
          </cell>
        </row>
        <row r="1687">
          <cell r="A1687" t="str">
            <v>Julio Cesar Berti</v>
          </cell>
          <cell r="B1687">
            <v>37012556</v>
          </cell>
          <cell r="C1687">
            <v>20050464</v>
          </cell>
          <cell r="D1687">
            <v>45090</v>
          </cell>
        </row>
        <row r="1688">
          <cell r="A1688" t="str">
            <v>Jose Ricardo Silva</v>
          </cell>
          <cell r="B1688">
            <v>37012549</v>
          </cell>
          <cell r="C1688">
            <v>20050390</v>
          </cell>
          <cell r="D1688">
            <v>45090</v>
          </cell>
        </row>
        <row r="1689">
          <cell r="A1689" t="str">
            <v>Everton Luiz Martins De Lima</v>
          </cell>
          <cell r="B1689">
            <v>37019143</v>
          </cell>
          <cell r="C1689">
            <v>20077343</v>
          </cell>
          <cell r="D1689">
            <v>45545</v>
          </cell>
        </row>
        <row r="1690">
          <cell r="A1690" t="str">
            <v>Anderson Augusto Soares</v>
          </cell>
          <cell r="B1690">
            <v>37019124</v>
          </cell>
          <cell r="C1690">
            <v>20039962</v>
          </cell>
          <cell r="D1690">
            <v>45545</v>
          </cell>
        </row>
        <row r="1691">
          <cell r="A1691" t="str">
            <v>Rogério Aparecido Ferreira Ferreira Ferreira</v>
          </cell>
          <cell r="B1691">
            <v>37019168</v>
          </cell>
          <cell r="C1691">
            <v>20077375</v>
          </cell>
          <cell r="D1691">
            <v>45545</v>
          </cell>
        </row>
        <row r="1692">
          <cell r="A1692" t="str">
            <v>Alex Antonio Portes</v>
          </cell>
          <cell r="B1692">
            <v>37019177</v>
          </cell>
          <cell r="C1692">
            <v>20077384</v>
          </cell>
          <cell r="D1692">
            <v>45545</v>
          </cell>
        </row>
        <row r="1693">
          <cell r="A1693" t="str">
            <v>Wesley Da Cruz</v>
          </cell>
          <cell r="B1693">
            <v>37002034</v>
          </cell>
          <cell r="C1693">
            <v>20010047</v>
          </cell>
          <cell r="D1693">
            <v>43045</v>
          </cell>
        </row>
        <row r="1694">
          <cell r="A1694" t="str">
            <v>GABRIEL HENRIQUE MORENO</v>
          </cell>
          <cell r="B1694">
            <v>37019223</v>
          </cell>
          <cell r="C1694">
            <v>20077868</v>
          </cell>
          <cell r="D1694">
            <v>45552</v>
          </cell>
        </row>
        <row r="1695">
          <cell r="A1695" t="str">
            <v>Alex Do Nascimento Correa</v>
          </cell>
          <cell r="B1695">
            <v>37019222</v>
          </cell>
          <cell r="C1695">
            <v>20077867</v>
          </cell>
          <cell r="D1695">
            <v>45552</v>
          </cell>
        </row>
        <row r="1696">
          <cell r="A1696" t="str">
            <v>João Pedro Gomes Santos</v>
          </cell>
          <cell r="B1696">
            <v>37019224</v>
          </cell>
          <cell r="C1696">
            <v>20077869</v>
          </cell>
          <cell r="D1696">
            <v>45552</v>
          </cell>
        </row>
        <row r="1697">
          <cell r="A1697" t="str">
            <v>Katarina Werneck Silveira</v>
          </cell>
          <cell r="B1697">
            <v>37019225</v>
          </cell>
          <cell r="C1697">
            <v>20077870</v>
          </cell>
          <cell r="D1697">
            <v>45552</v>
          </cell>
        </row>
        <row r="1698">
          <cell r="A1698" t="str">
            <v>MICHEL DA COSTA DUTRA MALAQUIAS</v>
          </cell>
          <cell r="B1698">
            <v>37019227</v>
          </cell>
          <cell r="C1698">
            <v>20077872</v>
          </cell>
          <cell r="D1698">
            <v>45552</v>
          </cell>
        </row>
        <row r="1699">
          <cell r="A1699" t="str">
            <v>Leandro Wienskoski</v>
          </cell>
          <cell r="B1699">
            <v>37004461</v>
          </cell>
          <cell r="C1699">
            <v>20008208</v>
          </cell>
          <cell r="D1699">
            <v>43899</v>
          </cell>
        </row>
        <row r="1700">
          <cell r="A1700" t="str">
            <v>Jose Carlos Rodrigues Moncao</v>
          </cell>
          <cell r="B1700">
            <v>37019230</v>
          </cell>
          <cell r="C1700">
            <v>20077892</v>
          </cell>
          <cell r="D1700">
            <v>45552</v>
          </cell>
        </row>
        <row r="1701">
          <cell r="A1701" t="str">
            <v>Rafaela Aparecida Lemes Ribeiro</v>
          </cell>
          <cell r="B1701">
            <v>37019237</v>
          </cell>
          <cell r="C1701">
            <v>20077899</v>
          </cell>
          <cell r="D1701">
            <v>45552</v>
          </cell>
        </row>
        <row r="1702">
          <cell r="A1702" t="str">
            <v>Everton Rogerio Morbi</v>
          </cell>
          <cell r="B1702">
            <v>37014683</v>
          </cell>
          <cell r="C1702">
            <v>20059442</v>
          </cell>
          <cell r="D1702">
            <v>45188</v>
          </cell>
        </row>
        <row r="1703">
          <cell r="A1703" t="str">
            <v>Fabio Alessandro Turcarelli</v>
          </cell>
          <cell r="B1703">
            <v>37007221</v>
          </cell>
          <cell r="C1703">
            <v>20023020</v>
          </cell>
          <cell r="D1703">
            <v>44622</v>
          </cell>
        </row>
        <row r="1704">
          <cell r="A1704" t="str">
            <v>Norberto Romao</v>
          </cell>
          <cell r="B1704">
            <v>37012067</v>
          </cell>
          <cell r="C1704">
            <v>20047581</v>
          </cell>
          <cell r="D1704">
            <v>45027</v>
          </cell>
        </row>
        <row r="1705">
          <cell r="A1705" t="str">
            <v>Rudney Goehring Silva</v>
          </cell>
          <cell r="B1705">
            <v>37004184</v>
          </cell>
          <cell r="C1705">
            <v>20008307</v>
          </cell>
          <cell r="D1705">
            <v>43850</v>
          </cell>
        </row>
        <row r="1706">
          <cell r="A1706" t="str">
            <v>Douglas Cordeiro De Oliveira</v>
          </cell>
          <cell r="B1706">
            <v>37008999</v>
          </cell>
          <cell r="C1706">
            <v>20034601</v>
          </cell>
          <cell r="D1706">
            <v>44781</v>
          </cell>
        </row>
        <row r="1707">
          <cell r="A1707" t="str">
            <v>Jhonatan Vaz Henrique Vaz</v>
          </cell>
          <cell r="B1707">
            <v>37019245</v>
          </cell>
          <cell r="C1707">
            <v>20077926</v>
          </cell>
          <cell r="D1707">
            <v>45552</v>
          </cell>
        </row>
        <row r="1708">
          <cell r="A1708" t="str">
            <v>Keren Helysa Ben Silva</v>
          </cell>
          <cell r="B1708">
            <v>37019251</v>
          </cell>
          <cell r="C1708">
            <v>20077932</v>
          </cell>
          <cell r="D1708">
            <v>45552</v>
          </cell>
        </row>
        <row r="1709">
          <cell r="A1709" t="str">
            <v>Mikhael Luciano Fernandes</v>
          </cell>
          <cell r="B1709">
            <v>37019253</v>
          </cell>
          <cell r="C1709">
            <v>20077934</v>
          </cell>
          <cell r="D1709">
            <v>45552</v>
          </cell>
        </row>
        <row r="1710">
          <cell r="A1710" t="str">
            <v>DANIEL LUIZ DE ALMEIDA</v>
          </cell>
          <cell r="B1710">
            <v>37019264</v>
          </cell>
          <cell r="C1710">
            <v>20077946</v>
          </cell>
          <cell r="D1710">
            <v>45552</v>
          </cell>
        </row>
        <row r="1711">
          <cell r="A1711" t="str">
            <v>JOSÉ ROBERTO Pavanello</v>
          </cell>
          <cell r="B1711">
            <v>37019265</v>
          </cell>
          <cell r="C1711">
            <v>20077947</v>
          </cell>
          <cell r="D1711">
            <v>45552</v>
          </cell>
        </row>
        <row r="1712">
          <cell r="A1712" t="str">
            <v>Naira Camargo de Aurélio</v>
          </cell>
          <cell r="B1712">
            <v>37019261</v>
          </cell>
          <cell r="C1712">
            <v>20077942</v>
          </cell>
          <cell r="D1712">
            <v>45552</v>
          </cell>
        </row>
        <row r="1713">
          <cell r="A1713" t="str">
            <v>Felipe Matheus Martins Rosa</v>
          </cell>
          <cell r="B1713">
            <v>37019262</v>
          </cell>
          <cell r="C1713">
            <v>20077943</v>
          </cell>
          <cell r="D1713">
            <v>45552</v>
          </cell>
        </row>
        <row r="1714">
          <cell r="A1714" t="str">
            <v>Vinicius Barbosa Cruz</v>
          </cell>
          <cell r="B1714">
            <v>37019270</v>
          </cell>
          <cell r="C1714">
            <v>20077952</v>
          </cell>
          <cell r="D1714">
            <v>45552</v>
          </cell>
        </row>
        <row r="1715">
          <cell r="A1715" t="str">
            <v>Vinícius Souza</v>
          </cell>
          <cell r="B1715">
            <v>37019272</v>
          </cell>
          <cell r="C1715">
            <v>20077954</v>
          </cell>
          <cell r="D1715">
            <v>45552</v>
          </cell>
        </row>
        <row r="1716">
          <cell r="A1716" t="str">
            <v>Evelin Rodrigues dos Reis</v>
          </cell>
          <cell r="B1716">
            <v>37019308</v>
          </cell>
          <cell r="C1716">
            <v>20078003</v>
          </cell>
          <cell r="D1716">
            <v>45552</v>
          </cell>
        </row>
        <row r="1717">
          <cell r="A1717" t="str">
            <v>Anderson Pereira Dos Santos Silva</v>
          </cell>
          <cell r="B1717">
            <v>37003313</v>
          </cell>
          <cell r="C1717">
            <v>20008612</v>
          </cell>
          <cell r="D1717">
            <v>43647</v>
          </cell>
        </row>
        <row r="1718">
          <cell r="A1718" t="str">
            <v>Rosely Dos Santos Silva</v>
          </cell>
          <cell r="B1718">
            <v>37900935</v>
          </cell>
          <cell r="C1718">
            <v>20078119</v>
          </cell>
          <cell r="D1718" t="str">
            <v>00/01/1900</v>
          </cell>
        </row>
        <row r="1719">
          <cell r="A1719" t="str">
            <v>Guilherme Felipe Leda</v>
          </cell>
          <cell r="B1719">
            <v>37900952</v>
          </cell>
          <cell r="C1719">
            <v>20078159</v>
          </cell>
          <cell r="D1719" t="str">
            <v>00/01/1900</v>
          </cell>
        </row>
        <row r="1720">
          <cell r="A1720" t="str">
            <v>Gabriela Ferreira Cremer</v>
          </cell>
          <cell r="B1720">
            <v>37900954</v>
          </cell>
          <cell r="C1720">
            <v>20078161</v>
          </cell>
          <cell r="D1720" t="str">
            <v>00/01/1900</v>
          </cell>
        </row>
        <row r="1721">
          <cell r="A1721" t="str">
            <v>Bruno Marcelo Da Silva Batista</v>
          </cell>
          <cell r="B1721">
            <v>37900945</v>
          </cell>
          <cell r="C1721">
            <v>20078151</v>
          </cell>
          <cell r="D1721" t="str">
            <v>00/01/1900</v>
          </cell>
        </row>
        <row r="1722">
          <cell r="A1722" t="str">
            <v>Gabriel Grama Da Cunha</v>
          </cell>
          <cell r="B1722">
            <v>37900946</v>
          </cell>
          <cell r="C1722">
            <v>20078152</v>
          </cell>
          <cell r="D1722" t="str">
            <v>00/01/1900</v>
          </cell>
        </row>
        <row r="1723">
          <cell r="A1723" t="str">
            <v>Sigrid Ane Santana</v>
          </cell>
          <cell r="B1723">
            <v>37019336</v>
          </cell>
          <cell r="C1723">
            <v>20078157</v>
          </cell>
          <cell r="D1723" t="str">
            <v>00/01/1900</v>
          </cell>
        </row>
        <row r="1724">
          <cell r="A1724" t="str">
            <v>David Adan De Oliveira</v>
          </cell>
          <cell r="B1724" t="e">
            <v>#N/A</v>
          </cell>
          <cell r="C1724">
            <v>20060821</v>
          </cell>
          <cell r="D1724" t="e">
            <v>#N/A</v>
          </cell>
        </row>
        <row r="1725">
          <cell r="A1725" t="str">
            <v>Emily Fernanda Pereira</v>
          </cell>
          <cell r="B1725" t="e">
            <v>#N/A</v>
          </cell>
          <cell r="C1725">
            <v>20044493</v>
          </cell>
          <cell r="D1725" t="e">
            <v>#N/A</v>
          </cell>
        </row>
        <row r="1726">
          <cell r="A1726" t="str">
            <v>Rebeca Ribeiro Schwarz dos Santos</v>
          </cell>
          <cell r="B1726" t="e">
            <v>#N/A</v>
          </cell>
          <cell r="C1726">
            <v>20060835</v>
          </cell>
          <cell r="D1726" t="e">
            <v>#N/A</v>
          </cell>
        </row>
        <row r="1727">
          <cell r="A1727" t="str">
            <v>Monalisa ster De Souza</v>
          </cell>
          <cell r="B1727">
            <v>37019345</v>
          </cell>
          <cell r="C1727">
            <v>20078300</v>
          </cell>
          <cell r="D1727">
            <v>45566</v>
          </cell>
        </row>
        <row r="1728">
          <cell r="A1728" t="str">
            <v>Tiago Silva Batista Silva Batista</v>
          </cell>
          <cell r="B1728">
            <v>37019357</v>
          </cell>
          <cell r="C1728">
            <v>20078327</v>
          </cell>
          <cell r="D1728">
            <v>45566</v>
          </cell>
        </row>
        <row r="1729">
          <cell r="A1729" t="str">
            <v>Bruno Clementino Clementino teixeira</v>
          </cell>
          <cell r="B1729">
            <v>37019358</v>
          </cell>
          <cell r="C1729">
            <v>20078328</v>
          </cell>
          <cell r="D1729">
            <v>45566</v>
          </cell>
        </row>
        <row r="1730">
          <cell r="A1730" t="str">
            <v>Danilo Lopes Izidoro</v>
          </cell>
          <cell r="B1730">
            <v>37019356</v>
          </cell>
          <cell r="C1730">
            <v>20078326</v>
          </cell>
          <cell r="D1730">
            <v>45566</v>
          </cell>
        </row>
        <row r="1731">
          <cell r="A1731" t="str">
            <v>Anderson Bruno Oliveira</v>
          </cell>
          <cell r="B1731">
            <v>37019359</v>
          </cell>
          <cell r="C1731">
            <v>20078329</v>
          </cell>
          <cell r="D1731">
            <v>45566</v>
          </cell>
        </row>
        <row r="1732">
          <cell r="A1732" t="str">
            <v>Jonatas Teixeira Michel Teixeira André</v>
          </cell>
          <cell r="B1732">
            <v>37019361</v>
          </cell>
          <cell r="C1732">
            <v>20078331</v>
          </cell>
          <cell r="D1732">
            <v>45566</v>
          </cell>
        </row>
        <row r="1733">
          <cell r="A1733" t="str">
            <v>Samuel Augusto Da Silva</v>
          </cell>
          <cell r="B1733">
            <v>37019363</v>
          </cell>
          <cell r="C1733">
            <v>20078334</v>
          </cell>
          <cell r="D1733">
            <v>45566</v>
          </cell>
        </row>
        <row r="1734">
          <cell r="A1734" t="str">
            <v>Charles De Lima Leme</v>
          </cell>
          <cell r="B1734">
            <v>37019369</v>
          </cell>
          <cell r="C1734">
            <v>20078350</v>
          </cell>
          <cell r="D1734">
            <v>45566</v>
          </cell>
        </row>
        <row r="1735">
          <cell r="A1735" t="str">
            <v>Reginaldo Lopes Velten</v>
          </cell>
          <cell r="B1735">
            <v>37019372</v>
          </cell>
          <cell r="C1735">
            <v>20078353</v>
          </cell>
          <cell r="D1735">
            <v>45566</v>
          </cell>
        </row>
        <row r="1736">
          <cell r="A1736" t="str">
            <v>Helen Felisberto Felisberto</v>
          </cell>
          <cell r="B1736">
            <v>37019368</v>
          </cell>
          <cell r="C1736">
            <v>20078349</v>
          </cell>
          <cell r="D1736">
            <v>45566</v>
          </cell>
        </row>
        <row r="1737">
          <cell r="A1737" t="str">
            <v>Nádia Silva Mosele</v>
          </cell>
          <cell r="B1737">
            <v>37019380</v>
          </cell>
          <cell r="C1737">
            <v>20078361</v>
          </cell>
          <cell r="D1737">
            <v>45566</v>
          </cell>
        </row>
        <row r="1738">
          <cell r="A1738" t="str">
            <v>Aldisio pereira de souza Souza Souza</v>
          </cell>
          <cell r="B1738">
            <v>37019384</v>
          </cell>
          <cell r="C1738">
            <v>20078365</v>
          </cell>
          <cell r="D1738">
            <v>45566</v>
          </cell>
        </row>
        <row r="1739">
          <cell r="A1739" t="str">
            <v>Maria Eduarda de Oliveira</v>
          </cell>
          <cell r="B1739">
            <v>37019391</v>
          </cell>
          <cell r="C1739">
            <v>20078372</v>
          </cell>
          <cell r="D1739">
            <v>45566</v>
          </cell>
        </row>
        <row r="1740">
          <cell r="A1740" t="str">
            <v>Luiz Miller Romualdo</v>
          </cell>
          <cell r="B1740">
            <v>37019395</v>
          </cell>
          <cell r="C1740">
            <v>20078376</v>
          </cell>
          <cell r="D1740">
            <v>45566</v>
          </cell>
        </row>
        <row r="1741">
          <cell r="A1741" t="str">
            <v>Elizangela Barbosa Da Silva</v>
          </cell>
          <cell r="B1741">
            <v>37019402</v>
          </cell>
          <cell r="C1741">
            <v>20078383</v>
          </cell>
          <cell r="D1741">
            <v>45566</v>
          </cell>
        </row>
        <row r="1742">
          <cell r="A1742" t="str">
            <v>Adriano Aparecido Avelino</v>
          </cell>
          <cell r="B1742">
            <v>37019392</v>
          </cell>
          <cell r="C1742">
            <v>20078373</v>
          </cell>
          <cell r="D1742">
            <v>45566</v>
          </cell>
        </row>
        <row r="1743">
          <cell r="A1743" t="str">
            <v>Kevin Delgado Da Silva Delgado</v>
          </cell>
          <cell r="B1743">
            <v>37019398</v>
          </cell>
          <cell r="C1743">
            <v>20078379</v>
          </cell>
          <cell r="D1743">
            <v>45566</v>
          </cell>
        </row>
        <row r="1744">
          <cell r="A1744" t="str">
            <v>Wellington Soares De Oliveira</v>
          </cell>
          <cell r="B1744">
            <v>37003409</v>
          </cell>
          <cell r="C1744">
            <v>20010043</v>
          </cell>
          <cell r="D1744">
            <v>43647</v>
          </cell>
        </row>
        <row r="1745">
          <cell r="A1745" t="str">
            <v>Lincoln Augusto Attes</v>
          </cell>
          <cell r="B1745">
            <v>37019323</v>
          </cell>
          <cell r="C1745">
            <v>20060833</v>
          </cell>
          <cell r="D1745">
            <v>45545</v>
          </cell>
        </row>
        <row r="1746">
          <cell r="A1746" t="str">
            <v>Luiz Henrique Rodrigues Filho</v>
          </cell>
          <cell r="B1746">
            <v>37014794</v>
          </cell>
          <cell r="C1746">
            <v>20060011</v>
          </cell>
          <cell r="D1746">
            <v>45202</v>
          </cell>
        </row>
        <row r="1747">
          <cell r="A1747" t="str">
            <v>Leandro Gomes Azevedo</v>
          </cell>
          <cell r="B1747">
            <v>37002013</v>
          </cell>
          <cell r="C1747">
            <v>20009478</v>
          </cell>
          <cell r="D1747">
            <v>43010</v>
          </cell>
        </row>
        <row r="1748">
          <cell r="A1748" t="str">
            <v>Nilton Augusto Pereira De Sousa</v>
          </cell>
          <cell r="B1748">
            <v>37009081</v>
          </cell>
          <cell r="C1748">
            <v>20009724</v>
          </cell>
          <cell r="D1748">
            <v>44788</v>
          </cell>
        </row>
        <row r="1749">
          <cell r="A1749" t="str">
            <v>Guilherme Farinha Rodrigues</v>
          </cell>
          <cell r="B1749">
            <v>37003352</v>
          </cell>
          <cell r="C1749">
            <v>20009202</v>
          </cell>
          <cell r="D1749">
            <v>43647</v>
          </cell>
        </row>
        <row r="1750">
          <cell r="A1750" t="str">
            <v>Ronaldo Roberto Da Silva</v>
          </cell>
          <cell r="B1750">
            <v>37001682</v>
          </cell>
          <cell r="C1750">
            <v>20009890</v>
          </cell>
          <cell r="D1750">
            <v>42541</v>
          </cell>
        </row>
        <row r="1751">
          <cell r="A1751" t="str">
            <v>Ivair Aparecido Izidoro Da Silva</v>
          </cell>
          <cell r="B1751">
            <v>37000180</v>
          </cell>
          <cell r="C1751">
            <v>20009277</v>
          </cell>
          <cell r="D1751">
            <v>34943</v>
          </cell>
        </row>
        <row r="1752">
          <cell r="A1752" t="str">
            <v>Douglas Marcal Silveira</v>
          </cell>
          <cell r="B1752">
            <v>37003331</v>
          </cell>
          <cell r="C1752">
            <v>20008926</v>
          </cell>
          <cell r="D1752">
            <v>43647</v>
          </cell>
        </row>
        <row r="1753">
          <cell r="A1753" t="str">
            <v>Adilson Francisco Dos Santos</v>
          </cell>
          <cell r="B1753">
            <v>37006131</v>
          </cell>
          <cell r="C1753">
            <v>20016901</v>
          </cell>
          <cell r="D1753">
            <v>44417</v>
          </cell>
        </row>
        <row r="1754">
          <cell r="A1754" t="str">
            <v>Eduardo Luis De Souza Filho</v>
          </cell>
          <cell r="B1754">
            <v>37003333</v>
          </cell>
          <cell r="C1754">
            <v>20008970</v>
          </cell>
          <cell r="D1754">
            <v>43647</v>
          </cell>
        </row>
        <row r="1755">
          <cell r="A1755" t="str">
            <v>Lucas Felipe Dalacqua</v>
          </cell>
          <cell r="B1755">
            <v>37004390</v>
          </cell>
          <cell r="C1755">
            <v>20008210</v>
          </cell>
          <cell r="D1755">
            <v>43878</v>
          </cell>
        </row>
        <row r="1756">
          <cell r="A1756" t="str">
            <v>Emerson Luis Purgano</v>
          </cell>
          <cell r="B1756">
            <v>37014723</v>
          </cell>
          <cell r="C1756">
            <v>20059783</v>
          </cell>
          <cell r="D1756">
            <v>45202</v>
          </cell>
        </row>
        <row r="1757">
          <cell r="A1757" t="str">
            <v>Gustavo Felipe Santos</v>
          </cell>
          <cell r="B1757" t="e">
            <v>#N/A</v>
          </cell>
          <cell r="C1757">
            <v>20078713</v>
          </cell>
          <cell r="D1757" t="e">
            <v>#N/A</v>
          </cell>
        </row>
        <row r="1758">
          <cell r="A1758" t="str">
            <v>Graciele Aparecida Nunes</v>
          </cell>
          <cell r="B1758" t="e">
            <v>#N/A</v>
          </cell>
          <cell r="C1758">
            <v>20078740</v>
          </cell>
          <cell r="D1758" t="e">
            <v>#N/A</v>
          </cell>
        </row>
        <row r="1759">
          <cell r="A1759" t="str">
            <v>Estevan Luis Pereira</v>
          </cell>
          <cell r="B1759" t="e">
            <v>#N/A</v>
          </cell>
          <cell r="C1759">
            <v>20078753</v>
          </cell>
          <cell r="D1759" t="e">
            <v>#N/A</v>
          </cell>
        </row>
        <row r="1760">
          <cell r="A1760" t="str">
            <v>Adrian Filipe Veratti</v>
          </cell>
          <cell r="B1760" t="e">
            <v>#N/A</v>
          </cell>
          <cell r="C1760">
            <v>20079322</v>
          </cell>
          <cell r="D1760" t="e">
            <v>#N/A</v>
          </cell>
        </row>
        <row r="1761">
          <cell r="A1761" t="str">
            <v>Bruna Bueno Rodrigues</v>
          </cell>
          <cell r="B1761" t="e">
            <v>#N/A</v>
          </cell>
          <cell r="C1761">
            <v>20079328</v>
          </cell>
          <cell r="D1761" t="e">
            <v>#N/A</v>
          </cell>
        </row>
        <row r="1762">
          <cell r="A1762" t="str">
            <v>Andre Passoni Martins</v>
          </cell>
          <cell r="B1762" t="e">
            <v>#N/A</v>
          </cell>
          <cell r="C1762">
            <v>20079325</v>
          </cell>
          <cell r="D1762" t="e">
            <v>#N/A</v>
          </cell>
        </row>
        <row r="1763">
          <cell r="A1763" t="str">
            <v>Beatriz Rocha Ferri</v>
          </cell>
          <cell r="B1763" t="e">
            <v>#N/A</v>
          </cell>
          <cell r="C1763">
            <v>20079326</v>
          </cell>
          <cell r="D1763" t="e">
            <v>#N/A</v>
          </cell>
        </row>
        <row r="1764">
          <cell r="A1764" t="str">
            <v>Daniel Jose Da Silva Pelegrin</v>
          </cell>
          <cell r="B1764" t="e">
            <v>#N/A</v>
          </cell>
          <cell r="C1764">
            <v>20079329</v>
          </cell>
          <cell r="D1764" t="e">
            <v>#N/A</v>
          </cell>
        </row>
        <row r="1765">
          <cell r="A1765" t="str">
            <v>Luis Felipe Maciel</v>
          </cell>
          <cell r="B1765">
            <v>37001363</v>
          </cell>
          <cell r="C1765">
            <v>20009538</v>
          </cell>
          <cell r="D1765">
            <v>41708</v>
          </cell>
        </row>
        <row r="1766">
          <cell r="A1766" t="str">
            <v>Felipe Giovani Miguel Silva</v>
          </cell>
          <cell r="B1766">
            <v>37011039</v>
          </cell>
          <cell r="C1766">
            <v>20042025</v>
          </cell>
          <cell r="D1766">
            <v>44963</v>
          </cell>
        </row>
        <row r="1767">
          <cell r="A1767" t="str">
            <v>Dhuliene Goncalves Leite</v>
          </cell>
          <cell r="B1767">
            <v>37014732</v>
          </cell>
          <cell r="C1767">
            <v>20059816</v>
          </cell>
          <cell r="D1767">
            <v>45202</v>
          </cell>
        </row>
        <row r="1768">
          <cell r="A1768" t="str">
            <v>Tamara Cordeiro Sousa</v>
          </cell>
          <cell r="B1768" t="e">
            <v>#N/A</v>
          </cell>
          <cell r="C1768">
            <v>20079339</v>
          </cell>
          <cell r="D1768" t="e">
            <v>#N/A</v>
          </cell>
        </row>
        <row r="1769">
          <cell r="A1769" t="str">
            <v>FELIPE FERRAZ GOIS</v>
          </cell>
          <cell r="B1769">
            <v>37010021</v>
          </cell>
          <cell r="C1769">
            <v>20037926</v>
          </cell>
          <cell r="D1769">
            <v>44881</v>
          </cell>
        </row>
        <row r="1770">
          <cell r="A1770" t="str">
            <v>Regiane Dos Santos Batista</v>
          </cell>
          <cell r="B1770" t="e">
            <v>#N/A</v>
          </cell>
          <cell r="C1770">
            <v>20079338</v>
          </cell>
          <cell r="D1770" t="e">
            <v>#N/A</v>
          </cell>
        </row>
        <row r="1771">
          <cell r="A1771" t="str">
            <v>Evellyn Francisco Ferreira</v>
          </cell>
          <cell r="B1771" t="e">
            <v>#N/A</v>
          </cell>
          <cell r="C1771">
            <v>20079340</v>
          </cell>
          <cell r="D1771" t="e">
            <v>#N/A</v>
          </cell>
        </row>
        <row r="1772">
          <cell r="A1772" t="str">
            <v>Maiara Cordeiro</v>
          </cell>
          <cell r="B1772" t="e">
            <v>#N/A</v>
          </cell>
          <cell r="C1772">
            <v>20079343</v>
          </cell>
          <cell r="D1772" t="e">
            <v>#N/A</v>
          </cell>
        </row>
        <row r="1773">
          <cell r="A1773" t="str">
            <v>João Pedro Fonseca Do Amaral</v>
          </cell>
          <cell r="B1773" t="e">
            <v>#N/A</v>
          </cell>
          <cell r="C1773">
            <v>20079346</v>
          </cell>
          <cell r="D1773" t="e">
            <v>#N/A</v>
          </cell>
        </row>
        <row r="1774">
          <cell r="A1774" t="str">
            <v>Leonardo Cesar Salgado</v>
          </cell>
          <cell r="B1774">
            <v>37016519</v>
          </cell>
          <cell r="C1774">
            <v>20064501</v>
          </cell>
          <cell r="D1774">
            <v>45328</v>
          </cell>
        </row>
        <row r="1775">
          <cell r="A1775" t="str">
            <v>Osvaldo Aparecido Carvalho Junior</v>
          </cell>
          <cell r="B1775" t="e">
            <v>#N/A</v>
          </cell>
          <cell r="C1775">
            <v>20079948</v>
          </cell>
          <cell r="D1775" t="e">
            <v>#N/A</v>
          </cell>
        </row>
        <row r="1776">
          <cell r="A1776" t="str">
            <v>Everaldo Carlos Rodrigues</v>
          </cell>
          <cell r="B1776">
            <v>37007176</v>
          </cell>
          <cell r="C1776">
            <v>20022979</v>
          </cell>
          <cell r="D1776">
            <v>44609</v>
          </cell>
        </row>
        <row r="1777">
          <cell r="A1777" t="str">
            <v>Irleide Diana Lemos Lemos Lemos</v>
          </cell>
          <cell r="B1777" t="e">
            <v>#N/A</v>
          </cell>
          <cell r="C1777">
            <v>20079963</v>
          </cell>
          <cell r="D1777" t="e">
            <v>#N/A</v>
          </cell>
        </row>
        <row r="1778">
          <cell r="A1778" t="str">
            <v>David Sales Bernardino corrêa</v>
          </cell>
          <cell r="B1778" t="e">
            <v>#N/A</v>
          </cell>
          <cell r="C1778">
            <v>20079964</v>
          </cell>
          <cell r="D1778" t="e">
            <v>#N/A</v>
          </cell>
        </row>
        <row r="1779">
          <cell r="A1779" t="str">
            <v>Enzo Fabiano de Oliveira de Oliveira Toffanin</v>
          </cell>
          <cell r="B1779" t="e">
            <v>#N/A</v>
          </cell>
          <cell r="C1779">
            <v>20079965</v>
          </cell>
          <cell r="D1779" t="e">
            <v>#N/A</v>
          </cell>
        </row>
        <row r="1780">
          <cell r="A1780" t="str">
            <v>Jose Luis Puerta</v>
          </cell>
          <cell r="B1780">
            <v>37006091</v>
          </cell>
          <cell r="C1780">
            <v>20016864</v>
          </cell>
          <cell r="D1780">
            <v>44410</v>
          </cell>
        </row>
        <row r="1781">
          <cell r="A1781" t="str">
            <v>Vitor Giao Dezotti</v>
          </cell>
          <cell r="B1781" t="e">
            <v>#N/A</v>
          </cell>
          <cell r="C1781">
            <v>20079989</v>
          </cell>
          <cell r="D1781" t="e">
            <v>#N/A</v>
          </cell>
        </row>
        <row r="1782">
          <cell r="A1782" t="str">
            <v>Ezequiel anahaia da costa Eleoar anhaia da da costa DA COSTA</v>
          </cell>
          <cell r="B1782" t="e">
            <v>#N/A</v>
          </cell>
          <cell r="C1782">
            <v>20080012</v>
          </cell>
          <cell r="D1782" t="e">
            <v>#N/A</v>
          </cell>
        </row>
        <row r="1783">
          <cell r="A1783" t="str">
            <v>Agostinho Batista Dos Santos Junior</v>
          </cell>
          <cell r="B1783">
            <v>37004118</v>
          </cell>
          <cell r="C1783">
            <v>20008040</v>
          </cell>
          <cell r="D1783">
            <v>43843</v>
          </cell>
        </row>
        <row r="1784">
          <cell r="A1784" t="str">
            <v>Jorge Paulo Biazotto</v>
          </cell>
          <cell r="B1784">
            <v>37004756</v>
          </cell>
          <cell r="C1784">
            <v>20008050</v>
          </cell>
          <cell r="D1784">
            <v>44060</v>
          </cell>
        </row>
        <row r="1785">
          <cell r="A1785" t="str">
            <v>Cleber Rogerio De Souza Furtado</v>
          </cell>
          <cell r="B1785">
            <v>37004746</v>
          </cell>
          <cell r="C1785">
            <v>20008056</v>
          </cell>
          <cell r="D1785">
            <v>44060</v>
          </cell>
        </row>
        <row r="1786">
          <cell r="A1786" t="str">
            <v>Andrica De Faria Mendonca</v>
          </cell>
          <cell r="B1786">
            <v>37004739</v>
          </cell>
          <cell r="C1786">
            <v>20008058</v>
          </cell>
          <cell r="D1786">
            <v>44060</v>
          </cell>
        </row>
        <row r="1787">
          <cell r="A1787" t="str">
            <v>Andre Vanni</v>
          </cell>
          <cell r="B1787">
            <v>37004737</v>
          </cell>
          <cell r="C1787">
            <v>20008063</v>
          </cell>
          <cell r="D1787">
            <v>44060</v>
          </cell>
        </row>
        <row r="1788">
          <cell r="A1788" t="str">
            <v>Carlos Fernando Pimentel Tagarro</v>
          </cell>
          <cell r="B1788">
            <v>37004784</v>
          </cell>
          <cell r="C1788">
            <v>20008080</v>
          </cell>
          <cell r="D1788">
            <v>44067</v>
          </cell>
        </row>
        <row r="1789">
          <cell r="A1789" t="str">
            <v>Paulo Rodrigues De Souza Junior</v>
          </cell>
          <cell r="B1789">
            <v>37004792</v>
          </cell>
          <cell r="C1789">
            <v>20008090</v>
          </cell>
          <cell r="D1789">
            <v>44067</v>
          </cell>
        </row>
        <row r="1790">
          <cell r="A1790" t="str">
            <v>Bruno Pereira Silva</v>
          </cell>
          <cell r="B1790">
            <v>37004529</v>
          </cell>
          <cell r="C1790">
            <v>20008131</v>
          </cell>
          <cell r="D1790">
            <v>43929</v>
          </cell>
        </row>
        <row r="1791">
          <cell r="A1791" t="str">
            <v>Carlos Atila De Souza Menezes</v>
          </cell>
          <cell r="B1791">
            <v>37004074</v>
          </cell>
          <cell r="C1791">
            <v>20008144</v>
          </cell>
          <cell r="D1791">
            <v>43836</v>
          </cell>
        </row>
        <row r="1792">
          <cell r="A1792" t="str">
            <v>Robson Roberto De Souza</v>
          </cell>
          <cell r="B1792">
            <v>37004885</v>
          </cell>
          <cell r="C1792">
            <v>20008121</v>
          </cell>
          <cell r="D1792">
            <v>44090</v>
          </cell>
        </row>
        <row r="1793">
          <cell r="A1793" t="str">
            <v>Rodrigo Martins De Almeida</v>
          </cell>
          <cell r="B1793">
            <v>37004886</v>
          </cell>
          <cell r="C1793">
            <v>20008133</v>
          </cell>
          <cell r="D1793">
            <v>44090</v>
          </cell>
        </row>
        <row r="1794">
          <cell r="A1794" t="str">
            <v>Sandro De Aguiar</v>
          </cell>
          <cell r="B1794">
            <v>37004960</v>
          </cell>
          <cell r="C1794">
            <v>20008150</v>
          </cell>
          <cell r="D1794">
            <v>44109</v>
          </cell>
        </row>
        <row r="1795">
          <cell r="A1795" t="str">
            <v>Cleber Jose Effgen</v>
          </cell>
          <cell r="B1795">
            <v>37004924</v>
          </cell>
          <cell r="C1795">
            <v>20008160</v>
          </cell>
          <cell r="D1795">
            <v>44109</v>
          </cell>
        </row>
        <row r="1796">
          <cell r="A1796" t="str">
            <v>Renato Gomes De Azevedo</v>
          </cell>
          <cell r="B1796">
            <v>37004769</v>
          </cell>
          <cell r="C1796">
            <v>20008393</v>
          </cell>
          <cell r="D1796">
            <v>44060</v>
          </cell>
        </row>
        <row r="1797">
          <cell r="A1797" t="str">
            <v>Fabio Correa Da Silva</v>
          </cell>
          <cell r="B1797">
            <v>37004270</v>
          </cell>
          <cell r="C1797">
            <v>20008177</v>
          </cell>
          <cell r="D1797">
            <v>43864</v>
          </cell>
        </row>
        <row r="1798">
          <cell r="A1798" t="str">
            <v>Franklin Sergio Costa Leite Filho</v>
          </cell>
          <cell r="B1798">
            <v>37004457</v>
          </cell>
          <cell r="C1798">
            <v>20008182</v>
          </cell>
          <cell r="D1798">
            <v>43899</v>
          </cell>
        </row>
        <row r="1799">
          <cell r="A1799" t="str">
            <v>Jarliene Lima Do Nascimento</v>
          </cell>
          <cell r="B1799">
            <v>37004426</v>
          </cell>
          <cell r="C1799">
            <v>20008197</v>
          </cell>
          <cell r="D1799">
            <v>43892</v>
          </cell>
        </row>
        <row r="1800">
          <cell r="A1800" t="str">
            <v>Joao Marques Filho</v>
          </cell>
          <cell r="B1800">
            <v>37004627</v>
          </cell>
          <cell r="C1800">
            <v>20008198</v>
          </cell>
          <cell r="D1800">
            <v>44025</v>
          </cell>
        </row>
        <row r="1801">
          <cell r="A1801" t="str">
            <v>Luciano Indruczaki Souza</v>
          </cell>
          <cell r="B1801">
            <v>37004510</v>
          </cell>
          <cell r="C1801">
            <v>20008216</v>
          </cell>
          <cell r="D1801">
            <v>43927</v>
          </cell>
        </row>
        <row r="1802">
          <cell r="A1802" t="str">
            <v>Lucindo Pereira Martins</v>
          </cell>
          <cell r="B1802">
            <v>37004174</v>
          </cell>
          <cell r="C1802">
            <v>20008219</v>
          </cell>
          <cell r="D1802">
            <v>43850</v>
          </cell>
        </row>
        <row r="1803">
          <cell r="A1803" t="str">
            <v>Magno Dione Figueiredo Da Silva</v>
          </cell>
          <cell r="B1803">
            <v>37004346</v>
          </cell>
          <cell r="C1803">
            <v>20008226</v>
          </cell>
          <cell r="D1803">
            <v>43871</v>
          </cell>
        </row>
        <row r="1804">
          <cell r="A1804" t="str">
            <v>Marco Antonio Fernandes Da Silva</v>
          </cell>
          <cell r="B1804">
            <v>37004176</v>
          </cell>
          <cell r="C1804">
            <v>20008235</v>
          </cell>
          <cell r="D1804">
            <v>43850</v>
          </cell>
        </row>
        <row r="1805">
          <cell r="A1805" t="str">
            <v>Matheus Goncalves Da Silva Pereira</v>
          </cell>
          <cell r="B1805">
            <v>37004392</v>
          </cell>
          <cell r="C1805">
            <v>20008250</v>
          </cell>
          <cell r="D1805">
            <v>43878</v>
          </cell>
        </row>
        <row r="1806">
          <cell r="A1806" t="str">
            <v>Mauricio Giuseph Pinto Ferreira</v>
          </cell>
          <cell r="B1806">
            <v>37004531</v>
          </cell>
          <cell r="C1806">
            <v>20008252</v>
          </cell>
          <cell r="D1806">
            <v>43929</v>
          </cell>
        </row>
        <row r="1807">
          <cell r="A1807" t="str">
            <v>Mauro Sergio Goncalves De Carvalho</v>
          </cell>
          <cell r="B1807">
            <v>37004432</v>
          </cell>
          <cell r="C1807">
            <v>20008254</v>
          </cell>
          <cell r="D1807">
            <v>43892</v>
          </cell>
        </row>
        <row r="1808">
          <cell r="A1808" t="str">
            <v>Patrick Anderson Ferreira</v>
          </cell>
          <cell r="B1808">
            <v>37004305</v>
          </cell>
          <cell r="C1808">
            <v>20008267</v>
          </cell>
          <cell r="D1808">
            <v>43864</v>
          </cell>
        </row>
        <row r="1809">
          <cell r="A1809" t="str">
            <v>Rodrigo Damiao Andrade</v>
          </cell>
          <cell r="B1809">
            <v>37004252</v>
          </cell>
          <cell r="C1809">
            <v>20008301</v>
          </cell>
          <cell r="D1809">
            <v>43852</v>
          </cell>
        </row>
        <row r="1810">
          <cell r="A1810" t="str">
            <v>Rodrigo Redigolo Brandt</v>
          </cell>
          <cell r="B1810">
            <v>37004634</v>
          </cell>
          <cell r="C1810">
            <v>20008302</v>
          </cell>
          <cell r="D1810">
            <v>44025</v>
          </cell>
        </row>
        <row r="1811">
          <cell r="A1811" t="str">
            <v>Sergio Antonio Da Silva</v>
          </cell>
          <cell r="B1811">
            <v>37004470</v>
          </cell>
          <cell r="C1811">
            <v>20008313</v>
          </cell>
          <cell r="D1811">
            <v>43899</v>
          </cell>
        </row>
        <row r="1812">
          <cell r="A1812" t="str">
            <v>Waldejunior Mendes Flexa</v>
          </cell>
          <cell r="B1812">
            <v>37004475</v>
          </cell>
          <cell r="C1812">
            <v>20008345</v>
          </cell>
          <cell r="D1812">
            <v>43899</v>
          </cell>
        </row>
        <row r="1813">
          <cell r="A1813" t="str">
            <v>William Guimaraes De Souza</v>
          </cell>
          <cell r="B1813">
            <v>37004187</v>
          </cell>
          <cell r="C1813">
            <v>20008350</v>
          </cell>
          <cell r="D1813">
            <v>43850</v>
          </cell>
        </row>
        <row r="1814">
          <cell r="A1814" t="str">
            <v>Renan Teodoro Inacio</v>
          </cell>
          <cell r="B1814">
            <v>37004768</v>
          </cell>
          <cell r="C1814">
            <v>20008397</v>
          </cell>
          <cell r="D1814">
            <v>44060</v>
          </cell>
        </row>
        <row r="1815">
          <cell r="A1815" t="str">
            <v>Adriano Antonio Portes</v>
          </cell>
          <cell r="B1815">
            <v>37004731</v>
          </cell>
          <cell r="C1815">
            <v>20008398</v>
          </cell>
          <cell r="D1815">
            <v>44060</v>
          </cell>
        </row>
        <row r="1816">
          <cell r="A1816" t="str">
            <v>Walter Estevam Da Silva Neto</v>
          </cell>
          <cell r="B1816">
            <v>37004796</v>
          </cell>
          <cell r="C1816">
            <v>20008402</v>
          </cell>
          <cell r="D1816">
            <v>44067</v>
          </cell>
        </row>
        <row r="1817">
          <cell r="A1817" t="str">
            <v>Leandro Aparecido Costa</v>
          </cell>
          <cell r="B1817">
            <v>37004878</v>
          </cell>
          <cell r="C1817">
            <v>20008419</v>
          </cell>
          <cell r="D1817">
            <v>44090</v>
          </cell>
        </row>
        <row r="1818">
          <cell r="A1818" t="str">
            <v>Fabiano Dos Santos Rocha</v>
          </cell>
          <cell r="B1818">
            <v>37004875</v>
          </cell>
          <cell r="C1818">
            <v>20008423</v>
          </cell>
          <cell r="D1818">
            <v>44090</v>
          </cell>
        </row>
        <row r="1819">
          <cell r="A1819" t="str">
            <v>Adilson Candido</v>
          </cell>
          <cell r="B1819">
            <v>37004526</v>
          </cell>
          <cell r="C1819">
            <v>20008495</v>
          </cell>
          <cell r="D1819">
            <v>43929</v>
          </cell>
        </row>
        <row r="1820">
          <cell r="A1820" t="str">
            <v>Adriano Zentil Polzin</v>
          </cell>
          <cell r="B1820">
            <v>37001015</v>
          </cell>
          <cell r="C1820">
            <v>20008511</v>
          </cell>
          <cell r="D1820">
            <v>41113</v>
          </cell>
        </row>
        <row r="1821">
          <cell r="A1821" t="str">
            <v>Alessandro Luiz De Freitas</v>
          </cell>
          <cell r="B1821">
            <v>37000637</v>
          </cell>
          <cell r="C1821">
            <v>20008527</v>
          </cell>
          <cell r="D1821">
            <v>39545</v>
          </cell>
        </row>
        <row r="1822">
          <cell r="A1822" t="str">
            <v>Alex Fernando Lino</v>
          </cell>
          <cell r="B1822">
            <v>37003307</v>
          </cell>
          <cell r="C1822">
            <v>20008537</v>
          </cell>
          <cell r="D1822">
            <v>43647</v>
          </cell>
        </row>
        <row r="1823">
          <cell r="A1823" t="str">
            <v>Alexandre Aroca</v>
          </cell>
          <cell r="B1823">
            <v>37000403</v>
          </cell>
          <cell r="C1823">
            <v>20008542</v>
          </cell>
          <cell r="D1823">
            <v>38355</v>
          </cell>
        </row>
        <row r="1824">
          <cell r="A1824" t="str">
            <v>Alisson Jose Ramos De Santana</v>
          </cell>
          <cell r="B1824">
            <v>37000383</v>
          </cell>
          <cell r="C1824">
            <v>20008560</v>
          </cell>
          <cell r="D1824">
            <v>38005</v>
          </cell>
        </row>
        <row r="1825">
          <cell r="A1825" t="str">
            <v>Amarildo Jose Ferrari</v>
          </cell>
          <cell r="B1825">
            <v>37000016</v>
          </cell>
          <cell r="C1825">
            <v>20008572</v>
          </cell>
          <cell r="D1825">
            <v>31512</v>
          </cell>
        </row>
        <row r="1826">
          <cell r="A1826" t="str">
            <v>Ana Carolina Malisse Do Amaral</v>
          </cell>
          <cell r="B1826">
            <v>37003744</v>
          </cell>
          <cell r="C1826">
            <v>20008575</v>
          </cell>
          <cell r="D1826">
            <v>43752</v>
          </cell>
        </row>
        <row r="1827">
          <cell r="A1827" t="str">
            <v>Anderson Couto</v>
          </cell>
          <cell r="B1827">
            <v>37000404</v>
          </cell>
          <cell r="C1827">
            <v>20008601</v>
          </cell>
          <cell r="D1827">
            <v>38355</v>
          </cell>
        </row>
        <row r="1828">
          <cell r="A1828" t="str">
            <v>Anderson Fernando Dos Santos</v>
          </cell>
          <cell r="B1828">
            <v>37003746</v>
          </cell>
          <cell r="C1828">
            <v>20008604</v>
          </cell>
          <cell r="D1828">
            <v>43752</v>
          </cell>
        </row>
        <row r="1829">
          <cell r="A1829" t="str">
            <v>Anderson Oliveira De Lima</v>
          </cell>
          <cell r="B1829">
            <v>37000407</v>
          </cell>
          <cell r="C1829">
            <v>20008611</v>
          </cell>
          <cell r="D1829">
            <v>38355</v>
          </cell>
        </row>
        <row r="1830">
          <cell r="A1830" t="str">
            <v>Anderson Rodrigo De Oliveira</v>
          </cell>
          <cell r="B1830">
            <v>37000178</v>
          </cell>
          <cell r="C1830">
            <v>20008613</v>
          </cell>
          <cell r="D1830">
            <v>34943</v>
          </cell>
        </row>
        <row r="1831">
          <cell r="A1831" t="str">
            <v>Andre Luiz Couto</v>
          </cell>
          <cell r="B1831">
            <v>37000393</v>
          </cell>
          <cell r="C1831">
            <v>20008623</v>
          </cell>
          <cell r="D1831">
            <v>38187</v>
          </cell>
        </row>
        <row r="1832">
          <cell r="A1832" t="str">
            <v>Andre Luiz Dos Santos</v>
          </cell>
          <cell r="B1832">
            <v>37000394</v>
          </cell>
          <cell r="C1832">
            <v>20008624</v>
          </cell>
          <cell r="D1832">
            <v>38194</v>
          </cell>
        </row>
        <row r="1833">
          <cell r="A1833" t="str">
            <v>Andre Luiz Viana Vaz</v>
          </cell>
          <cell r="B1833">
            <v>37000190</v>
          </cell>
          <cell r="C1833">
            <v>20008628</v>
          </cell>
          <cell r="D1833">
            <v>35033</v>
          </cell>
        </row>
        <row r="1834">
          <cell r="A1834" t="str">
            <v>Antonio Carlos Taioque</v>
          </cell>
          <cell r="B1834">
            <v>37000138</v>
          </cell>
          <cell r="C1834">
            <v>20008653</v>
          </cell>
          <cell r="D1834">
            <v>34813</v>
          </cell>
        </row>
        <row r="1835">
          <cell r="A1835" t="str">
            <v>Antonio Cazarotti</v>
          </cell>
          <cell r="B1835">
            <v>37000054</v>
          </cell>
          <cell r="C1835">
            <v>20008654</v>
          </cell>
          <cell r="D1835">
            <v>32616</v>
          </cell>
        </row>
        <row r="1836">
          <cell r="A1836" t="str">
            <v>Antonio Donizete Tavares</v>
          </cell>
          <cell r="B1836">
            <v>37000072</v>
          </cell>
          <cell r="C1836">
            <v>20008655</v>
          </cell>
          <cell r="D1836">
            <v>33147</v>
          </cell>
        </row>
        <row r="1837">
          <cell r="A1837" t="str">
            <v>Antonio Florismundo Bueno De Lima</v>
          </cell>
          <cell r="B1837">
            <v>37000150</v>
          </cell>
          <cell r="C1837">
            <v>20008657</v>
          </cell>
          <cell r="D1837">
            <v>34842</v>
          </cell>
        </row>
        <row r="1838">
          <cell r="A1838" t="str">
            <v>Antonio Lourenco Cordeiro</v>
          </cell>
          <cell r="B1838">
            <v>37000088</v>
          </cell>
          <cell r="C1838">
            <v>20008660</v>
          </cell>
          <cell r="D1838">
            <v>33633</v>
          </cell>
        </row>
        <row r="1839">
          <cell r="A1839" t="str">
            <v>Antonio Valerio De Souza</v>
          </cell>
          <cell r="B1839">
            <v>37004153</v>
          </cell>
          <cell r="C1839">
            <v>20008668</v>
          </cell>
          <cell r="D1839">
            <v>43850</v>
          </cell>
        </row>
        <row r="1840">
          <cell r="A1840" t="str">
            <v>Aparecido Donizeti De Oliveira</v>
          </cell>
          <cell r="B1840">
            <v>37004259</v>
          </cell>
          <cell r="C1840">
            <v>20008674</v>
          </cell>
          <cell r="D1840">
            <v>43864</v>
          </cell>
        </row>
        <row r="1841">
          <cell r="A1841" t="str">
            <v>Arnaldo Aparecido Portes</v>
          </cell>
          <cell r="B1841">
            <v>37000395</v>
          </cell>
          <cell r="C1841">
            <v>20008683</v>
          </cell>
          <cell r="D1841">
            <v>38194</v>
          </cell>
        </row>
        <row r="1842">
          <cell r="A1842" t="str">
            <v>Arnaldo Jose Monteiro</v>
          </cell>
          <cell r="B1842">
            <v>37000192</v>
          </cell>
          <cell r="C1842">
            <v>20008684</v>
          </cell>
          <cell r="D1842">
            <v>35041</v>
          </cell>
        </row>
        <row r="1843">
          <cell r="A1843" t="str">
            <v>Arthur Xavier Piccoli</v>
          </cell>
          <cell r="B1843">
            <v>37003316</v>
          </cell>
          <cell r="C1843">
            <v>20008689</v>
          </cell>
          <cell r="D1843">
            <v>43647</v>
          </cell>
        </row>
        <row r="1844">
          <cell r="A1844" t="str">
            <v>Benedito Aparecido Marques</v>
          </cell>
          <cell r="B1844">
            <v>37003557</v>
          </cell>
          <cell r="C1844">
            <v>20008699</v>
          </cell>
          <cell r="D1844">
            <v>43696</v>
          </cell>
        </row>
        <row r="1845">
          <cell r="A1845" t="str">
            <v>Bruno Soares Da Silva Gois</v>
          </cell>
          <cell r="B1845">
            <v>37004155</v>
          </cell>
          <cell r="C1845">
            <v>20008730</v>
          </cell>
          <cell r="D1845">
            <v>43850</v>
          </cell>
        </row>
        <row r="1846">
          <cell r="A1846" t="str">
            <v>Calixton Felipe Minetto</v>
          </cell>
          <cell r="B1846">
            <v>37003322</v>
          </cell>
          <cell r="C1846">
            <v>20008740</v>
          </cell>
          <cell r="D1846">
            <v>43647</v>
          </cell>
        </row>
        <row r="1847">
          <cell r="A1847" t="str">
            <v>Carlos Henrique Da Silva Dutra</v>
          </cell>
          <cell r="B1847">
            <v>37003325</v>
          </cell>
          <cell r="C1847">
            <v>20008762</v>
          </cell>
          <cell r="D1847">
            <v>43647</v>
          </cell>
        </row>
        <row r="1848">
          <cell r="A1848" t="str">
            <v>Carlos Renato Bariquello</v>
          </cell>
          <cell r="B1848">
            <v>37002277</v>
          </cell>
          <cell r="C1848">
            <v>20008765</v>
          </cell>
          <cell r="D1848">
            <v>43192</v>
          </cell>
        </row>
        <row r="1849">
          <cell r="A1849" t="str">
            <v>Celio Tamborim</v>
          </cell>
          <cell r="B1849">
            <v>37000116</v>
          </cell>
          <cell r="C1849">
            <v>20008779</v>
          </cell>
          <cell r="D1849">
            <v>34459</v>
          </cell>
        </row>
        <row r="1850">
          <cell r="A1850" t="str">
            <v>Cesar Henrique Andreoti</v>
          </cell>
          <cell r="B1850">
            <v>37000296</v>
          </cell>
          <cell r="C1850">
            <v>20008789</v>
          </cell>
          <cell r="D1850">
            <v>36654</v>
          </cell>
        </row>
        <row r="1851">
          <cell r="A1851" t="str">
            <v>Christiano Ometto Martini</v>
          </cell>
          <cell r="B1851">
            <v>37000282</v>
          </cell>
          <cell r="C1851">
            <v>20008794</v>
          </cell>
          <cell r="D1851">
            <v>36224</v>
          </cell>
        </row>
        <row r="1852">
          <cell r="A1852" t="str">
            <v>Claudio Bento De Oliveira</v>
          </cell>
          <cell r="B1852">
            <v>37000151</v>
          </cell>
          <cell r="C1852">
            <v>20008811</v>
          </cell>
          <cell r="D1852">
            <v>34843</v>
          </cell>
        </row>
        <row r="1853">
          <cell r="A1853" t="str">
            <v>Claudio Jose Nelli</v>
          </cell>
          <cell r="B1853">
            <v>37000193</v>
          </cell>
          <cell r="C1853">
            <v>20008814</v>
          </cell>
          <cell r="D1853">
            <v>35041</v>
          </cell>
        </row>
        <row r="1854">
          <cell r="A1854" t="str">
            <v>Clebenilson Santos Lima</v>
          </cell>
          <cell r="B1854">
            <v>37004504</v>
          </cell>
          <cell r="C1854">
            <v>20008818</v>
          </cell>
          <cell r="D1854">
            <v>43927</v>
          </cell>
        </row>
        <row r="1855">
          <cell r="A1855" t="str">
            <v>Cliudson Bento De Oliveira</v>
          </cell>
          <cell r="B1855">
            <v>37000284</v>
          </cell>
          <cell r="C1855">
            <v>20008829</v>
          </cell>
          <cell r="D1855">
            <v>36327</v>
          </cell>
        </row>
        <row r="1856">
          <cell r="A1856" t="str">
            <v>Cristiano Leandro Moreno</v>
          </cell>
          <cell r="B1856">
            <v>37000419</v>
          </cell>
          <cell r="C1856">
            <v>20008839</v>
          </cell>
          <cell r="D1856">
            <v>38369</v>
          </cell>
        </row>
        <row r="1857">
          <cell r="A1857" t="str">
            <v>Danilo Cesar Marques</v>
          </cell>
          <cell r="B1857">
            <v>37004453</v>
          </cell>
          <cell r="C1857">
            <v>20008872</v>
          </cell>
          <cell r="D1857">
            <v>43899</v>
          </cell>
        </row>
        <row r="1858">
          <cell r="A1858" t="str">
            <v>Denilson Aparecido De Campos</v>
          </cell>
          <cell r="B1858">
            <v>37004344</v>
          </cell>
          <cell r="C1858">
            <v>20008890</v>
          </cell>
          <cell r="D1858">
            <v>43871</v>
          </cell>
        </row>
        <row r="1859">
          <cell r="A1859" t="str">
            <v>Desio Aparecido Piras Junior</v>
          </cell>
          <cell r="B1859">
            <v>37000337</v>
          </cell>
          <cell r="C1859">
            <v>20008896</v>
          </cell>
          <cell r="D1859">
            <v>37258</v>
          </cell>
        </row>
        <row r="1860">
          <cell r="A1860" t="str">
            <v>Ederson Luiz Contiero</v>
          </cell>
          <cell r="B1860">
            <v>37003762</v>
          </cell>
          <cell r="C1860">
            <v>20008938</v>
          </cell>
          <cell r="D1860">
            <v>43752</v>
          </cell>
        </row>
        <row r="1861">
          <cell r="A1861" t="str">
            <v>Edivaldo Donato Pini</v>
          </cell>
          <cell r="B1861">
            <v>37002455</v>
          </cell>
          <cell r="C1861">
            <v>20008947</v>
          </cell>
          <cell r="D1861">
            <v>43360</v>
          </cell>
        </row>
        <row r="1862">
          <cell r="A1862" t="str">
            <v>Edmar Estevo De Araujo</v>
          </cell>
          <cell r="B1862">
            <v>37003763</v>
          </cell>
          <cell r="C1862">
            <v>20008951</v>
          </cell>
          <cell r="D1862">
            <v>43752</v>
          </cell>
        </row>
        <row r="1863">
          <cell r="A1863" t="str">
            <v>Edson Dos Santos</v>
          </cell>
          <cell r="B1863">
            <v>37000131</v>
          </cell>
          <cell r="C1863">
            <v>20008956</v>
          </cell>
          <cell r="D1863">
            <v>34759</v>
          </cell>
        </row>
        <row r="1864">
          <cell r="A1864" t="str">
            <v>Entonny Vinicius Alexandre</v>
          </cell>
          <cell r="B1864">
            <v>37003767</v>
          </cell>
          <cell r="C1864">
            <v>20009011</v>
          </cell>
          <cell r="D1864">
            <v>43752</v>
          </cell>
        </row>
        <row r="1865">
          <cell r="A1865" t="str">
            <v>Estacio Amaral Oliveira Santos</v>
          </cell>
          <cell r="B1865">
            <v>37004606</v>
          </cell>
          <cell r="C1865">
            <v>20009018</v>
          </cell>
          <cell r="D1865">
            <v>44018</v>
          </cell>
        </row>
        <row r="1866">
          <cell r="A1866" t="str">
            <v>Evandro Moreto</v>
          </cell>
          <cell r="B1866">
            <v>37000142</v>
          </cell>
          <cell r="C1866">
            <v>20009024</v>
          </cell>
          <cell r="D1866">
            <v>34827</v>
          </cell>
        </row>
        <row r="1867">
          <cell r="A1867" t="str">
            <v>Fabiano Jose Moreira</v>
          </cell>
          <cell r="B1867">
            <v>37003157</v>
          </cell>
          <cell r="C1867">
            <v>20009042</v>
          </cell>
          <cell r="D1867">
            <v>43591</v>
          </cell>
        </row>
        <row r="1868">
          <cell r="A1868" t="str">
            <v>Fabricio Correa Da Silva</v>
          </cell>
          <cell r="B1868">
            <v>37003438</v>
          </cell>
          <cell r="C1868">
            <v>20009063</v>
          </cell>
          <cell r="D1868">
            <v>43649</v>
          </cell>
        </row>
        <row r="1869">
          <cell r="A1869" t="str">
            <v>Fabricio Jose Rodrigues</v>
          </cell>
          <cell r="B1869">
            <v>37002551</v>
          </cell>
          <cell r="C1869">
            <v>20009068</v>
          </cell>
          <cell r="D1869">
            <v>43381</v>
          </cell>
        </row>
        <row r="1870">
          <cell r="A1870" t="str">
            <v>Fernando Augusto Fischer Shimonaka</v>
          </cell>
          <cell r="B1870">
            <v>37000732</v>
          </cell>
          <cell r="C1870">
            <v>20009087</v>
          </cell>
          <cell r="D1870">
            <v>39995</v>
          </cell>
        </row>
        <row r="1871">
          <cell r="A1871" t="str">
            <v>Fernando Ijano</v>
          </cell>
          <cell r="B1871">
            <v>37000336</v>
          </cell>
          <cell r="C1871">
            <v>20009092</v>
          </cell>
          <cell r="D1871">
            <v>37242</v>
          </cell>
        </row>
        <row r="1872">
          <cell r="A1872" t="str">
            <v>Flabio Da Costa Lima</v>
          </cell>
          <cell r="B1872">
            <v>37004164</v>
          </cell>
          <cell r="C1872">
            <v>20009105</v>
          </cell>
          <cell r="D1872">
            <v>43850</v>
          </cell>
        </row>
        <row r="1873">
          <cell r="A1873" t="str">
            <v>Flavio Dias</v>
          </cell>
          <cell r="B1873">
            <v>37000420</v>
          </cell>
          <cell r="C1873">
            <v>20009112</v>
          </cell>
          <cell r="D1873">
            <v>38369</v>
          </cell>
        </row>
        <row r="1874">
          <cell r="A1874" t="str">
            <v>Gabriel Augusto Giangarelli</v>
          </cell>
          <cell r="B1874">
            <v>37000665</v>
          </cell>
          <cell r="C1874">
            <v>20009128</v>
          </cell>
          <cell r="D1874">
            <v>39615</v>
          </cell>
        </row>
        <row r="1875">
          <cell r="A1875" t="str">
            <v>Gabriela Lombardo Maranesi Amaral</v>
          </cell>
          <cell r="B1875">
            <v>37000385</v>
          </cell>
          <cell r="C1875">
            <v>20009151</v>
          </cell>
          <cell r="D1875">
            <v>38019</v>
          </cell>
        </row>
        <row r="1876">
          <cell r="A1876" t="str">
            <v>Gabriela Maldonado</v>
          </cell>
          <cell r="B1876">
            <v>37003346</v>
          </cell>
          <cell r="C1876">
            <v>20009152</v>
          </cell>
          <cell r="D1876">
            <v>43647</v>
          </cell>
        </row>
        <row r="1877">
          <cell r="A1877" t="str">
            <v>Geraldo Simao</v>
          </cell>
          <cell r="B1877">
            <v>37004648</v>
          </cell>
          <cell r="C1877">
            <v>20009161</v>
          </cell>
          <cell r="D1877">
            <v>44032</v>
          </cell>
        </row>
        <row r="1878">
          <cell r="A1878" t="str">
            <v>Gilberto Viana Rodrigues</v>
          </cell>
          <cell r="B1878">
            <v>37004459</v>
          </cell>
          <cell r="C1878">
            <v>20009171</v>
          </cell>
          <cell r="D1878">
            <v>43899</v>
          </cell>
        </row>
        <row r="1879">
          <cell r="A1879" t="str">
            <v>Gilmar Luis De Souza</v>
          </cell>
          <cell r="B1879">
            <v>37000055</v>
          </cell>
          <cell r="C1879">
            <v>20009177</v>
          </cell>
          <cell r="D1879">
            <v>32616</v>
          </cell>
        </row>
        <row r="1880">
          <cell r="A1880" t="str">
            <v>Glaucia Elene Severino De Souza</v>
          </cell>
          <cell r="B1880">
            <v>37000365</v>
          </cell>
          <cell r="C1880">
            <v>20009190</v>
          </cell>
          <cell r="D1880">
            <v>37655</v>
          </cell>
        </row>
        <row r="1881">
          <cell r="A1881" t="str">
            <v>Guilherme Henrique Da Silva</v>
          </cell>
          <cell r="B1881">
            <v>37003354</v>
          </cell>
          <cell r="C1881">
            <v>20009205</v>
          </cell>
          <cell r="D1881">
            <v>43647</v>
          </cell>
        </row>
        <row r="1882">
          <cell r="A1882" t="str">
            <v>Guilherme Morais Da Luz</v>
          </cell>
          <cell r="B1882">
            <v>37003355</v>
          </cell>
          <cell r="C1882">
            <v>20009210</v>
          </cell>
          <cell r="D1882">
            <v>43647</v>
          </cell>
        </row>
        <row r="1883">
          <cell r="A1883" t="str">
            <v>Gustavo Gomes Silva</v>
          </cell>
          <cell r="B1883">
            <v>37004165</v>
          </cell>
          <cell r="C1883">
            <v>20009220</v>
          </cell>
          <cell r="D1883">
            <v>43850</v>
          </cell>
        </row>
        <row r="1884">
          <cell r="A1884" t="str">
            <v>Gustavo Moreto De Almeida</v>
          </cell>
          <cell r="B1884">
            <v>37001009</v>
          </cell>
          <cell r="C1884">
            <v>20009223</v>
          </cell>
          <cell r="D1884">
            <v>41092</v>
          </cell>
        </row>
        <row r="1885">
          <cell r="A1885" t="str">
            <v>Helio Americo Dos Santos Junior</v>
          </cell>
          <cell r="B1885">
            <v>37000410</v>
          </cell>
          <cell r="C1885">
            <v>20009232</v>
          </cell>
          <cell r="D1885">
            <v>38355</v>
          </cell>
        </row>
        <row r="1886">
          <cell r="A1886" t="str">
            <v>Helio Rubens De Oliveira</v>
          </cell>
          <cell r="B1886">
            <v>37004166</v>
          </cell>
          <cell r="C1886">
            <v>20009236</v>
          </cell>
          <cell r="D1886">
            <v>43850</v>
          </cell>
        </row>
        <row r="1887">
          <cell r="A1887" t="str">
            <v>Henrique Teraoka Filho</v>
          </cell>
          <cell r="B1887">
            <v>37000318</v>
          </cell>
          <cell r="C1887">
            <v>20009246</v>
          </cell>
          <cell r="D1887">
            <v>37025</v>
          </cell>
        </row>
        <row r="1888">
          <cell r="A1888" t="str">
            <v>Hermogeno De Oliveira</v>
          </cell>
          <cell r="B1888">
            <v>37000133</v>
          </cell>
          <cell r="C1888">
            <v>20009247</v>
          </cell>
          <cell r="D1888">
            <v>34766</v>
          </cell>
        </row>
        <row r="1889">
          <cell r="A1889" t="str">
            <v>Idelmar Moura Sa Moraes</v>
          </cell>
          <cell r="B1889">
            <v>37004279</v>
          </cell>
          <cell r="C1889">
            <v>20009258</v>
          </cell>
          <cell r="D1889">
            <v>43864</v>
          </cell>
        </row>
        <row r="1890">
          <cell r="A1890" t="str">
            <v>Isabela Bento Bodini</v>
          </cell>
          <cell r="B1890">
            <v>37003258</v>
          </cell>
          <cell r="C1890">
            <v>20009268</v>
          </cell>
          <cell r="D1890">
            <v>43622</v>
          </cell>
        </row>
        <row r="1891">
          <cell r="A1891" t="str">
            <v>Jair Miguel</v>
          </cell>
          <cell r="B1891">
            <v>37000128</v>
          </cell>
          <cell r="C1891">
            <v>20009291</v>
          </cell>
          <cell r="D1891">
            <v>34718</v>
          </cell>
        </row>
        <row r="1892">
          <cell r="A1892" t="str">
            <v>Jaques Farina Goncalves</v>
          </cell>
          <cell r="B1892">
            <v>37003687</v>
          </cell>
          <cell r="C1892">
            <v>20009298</v>
          </cell>
          <cell r="D1892">
            <v>43724</v>
          </cell>
        </row>
        <row r="1893">
          <cell r="A1893" t="str">
            <v>Jean David Batista De Almeida</v>
          </cell>
          <cell r="B1893">
            <v>37004534</v>
          </cell>
          <cell r="C1893">
            <v>20009301</v>
          </cell>
          <cell r="D1893">
            <v>43934</v>
          </cell>
        </row>
        <row r="1894">
          <cell r="A1894" t="str">
            <v>Jelson Aparecido Da Silva</v>
          </cell>
          <cell r="B1894">
            <v>37000770</v>
          </cell>
          <cell r="C1894">
            <v>20009311</v>
          </cell>
          <cell r="D1894">
            <v>40301</v>
          </cell>
        </row>
        <row r="1895">
          <cell r="A1895" t="str">
            <v>Joao Carlos Biazotti</v>
          </cell>
          <cell r="B1895">
            <v>37004427</v>
          </cell>
          <cell r="C1895">
            <v>20009323</v>
          </cell>
          <cell r="D1895">
            <v>43892</v>
          </cell>
        </row>
        <row r="1896">
          <cell r="A1896" t="str">
            <v>Joao Carlos Bispo Dos Santos</v>
          </cell>
          <cell r="B1896">
            <v>37000247</v>
          </cell>
          <cell r="C1896">
            <v>20009324</v>
          </cell>
          <cell r="D1896">
            <v>35524</v>
          </cell>
        </row>
        <row r="1897">
          <cell r="A1897" t="str">
            <v>Joao Lima De Almeida</v>
          </cell>
          <cell r="B1897">
            <v>37004283</v>
          </cell>
          <cell r="C1897">
            <v>20009336</v>
          </cell>
          <cell r="D1897">
            <v>43864</v>
          </cell>
        </row>
        <row r="1898">
          <cell r="A1898" t="str">
            <v>Joao Paulo Da Silva</v>
          </cell>
          <cell r="B1898">
            <v>37001612</v>
          </cell>
          <cell r="C1898">
            <v>20009341</v>
          </cell>
          <cell r="D1898">
            <v>42373</v>
          </cell>
        </row>
        <row r="1899">
          <cell r="A1899" t="str">
            <v>Joao Paulo Prado</v>
          </cell>
          <cell r="B1899">
            <v>37000382</v>
          </cell>
          <cell r="C1899">
            <v>20009346</v>
          </cell>
          <cell r="D1899">
            <v>37991</v>
          </cell>
        </row>
        <row r="1900">
          <cell r="A1900" t="str">
            <v>Jones Do Nascimento Sousa</v>
          </cell>
          <cell r="B1900">
            <v>37002336</v>
          </cell>
          <cell r="C1900">
            <v>20009364</v>
          </cell>
          <cell r="D1900">
            <v>43262</v>
          </cell>
        </row>
        <row r="1901">
          <cell r="A1901" t="str">
            <v>Jose Antonio Dos Santos</v>
          </cell>
          <cell r="B1901">
            <v>37000449</v>
          </cell>
          <cell r="C1901">
            <v>20009372</v>
          </cell>
          <cell r="D1901">
            <v>38551</v>
          </cell>
        </row>
        <row r="1902">
          <cell r="A1902" t="str">
            <v>Jose Eduardo Nogueira</v>
          </cell>
          <cell r="B1902">
            <v>37004169</v>
          </cell>
          <cell r="C1902">
            <v>20009390</v>
          </cell>
          <cell r="D1902">
            <v>43850</v>
          </cell>
        </row>
        <row r="1903">
          <cell r="A1903" t="str">
            <v>Jose Marcio Lucio De Freitas</v>
          </cell>
          <cell r="B1903">
            <v>37000147</v>
          </cell>
          <cell r="C1903">
            <v>20009406</v>
          </cell>
          <cell r="D1903">
            <v>34835</v>
          </cell>
        </row>
        <row r="1904">
          <cell r="A1904" t="str">
            <v>Juliano Augusto Da Silva</v>
          </cell>
          <cell r="B1904">
            <v>37000388</v>
          </cell>
          <cell r="C1904">
            <v>20009430</v>
          </cell>
          <cell r="D1904">
            <v>38054</v>
          </cell>
        </row>
        <row r="1905">
          <cell r="A1905" t="str">
            <v>Leonardo Conti</v>
          </cell>
          <cell r="B1905">
            <v>37003786</v>
          </cell>
          <cell r="C1905">
            <v>20009483</v>
          </cell>
          <cell r="D1905">
            <v>43752</v>
          </cell>
        </row>
        <row r="1906">
          <cell r="A1906" t="str">
            <v>Leonardo Tadeu Fernandes Pimentel</v>
          </cell>
          <cell r="B1906">
            <v>37003789</v>
          </cell>
          <cell r="C1906">
            <v>20009490</v>
          </cell>
          <cell r="D1906">
            <v>43752</v>
          </cell>
        </row>
        <row r="1907">
          <cell r="A1907" t="str">
            <v>Leonis Aparecido Migliorini</v>
          </cell>
          <cell r="B1907">
            <v>37000028</v>
          </cell>
          <cell r="C1907">
            <v>20009492</v>
          </cell>
          <cell r="D1907">
            <v>31915</v>
          </cell>
        </row>
        <row r="1908">
          <cell r="A1908" t="str">
            <v>Lucas Jose Cacador</v>
          </cell>
          <cell r="B1908">
            <v>37003377</v>
          </cell>
          <cell r="C1908">
            <v>20009516</v>
          </cell>
          <cell r="D1908">
            <v>43647</v>
          </cell>
        </row>
        <row r="1909">
          <cell r="A1909" t="str">
            <v>Lucas Matheus Da Silva</v>
          </cell>
          <cell r="B1909">
            <v>37003790</v>
          </cell>
          <cell r="C1909">
            <v>20009518</v>
          </cell>
          <cell r="D1909">
            <v>43752</v>
          </cell>
        </row>
        <row r="1910">
          <cell r="A1910" t="str">
            <v>Luccas Lima Santos</v>
          </cell>
          <cell r="B1910">
            <v>37002080</v>
          </cell>
          <cell r="C1910">
            <v>20009523</v>
          </cell>
          <cell r="D1910">
            <v>43073</v>
          </cell>
        </row>
        <row r="1911">
          <cell r="A1911" t="str">
            <v>Luciano Aparecido Rossini Prates</v>
          </cell>
          <cell r="B1911">
            <v>37000374</v>
          </cell>
          <cell r="C1911">
            <v>20009526</v>
          </cell>
          <cell r="D1911">
            <v>37760</v>
          </cell>
        </row>
        <row r="1912">
          <cell r="A1912" t="str">
            <v>Luciano Mendes Damaceno</v>
          </cell>
          <cell r="B1912">
            <v>37003201</v>
          </cell>
          <cell r="C1912">
            <v>20009531</v>
          </cell>
          <cell r="D1912">
            <v>43605</v>
          </cell>
        </row>
        <row r="1913">
          <cell r="A1913" t="str">
            <v>Luis Fernando Da Silva Deziderio</v>
          </cell>
          <cell r="B1913">
            <v>37003381</v>
          </cell>
          <cell r="C1913">
            <v>20009540</v>
          </cell>
          <cell r="D1913">
            <v>43647</v>
          </cell>
        </row>
        <row r="1914">
          <cell r="A1914" t="str">
            <v>Luiz Antonio Da Silva</v>
          </cell>
          <cell r="B1914">
            <v>37002296</v>
          </cell>
          <cell r="C1914">
            <v>20009550</v>
          </cell>
          <cell r="D1914">
            <v>43213</v>
          </cell>
        </row>
        <row r="1915">
          <cell r="A1915" t="str">
            <v>Luiz Aparecido Capriolli</v>
          </cell>
          <cell r="B1915">
            <v>37000248</v>
          </cell>
          <cell r="C1915">
            <v>20009552</v>
          </cell>
          <cell r="D1915">
            <v>35524</v>
          </cell>
        </row>
        <row r="1916">
          <cell r="A1916" t="str">
            <v>Luiz Carlos Amorielo</v>
          </cell>
          <cell r="B1916">
            <v>37000257</v>
          </cell>
          <cell r="C1916">
            <v>20009554</v>
          </cell>
          <cell r="D1916">
            <v>35769</v>
          </cell>
        </row>
        <row r="1917">
          <cell r="A1917" t="str">
            <v>Luiz Felipe Da Silva Aguiar</v>
          </cell>
          <cell r="B1917">
            <v>37003792</v>
          </cell>
          <cell r="C1917">
            <v>20009563</v>
          </cell>
          <cell r="D1917">
            <v>43752</v>
          </cell>
        </row>
        <row r="1918">
          <cell r="A1918" t="str">
            <v>Luiz Felipe Ferrari Dos Santos</v>
          </cell>
          <cell r="B1918">
            <v>37003385</v>
          </cell>
          <cell r="C1918">
            <v>20009564</v>
          </cell>
          <cell r="D1918">
            <v>43647</v>
          </cell>
        </row>
        <row r="1919">
          <cell r="A1919" t="str">
            <v>Luiz Fernando Attrot Vital</v>
          </cell>
          <cell r="B1919">
            <v>37000280</v>
          </cell>
          <cell r="C1919">
            <v>20009566</v>
          </cell>
          <cell r="D1919">
            <v>36193</v>
          </cell>
        </row>
        <row r="1920">
          <cell r="A1920" t="str">
            <v>Luiz Fernando Martins</v>
          </cell>
          <cell r="B1920">
            <v>37003793</v>
          </cell>
          <cell r="C1920">
            <v>20009568</v>
          </cell>
          <cell r="D1920">
            <v>43752</v>
          </cell>
        </row>
        <row r="1921">
          <cell r="A1921" t="str">
            <v>Marcelo Aparecido Dos Santos</v>
          </cell>
          <cell r="B1921">
            <v>37000717</v>
          </cell>
          <cell r="C1921">
            <v>20009589</v>
          </cell>
          <cell r="D1921">
            <v>39909</v>
          </cell>
        </row>
        <row r="1922">
          <cell r="A1922" t="str">
            <v>Marcelo Machado Da Silva</v>
          </cell>
          <cell r="B1922">
            <v>37001951</v>
          </cell>
          <cell r="C1922">
            <v>20009597</v>
          </cell>
          <cell r="D1922">
            <v>42870</v>
          </cell>
        </row>
        <row r="1923">
          <cell r="A1923" t="str">
            <v>Marcio Da Costa Machado</v>
          </cell>
          <cell r="B1923">
            <v>37000223</v>
          </cell>
          <cell r="C1923">
            <v>20009607</v>
          </cell>
          <cell r="D1923">
            <v>35328</v>
          </cell>
        </row>
        <row r="1924">
          <cell r="A1924" t="str">
            <v>Marcio Jose Da Silva</v>
          </cell>
          <cell r="B1924">
            <v>37001595</v>
          </cell>
          <cell r="C1924">
            <v>20009611</v>
          </cell>
          <cell r="D1924">
            <v>42290</v>
          </cell>
        </row>
        <row r="1925">
          <cell r="A1925" t="str">
            <v>Marcio Rogerio Narciso</v>
          </cell>
          <cell r="B1925">
            <v>37000314</v>
          </cell>
          <cell r="C1925">
            <v>20009616</v>
          </cell>
          <cell r="D1925">
            <v>36969</v>
          </cell>
        </row>
        <row r="1926">
          <cell r="A1926" t="str">
            <v>Marcos Luiz De Paula Bezerra</v>
          </cell>
          <cell r="B1926">
            <v>37003797</v>
          </cell>
          <cell r="C1926">
            <v>20009635</v>
          </cell>
          <cell r="D1926">
            <v>43752</v>
          </cell>
        </row>
        <row r="1927">
          <cell r="A1927" t="str">
            <v>Marcos Roberto Aleixo</v>
          </cell>
          <cell r="B1927">
            <v>37000251</v>
          </cell>
          <cell r="C1927">
            <v>20009640</v>
          </cell>
          <cell r="D1927">
            <v>35629</v>
          </cell>
        </row>
        <row r="1928">
          <cell r="A1928" t="str">
            <v>Maria Aparecida Rodrigues Dos Santos</v>
          </cell>
          <cell r="B1928">
            <v>37000085</v>
          </cell>
          <cell r="C1928">
            <v>20009646</v>
          </cell>
          <cell r="D1928">
            <v>33619</v>
          </cell>
        </row>
        <row r="1929">
          <cell r="A1929" t="str">
            <v>Marlon Cristiano Carrit Medola</v>
          </cell>
          <cell r="B1929">
            <v>37000139</v>
          </cell>
          <cell r="C1929">
            <v>20009662</v>
          </cell>
          <cell r="D1929">
            <v>34813</v>
          </cell>
        </row>
        <row r="1930">
          <cell r="A1930" t="str">
            <v>Mateus Batista De Oliveira</v>
          </cell>
          <cell r="B1930">
            <v>37003798</v>
          </cell>
          <cell r="C1930">
            <v>20009664</v>
          </cell>
          <cell r="D1930">
            <v>43752</v>
          </cell>
        </row>
        <row r="1931">
          <cell r="A1931" t="str">
            <v>Mateus Henrique Domingues Paccola</v>
          </cell>
          <cell r="B1931">
            <v>37000413</v>
          </cell>
          <cell r="C1931">
            <v>20009665</v>
          </cell>
          <cell r="D1931">
            <v>38355</v>
          </cell>
        </row>
        <row r="1932">
          <cell r="A1932" t="str">
            <v>Mateus Henrique Dos Santos De Souza</v>
          </cell>
          <cell r="B1932">
            <v>37003387</v>
          </cell>
          <cell r="C1932">
            <v>20009666</v>
          </cell>
          <cell r="D1932">
            <v>43647</v>
          </cell>
        </row>
        <row r="1933">
          <cell r="A1933" t="str">
            <v>Mateus Henrique Ruiz Pires</v>
          </cell>
          <cell r="B1933">
            <v>37000865</v>
          </cell>
          <cell r="C1933">
            <v>20009669</v>
          </cell>
          <cell r="D1933">
            <v>40679</v>
          </cell>
        </row>
        <row r="1934">
          <cell r="A1934" t="str">
            <v>Matheus Lucas Silva Costa</v>
          </cell>
          <cell r="B1934">
            <v>37003803</v>
          </cell>
          <cell r="C1934">
            <v>20009679</v>
          </cell>
          <cell r="D1934">
            <v>43752</v>
          </cell>
        </row>
        <row r="1935">
          <cell r="A1935" t="str">
            <v>Michael Aparecido Rosa</v>
          </cell>
          <cell r="B1935">
            <v>37003389</v>
          </cell>
          <cell r="C1935">
            <v>20009691</v>
          </cell>
          <cell r="D1935">
            <v>43647</v>
          </cell>
        </row>
        <row r="1936">
          <cell r="A1936" t="str">
            <v>Murilo Henrique Marques</v>
          </cell>
          <cell r="B1936">
            <v>37003393</v>
          </cell>
          <cell r="C1936">
            <v>20009707</v>
          </cell>
          <cell r="D1936">
            <v>43647</v>
          </cell>
        </row>
        <row r="1937">
          <cell r="A1937" t="str">
            <v>Natan Giovani Fernandes Franco</v>
          </cell>
          <cell r="B1937">
            <v>37003805</v>
          </cell>
          <cell r="C1937">
            <v>20009716</v>
          </cell>
          <cell r="D1937">
            <v>43752</v>
          </cell>
        </row>
        <row r="1938">
          <cell r="A1938" t="str">
            <v>Nicesar Rodrigues Da Silva</v>
          </cell>
          <cell r="B1938">
            <v>37000097</v>
          </cell>
          <cell r="C1938">
            <v>20009721</v>
          </cell>
          <cell r="D1938">
            <v>33890</v>
          </cell>
        </row>
        <row r="1939">
          <cell r="A1939" t="str">
            <v>Odair Jose Simoes</v>
          </cell>
          <cell r="B1939">
            <v>37000343</v>
          </cell>
          <cell r="C1939">
            <v>20009730</v>
          </cell>
          <cell r="D1939">
            <v>37270</v>
          </cell>
        </row>
        <row r="1940">
          <cell r="A1940" t="str">
            <v>Osmar Marques</v>
          </cell>
          <cell r="B1940">
            <v>37000115</v>
          </cell>
          <cell r="C1940">
            <v>20009732</v>
          </cell>
          <cell r="D1940">
            <v>34416</v>
          </cell>
        </row>
        <row r="1941">
          <cell r="A1941" t="str">
            <v>Osvaldo Graciano Goncalves</v>
          </cell>
          <cell r="B1941">
            <v>37000194</v>
          </cell>
          <cell r="C1941">
            <v>20009734</v>
          </cell>
          <cell r="D1941">
            <v>35041</v>
          </cell>
        </row>
        <row r="1942">
          <cell r="A1942" t="str">
            <v>Oswaldo Da Silva Lopes Junior</v>
          </cell>
          <cell r="B1942">
            <v>37000285</v>
          </cell>
          <cell r="C1942">
            <v>20009735</v>
          </cell>
          <cell r="D1942">
            <v>36360</v>
          </cell>
        </row>
        <row r="1943">
          <cell r="A1943" t="str">
            <v>Paola Ticiane Saccoman Souza</v>
          </cell>
          <cell r="B1943">
            <v>37000822</v>
          </cell>
          <cell r="C1943">
            <v>20009743</v>
          </cell>
          <cell r="D1943">
            <v>40546</v>
          </cell>
        </row>
        <row r="1944">
          <cell r="A1944" t="str">
            <v>Paulo Cristiano Francisco</v>
          </cell>
          <cell r="B1944">
            <v>37001545</v>
          </cell>
          <cell r="C1944">
            <v>20009750</v>
          </cell>
          <cell r="D1944">
            <v>42226</v>
          </cell>
        </row>
        <row r="1945">
          <cell r="A1945" t="str">
            <v>Paulo Henrique Queiroz</v>
          </cell>
          <cell r="B1945">
            <v>37000344</v>
          </cell>
          <cell r="C1945">
            <v>20009757</v>
          </cell>
          <cell r="D1945">
            <v>37270</v>
          </cell>
        </row>
        <row r="1946">
          <cell r="A1946" t="str">
            <v>Rafael Goncalves Ramos</v>
          </cell>
          <cell r="B1946">
            <v>37000501</v>
          </cell>
          <cell r="C1946">
            <v>20009798</v>
          </cell>
          <cell r="D1946">
            <v>39118</v>
          </cell>
        </row>
        <row r="1947">
          <cell r="A1947" t="str">
            <v>Reginaldo Gomes Da Cruz</v>
          </cell>
          <cell r="B1947">
            <v>37000532</v>
          </cell>
          <cell r="C1947">
            <v>20009817</v>
          </cell>
          <cell r="D1947">
            <v>39188</v>
          </cell>
        </row>
        <row r="1948">
          <cell r="A1948" t="str">
            <v>Renan Aparecido Nunes</v>
          </cell>
          <cell r="B1948">
            <v>37003809</v>
          </cell>
          <cell r="C1948">
            <v>20009824</v>
          </cell>
          <cell r="D1948">
            <v>43752</v>
          </cell>
        </row>
        <row r="1949">
          <cell r="A1949" t="str">
            <v>Renir Arlete Stopa</v>
          </cell>
          <cell r="B1949">
            <v>37000384</v>
          </cell>
          <cell r="C1949">
            <v>20009829</v>
          </cell>
          <cell r="D1949">
            <v>38005</v>
          </cell>
        </row>
        <row r="1950">
          <cell r="A1950" t="str">
            <v>Ricardo Jose Gasparotto</v>
          </cell>
          <cell r="B1950">
            <v>37000375</v>
          </cell>
          <cell r="C1950">
            <v>20009837</v>
          </cell>
          <cell r="D1950">
            <v>37760</v>
          </cell>
        </row>
        <row r="1951">
          <cell r="A1951" t="str">
            <v>Ricardo Pereira Goncalves</v>
          </cell>
          <cell r="B1951">
            <v>37000656</v>
          </cell>
          <cell r="C1951">
            <v>20009840</v>
          </cell>
          <cell r="D1951">
            <v>39601</v>
          </cell>
        </row>
        <row r="1952">
          <cell r="A1952" t="str">
            <v>Rogerio Rodrigues</v>
          </cell>
          <cell r="B1952">
            <v>37000281</v>
          </cell>
          <cell r="C1952">
            <v>20009885</v>
          </cell>
          <cell r="D1952">
            <v>36193</v>
          </cell>
        </row>
        <row r="1953">
          <cell r="A1953" t="str">
            <v>Selmo Alves Dos Santos</v>
          </cell>
          <cell r="B1953">
            <v>37004314</v>
          </cell>
          <cell r="C1953">
            <v>20009919</v>
          </cell>
          <cell r="D1953">
            <v>43864</v>
          </cell>
        </row>
        <row r="1954">
          <cell r="A1954" t="str">
            <v>Stefania Sales Romao</v>
          </cell>
          <cell r="B1954">
            <v>37003403</v>
          </cell>
          <cell r="C1954">
            <v>20009934</v>
          </cell>
          <cell r="D1954">
            <v>43647</v>
          </cell>
        </row>
        <row r="1955">
          <cell r="A1955" t="str">
            <v>Thais Costa Lima</v>
          </cell>
          <cell r="B1955">
            <v>37004472</v>
          </cell>
          <cell r="C1955">
            <v>20009947</v>
          </cell>
          <cell r="D1955">
            <v>43899</v>
          </cell>
        </row>
        <row r="1956">
          <cell r="A1956" t="str">
            <v>Tiago Bezerra Campos</v>
          </cell>
          <cell r="B1956">
            <v>37000712</v>
          </cell>
          <cell r="C1956">
            <v>20009966</v>
          </cell>
          <cell r="D1956">
            <v>39853</v>
          </cell>
        </row>
        <row r="1957">
          <cell r="A1957" t="str">
            <v>Valdecir Rodrigues Teixeira</v>
          </cell>
          <cell r="B1957">
            <v>37000041</v>
          </cell>
          <cell r="C1957">
            <v>20009985</v>
          </cell>
          <cell r="D1957">
            <v>32259</v>
          </cell>
        </row>
        <row r="1958">
          <cell r="A1958" t="str">
            <v>Valdemir Aparecido Tavano</v>
          </cell>
          <cell r="B1958">
            <v>37000346</v>
          </cell>
          <cell r="C1958">
            <v>20009987</v>
          </cell>
          <cell r="D1958">
            <v>37270</v>
          </cell>
        </row>
        <row r="1959">
          <cell r="A1959" t="str">
            <v>Vandemir De Almeida</v>
          </cell>
          <cell r="B1959">
            <v>37000038</v>
          </cell>
          <cell r="C1959">
            <v>20009999</v>
          </cell>
          <cell r="D1959">
            <v>32225</v>
          </cell>
        </row>
        <row r="1960">
          <cell r="A1960" t="str">
            <v>Vinicius Eduardo Jose Cochi</v>
          </cell>
          <cell r="B1960">
            <v>37001238</v>
          </cell>
          <cell r="C1960">
            <v>20010011</v>
          </cell>
          <cell r="D1960">
            <v>41554</v>
          </cell>
        </row>
        <row r="1961">
          <cell r="A1961" t="str">
            <v>Vitor Rodrigues</v>
          </cell>
          <cell r="B1961">
            <v>37003823</v>
          </cell>
          <cell r="C1961">
            <v>20010025</v>
          </cell>
          <cell r="D1961">
            <v>43752</v>
          </cell>
        </row>
        <row r="1962">
          <cell r="A1962" t="str">
            <v>Walter Pietro Sanches</v>
          </cell>
          <cell r="B1962">
            <v>37000141</v>
          </cell>
          <cell r="C1962">
            <v>20010036</v>
          </cell>
          <cell r="D1962">
            <v>34821</v>
          </cell>
        </row>
        <row r="1963">
          <cell r="A1963" t="str">
            <v>Wanderlei Jose Da Silva</v>
          </cell>
          <cell r="B1963">
            <v>37000195</v>
          </cell>
          <cell r="C1963">
            <v>20010037</v>
          </cell>
          <cell r="D1963">
            <v>35041</v>
          </cell>
        </row>
        <row r="1964">
          <cell r="A1964" t="str">
            <v>Wanderson Gomes Da Fonseca</v>
          </cell>
          <cell r="B1964">
            <v>37003825</v>
          </cell>
          <cell r="C1964">
            <v>20010039</v>
          </cell>
          <cell r="D1964">
            <v>43752</v>
          </cell>
        </row>
        <row r="1965">
          <cell r="A1965" t="str">
            <v>William Bitu De Oliveira</v>
          </cell>
          <cell r="B1965">
            <v>37003828</v>
          </cell>
          <cell r="C1965">
            <v>20010055</v>
          </cell>
          <cell r="D1965">
            <v>43752</v>
          </cell>
        </row>
        <row r="1966">
          <cell r="A1966" t="str">
            <v>Williams De Sousa Marques</v>
          </cell>
          <cell r="B1966">
            <v>37004140</v>
          </cell>
          <cell r="C1966">
            <v>20010057</v>
          </cell>
          <cell r="D1966">
            <v>43844</v>
          </cell>
        </row>
        <row r="1967">
          <cell r="A1967" t="str">
            <v>Willian Henrique Picali</v>
          </cell>
          <cell r="B1967">
            <v>37000415</v>
          </cell>
          <cell r="C1967">
            <v>20010061</v>
          </cell>
          <cell r="D1967">
            <v>38355</v>
          </cell>
        </row>
        <row r="1968">
          <cell r="A1968" t="str">
            <v>Leandro De Jesus Moreira</v>
          </cell>
          <cell r="B1968">
            <v>37000076</v>
          </cell>
          <cell r="C1968">
            <v>20009475</v>
          </cell>
          <cell r="D1968">
            <v>33273</v>
          </cell>
        </row>
        <row r="1969">
          <cell r="A1969" t="str">
            <v>Thiago Rangel Ferreira</v>
          </cell>
          <cell r="B1969">
            <v>37005375</v>
          </cell>
          <cell r="C1969">
            <v>20015583</v>
          </cell>
          <cell r="D1969">
            <v>44244</v>
          </cell>
        </row>
        <row r="1970">
          <cell r="A1970" t="str">
            <v>Daniel Bittencourt De Souza</v>
          </cell>
          <cell r="B1970">
            <v>37005908</v>
          </cell>
          <cell r="C1970">
            <v>20015636</v>
          </cell>
          <cell r="D1970">
            <v>44382</v>
          </cell>
        </row>
        <row r="1971">
          <cell r="A1971" t="str">
            <v>Valdinei Roberto Peixoto</v>
          </cell>
          <cell r="B1971">
            <v>37004353</v>
          </cell>
          <cell r="C1971">
            <v>20008328</v>
          </cell>
          <cell r="D1971">
            <v>43871</v>
          </cell>
        </row>
        <row r="1972">
          <cell r="A1972" t="str">
            <v>Victor Silva Grossi</v>
          </cell>
          <cell r="B1972">
            <v>37006952</v>
          </cell>
          <cell r="C1972">
            <v>20021291</v>
          </cell>
          <cell r="D1972">
            <v>44571</v>
          </cell>
        </row>
        <row r="1973">
          <cell r="A1973" t="str">
            <v>Sergio Henrique Montanha</v>
          </cell>
          <cell r="B1973">
            <v>37007207</v>
          </cell>
          <cell r="C1973">
            <v>20022772</v>
          </cell>
          <cell r="D1973">
            <v>44621</v>
          </cell>
        </row>
        <row r="1974">
          <cell r="A1974" t="str">
            <v>Joao Henrique Medeiros Proenca</v>
          </cell>
          <cell r="B1974">
            <v>37007651</v>
          </cell>
          <cell r="C1974">
            <v>20025659</v>
          </cell>
          <cell r="D1974">
            <v>44683</v>
          </cell>
        </row>
        <row r="1975">
          <cell r="A1975" t="str">
            <v>Magno Conceicao Souza</v>
          </cell>
          <cell r="B1975">
            <v>37007712</v>
          </cell>
          <cell r="C1975">
            <v>20025780</v>
          </cell>
          <cell r="D1975">
            <v>44690</v>
          </cell>
        </row>
        <row r="1976">
          <cell r="A1976" t="str">
            <v>Edi Jean Pereira</v>
          </cell>
          <cell r="B1976">
            <v>37007380</v>
          </cell>
          <cell r="C1976">
            <v>20026179</v>
          </cell>
          <cell r="D1976">
            <v>44655</v>
          </cell>
        </row>
        <row r="1977">
          <cell r="A1977" t="str">
            <v>Josias Lourenco Da Silva</v>
          </cell>
          <cell r="B1977">
            <v>37007472</v>
          </cell>
          <cell r="C1977">
            <v>20026190</v>
          </cell>
          <cell r="D1977">
            <v>44669</v>
          </cell>
        </row>
        <row r="1978">
          <cell r="A1978" t="str">
            <v>Celio Eduardo Mulinari Goncalves</v>
          </cell>
          <cell r="B1978">
            <v>37008741</v>
          </cell>
          <cell r="C1978">
            <v>20028359</v>
          </cell>
          <cell r="D1978">
            <v>44774</v>
          </cell>
        </row>
        <row r="1979">
          <cell r="A1979" t="str">
            <v>Paulo Henrique Marchiori</v>
          </cell>
          <cell r="B1979">
            <v>37008668</v>
          </cell>
          <cell r="C1979">
            <v>20028361</v>
          </cell>
          <cell r="D1979">
            <v>44760</v>
          </cell>
        </row>
        <row r="1980">
          <cell r="A1980" t="str">
            <v>Priscilla Alves Bueno</v>
          </cell>
          <cell r="B1980">
            <v>37009065</v>
          </cell>
          <cell r="C1980">
            <v>20031061</v>
          </cell>
          <cell r="D1980">
            <v>44788</v>
          </cell>
        </row>
        <row r="1981">
          <cell r="A1981" t="str">
            <v>Anderson Henrique Santos</v>
          </cell>
          <cell r="B1981">
            <v>37009157</v>
          </cell>
          <cell r="C1981">
            <v>20031839</v>
          </cell>
          <cell r="D1981">
            <v>44795</v>
          </cell>
        </row>
        <row r="1982">
          <cell r="A1982" t="str">
            <v>Rodrigo Fantini</v>
          </cell>
          <cell r="B1982">
            <v>37009177</v>
          </cell>
          <cell r="C1982">
            <v>20031852</v>
          </cell>
          <cell r="D1982">
            <v>44795</v>
          </cell>
        </row>
        <row r="1983">
          <cell r="A1983" t="str">
            <v>Marcos Daniel Domenico</v>
          </cell>
          <cell r="B1983">
            <v>37004492</v>
          </cell>
          <cell r="C1983">
            <v>20008236</v>
          </cell>
          <cell r="D1983">
            <v>43906</v>
          </cell>
        </row>
        <row r="1984">
          <cell r="A1984" t="str">
            <v>Luciano Ribeiro De Oliveira</v>
          </cell>
          <cell r="B1984">
            <v>37009323</v>
          </cell>
          <cell r="C1984">
            <v>20032623</v>
          </cell>
          <cell r="D1984">
            <v>44809</v>
          </cell>
        </row>
        <row r="1985">
          <cell r="A1985" t="str">
            <v>Neimar Santos Padilha</v>
          </cell>
          <cell r="B1985">
            <v>37009342</v>
          </cell>
          <cell r="C1985">
            <v>20032617</v>
          </cell>
          <cell r="D1985">
            <v>44809</v>
          </cell>
        </row>
        <row r="1986">
          <cell r="A1986" t="str">
            <v>Tiago Da Silva Moraes</v>
          </cell>
          <cell r="B1986">
            <v>37009332</v>
          </cell>
          <cell r="C1986">
            <v>20033004</v>
          </cell>
          <cell r="D1986">
            <v>44809</v>
          </cell>
        </row>
        <row r="1987">
          <cell r="A1987" t="str">
            <v>Danilo Rodrigues Marques</v>
          </cell>
          <cell r="B1987">
            <v>37004343</v>
          </cell>
          <cell r="C1987">
            <v>20008880</v>
          </cell>
          <cell r="D1987">
            <v>43871</v>
          </cell>
        </row>
        <row r="1988">
          <cell r="A1988" t="str">
            <v>Jordan Martins De Castro</v>
          </cell>
          <cell r="B1988">
            <v>37009386</v>
          </cell>
          <cell r="C1988">
            <v>20033349</v>
          </cell>
          <cell r="D1988">
            <v>44816</v>
          </cell>
        </row>
        <row r="1989">
          <cell r="A1989" t="str">
            <v>Wandson Farley Souza Pereira</v>
          </cell>
          <cell r="B1989">
            <v>37009458</v>
          </cell>
          <cell r="C1989">
            <v>20034022</v>
          </cell>
          <cell r="D1989">
            <v>44823</v>
          </cell>
        </row>
        <row r="1990">
          <cell r="A1990" t="str">
            <v>Marcos Paulo Dos Santos</v>
          </cell>
          <cell r="B1990">
            <v>37001707</v>
          </cell>
          <cell r="C1990">
            <v>20009638</v>
          </cell>
          <cell r="D1990">
            <v>42590</v>
          </cell>
        </row>
        <row r="1991">
          <cell r="A1991" t="str">
            <v>Suzane Cristina Fidelis</v>
          </cell>
          <cell r="B1991">
            <v>37003573</v>
          </cell>
          <cell r="C1991">
            <v>20009937</v>
          </cell>
          <cell r="D1991">
            <v>43696</v>
          </cell>
        </row>
        <row r="1992">
          <cell r="A1992" t="str">
            <v>Lucas Alves Da Costa</v>
          </cell>
          <cell r="B1992">
            <v>37003375</v>
          </cell>
          <cell r="C1992">
            <v>20009505</v>
          </cell>
          <cell r="D1992">
            <v>43647</v>
          </cell>
        </row>
        <row r="1993">
          <cell r="A1993" t="str">
            <v>Joao Victor Do Amaral Flexa</v>
          </cell>
          <cell r="B1993">
            <v>37009057</v>
          </cell>
          <cell r="C1993">
            <v>20034645</v>
          </cell>
          <cell r="D1993">
            <v>44781</v>
          </cell>
        </row>
        <row r="1994">
          <cell r="A1994" t="str">
            <v>Gustavo Menezes Neves</v>
          </cell>
          <cell r="B1994">
            <v>37003709</v>
          </cell>
          <cell r="C1994">
            <v>20009222</v>
          </cell>
          <cell r="D1994">
            <v>43740</v>
          </cell>
        </row>
        <row r="1995">
          <cell r="A1995" t="str">
            <v>Fabio Donizete Barbosa</v>
          </cell>
          <cell r="B1995">
            <v>37009566</v>
          </cell>
          <cell r="C1995">
            <v>20009051</v>
          </cell>
          <cell r="D1995">
            <v>44837</v>
          </cell>
        </row>
        <row r="1996">
          <cell r="A1996" t="str">
            <v>Fernanda Cristina Alves</v>
          </cell>
          <cell r="B1996">
            <v>37009630</v>
          </cell>
          <cell r="C1996">
            <v>20035761</v>
          </cell>
          <cell r="D1996">
            <v>44844</v>
          </cell>
        </row>
        <row r="1997">
          <cell r="A1997" t="str">
            <v>Rafael Santos Paraiso</v>
          </cell>
          <cell r="B1997">
            <v>37002033</v>
          </cell>
          <cell r="C1997">
            <v>20009807</v>
          </cell>
          <cell r="D1997">
            <v>43045</v>
          </cell>
        </row>
        <row r="1998">
          <cell r="A1998" t="str">
            <v>Gustavo Martins Galli</v>
          </cell>
          <cell r="B1998">
            <v>37000563</v>
          </cell>
          <cell r="C1998">
            <v>20009221</v>
          </cell>
          <cell r="D1998">
            <v>39335</v>
          </cell>
        </row>
        <row r="1999">
          <cell r="A1999" t="str">
            <v>Gabriel Vieira Salomao</v>
          </cell>
          <cell r="B1999">
            <v>37003345</v>
          </cell>
          <cell r="C1999">
            <v>20009145</v>
          </cell>
          <cell r="D1999">
            <v>43647</v>
          </cell>
        </row>
        <row r="2000">
          <cell r="A2000" t="str">
            <v>Luiz Carlos Almeida De Oliveira</v>
          </cell>
          <cell r="B2000">
            <v>37003384</v>
          </cell>
          <cell r="C2000">
            <v>20009553</v>
          </cell>
          <cell r="D2000">
            <v>43647</v>
          </cell>
        </row>
        <row r="2001">
          <cell r="A2001" t="str">
            <v>Layanne Medeiros De Farias</v>
          </cell>
          <cell r="B2001">
            <v>37005776</v>
          </cell>
          <cell r="C2001">
            <v>20015606</v>
          </cell>
          <cell r="D2001">
            <v>44348</v>
          </cell>
        </row>
        <row r="2002">
          <cell r="A2002" t="str">
            <v>Rodrigo Santana Das Chagas Gomes</v>
          </cell>
          <cell r="B2002">
            <v>37005224</v>
          </cell>
          <cell r="C2002">
            <v>20011130</v>
          </cell>
          <cell r="D2002">
            <v>44117</v>
          </cell>
        </row>
        <row r="2003">
          <cell r="A2003" t="str">
            <v>Priscila De Almeida Chuffa</v>
          </cell>
          <cell r="B2003">
            <v>37000655</v>
          </cell>
          <cell r="C2003">
            <v>20009789</v>
          </cell>
          <cell r="D2003">
            <v>39601</v>
          </cell>
        </row>
        <row r="2004">
          <cell r="A2004" t="str">
            <v>Daniel Moraes Pessoa</v>
          </cell>
          <cell r="B2004">
            <v>37004040</v>
          </cell>
          <cell r="C2004">
            <v>20008860</v>
          </cell>
          <cell r="D2004">
            <v>43808</v>
          </cell>
        </row>
        <row r="2005">
          <cell r="A2005" t="str">
            <v>Cicero Antonio Da Silva</v>
          </cell>
          <cell r="B2005">
            <v>37009794</v>
          </cell>
          <cell r="C2005">
            <v>20037064</v>
          </cell>
          <cell r="D2005">
            <v>44872</v>
          </cell>
        </row>
        <row r="2006">
          <cell r="A2006" t="str">
            <v>Pablo Thiago Valesi Oliveira</v>
          </cell>
          <cell r="B2006">
            <v>37009810</v>
          </cell>
          <cell r="C2006">
            <v>20037080</v>
          </cell>
          <cell r="D2006">
            <v>44872</v>
          </cell>
        </row>
        <row r="2007">
          <cell r="A2007" t="str">
            <v>Thiago Rogel De Almeida</v>
          </cell>
          <cell r="B2007">
            <v>37009853</v>
          </cell>
          <cell r="C2007">
            <v>20037160</v>
          </cell>
          <cell r="D2007">
            <v>44872</v>
          </cell>
        </row>
        <row r="2008">
          <cell r="A2008" t="str">
            <v>Anderson Felisberto</v>
          </cell>
          <cell r="B2008">
            <v>37003312</v>
          </cell>
          <cell r="C2008">
            <v>20008603</v>
          </cell>
          <cell r="D2008">
            <v>43647</v>
          </cell>
        </row>
        <row r="2009">
          <cell r="A2009" t="str">
            <v>Raul Moreto De Almeida</v>
          </cell>
          <cell r="B2009">
            <v>37010070</v>
          </cell>
          <cell r="C2009">
            <v>20038175</v>
          </cell>
          <cell r="D2009">
            <v>44881</v>
          </cell>
        </row>
        <row r="2010">
          <cell r="A2010" t="str">
            <v>Tarcisio Baldow De Novaes</v>
          </cell>
          <cell r="B2010">
            <v>37004725</v>
          </cell>
          <cell r="C2010">
            <v>20008384</v>
          </cell>
          <cell r="D2010">
            <v>44053</v>
          </cell>
        </row>
        <row r="2011">
          <cell r="A2011" t="str">
            <v>Andre Aparecido Silva</v>
          </cell>
          <cell r="B2011">
            <v>37010245</v>
          </cell>
          <cell r="C2011">
            <v>20038856</v>
          </cell>
          <cell r="D2011">
            <v>44900</v>
          </cell>
        </row>
        <row r="2012">
          <cell r="A2012" t="str">
            <v>Vilendel Gomes Santos</v>
          </cell>
          <cell r="B2012">
            <v>37004474</v>
          </cell>
          <cell r="C2012">
            <v>20008336</v>
          </cell>
          <cell r="D2012">
            <v>43899</v>
          </cell>
        </row>
        <row r="2013">
          <cell r="A2013" t="str">
            <v>Gianluca Mazzini</v>
          </cell>
          <cell r="B2013">
            <v>37010437</v>
          </cell>
          <cell r="C2013">
            <v>20039741</v>
          </cell>
          <cell r="D2013">
            <v>44907</v>
          </cell>
        </row>
        <row r="2014">
          <cell r="A2014" t="str">
            <v>Juliano Cordeiro da Silva</v>
          </cell>
          <cell r="B2014">
            <v>37010452</v>
          </cell>
          <cell r="C2014">
            <v>20039959</v>
          </cell>
          <cell r="D2014">
            <v>44907</v>
          </cell>
        </row>
        <row r="2015">
          <cell r="A2015" t="str">
            <v>Praveen Singhavi</v>
          </cell>
          <cell r="B2015">
            <v>37011961</v>
          </cell>
          <cell r="C2015">
            <v>10010689</v>
          </cell>
          <cell r="D2015">
            <v>44986</v>
          </cell>
        </row>
        <row r="2016">
          <cell r="A2016" t="str">
            <v>Helton Alexandre Ishii</v>
          </cell>
          <cell r="B2016">
            <v>37005616</v>
          </cell>
          <cell r="C2016">
            <v>20014375</v>
          </cell>
          <cell r="D2016">
            <v>44319</v>
          </cell>
        </row>
        <row r="2017">
          <cell r="A2017" t="str">
            <v>Marcelo Augusto Ferreira</v>
          </cell>
          <cell r="B2017">
            <v>37005920</v>
          </cell>
          <cell r="C2017">
            <v>20015641</v>
          </cell>
          <cell r="D2017">
            <v>44382</v>
          </cell>
        </row>
        <row r="2018">
          <cell r="A2018" t="str">
            <v>Matheus De Almeida Oliveira</v>
          </cell>
          <cell r="B2018">
            <v>37003801</v>
          </cell>
          <cell r="C2018">
            <v>20009674</v>
          </cell>
          <cell r="D2018">
            <v>43752</v>
          </cell>
        </row>
        <row r="2019">
          <cell r="A2019" t="str">
            <v>Gabriel Asaffe Silva Angelico Costa</v>
          </cell>
          <cell r="B2019">
            <v>37003339</v>
          </cell>
          <cell r="C2019">
            <v>20009127</v>
          </cell>
          <cell r="D2019">
            <v>43647</v>
          </cell>
        </row>
        <row r="2020">
          <cell r="A2020" t="str">
            <v>Pedro Henrique Batista Da Silva</v>
          </cell>
          <cell r="B2020">
            <v>37004395</v>
          </cell>
          <cell r="C2020">
            <v>20008278</v>
          </cell>
          <cell r="D2020">
            <v>43878</v>
          </cell>
        </row>
        <row r="2021">
          <cell r="A2021" t="str">
            <v>Jabes dos Santos Guedes</v>
          </cell>
          <cell r="B2021">
            <v>37010577</v>
          </cell>
          <cell r="C2021">
            <v>20040473</v>
          </cell>
          <cell r="D2021">
            <v>44930</v>
          </cell>
        </row>
        <row r="2022">
          <cell r="A2022" t="str">
            <v>Geraldo Rodrigues De Souza Junior</v>
          </cell>
          <cell r="B2022">
            <v>37010879</v>
          </cell>
          <cell r="C2022">
            <v>20040497</v>
          </cell>
          <cell r="D2022">
            <v>44942</v>
          </cell>
        </row>
        <row r="2023">
          <cell r="A2023" t="str">
            <v>Lucas Piaia Rodrigues</v>
          </cell>
          <cell r="B2023">
            <v>37010648</v>
          </cell>
          <cell r="C2023">
            <v>20040602</v>
          </cell>
          <cell r="D2023">
            <v>44930</v>
          </cell>
        </row>
        <row r="2024">
          <cell r="A2024" t="str">
            <v>Victor Pereira Guarido Marques</v>
          </cell>
          <cell r="B2024">
            <v>37002446</v>
          </cell>
          <cell r="C2024">
            <v>20010005</v>
          </cell>
          <cell r="D2024">
            <v>43353</v>
          </cell>
        </row>
        <row r="2025">
          <cell r="A2025" t="str">
            <v>Guilherme Alves de Lima</v>
          </cell>
          <cell r="B2025">
            <v>37010765</v>
          </cell>
          <cell r="C2025">
            <v>20040975</v>
          </cell>
          <cell r="D2025">
            <v>44935</v>
          </cell>
        </row>
        <row r="2026">
          <cell r="A2026" t="str">
            <v>Fernando Callai E Cunha</v>
          </cell>
          <cell r="B2026">
            <v>37004163</v>
          </cell>
          <cell r="C2026">
            <v>20008180</v>
          </cell>
          <cell r="D2026">
            <v>43850</v>
          </cell>
        </row>
        <row r="2027">
          <cell r="A2027" t="str">
            <v>Gabriel Henrique Guelere Ferreira</v>
          </cell>
          <cell r="B2027">
            <v>37010820</v>
          </cell>
          <cell r="C2027">
            <v>20025861</v>
          </cell>
          <cell r="D2027">
            <v>44942</v>
          </cell>
        </row>
        <row r="2028">
          <cell r="A2028" t="str">
            <v>Cristofher Leonardo Reinhold</v>
          </cell>
          <cell r="B2028">
            <v>37010819</v>
          </cell>
          <cell r="C2028">
            <v>20025403</v>
          </cell>
          <cell r="D2028">
            <v>44942</v>
          </cell>
        </row>
        <row r="2029">
          <cell r="A2029" t="str">
            <v>Eduardo Martins Aron</v>
          </cell>
          <cell r="B2029">
            <v>37010907</v>
          </cell>
          <cell r="C2029">
            <v>20041361</v>
          </cell>
          <cell r="D2029">
            <v>44942</v>
          </cell>
        </row>
        <row r="2030">
          <cell r="A2030" t="str">
            <v>Allan Guilherme Martins Moraes</v>
          </cell>
          <cell r="B2030">
            <v>37003743</v>
          </cell>
          <cell r="C2030">
            <v>20008564</v>
          </cell>
          <cell r="D2030">
            <v>43752</v>
          </cell>
        </row>
        <row r="2031">
          <cell r="A2031" t="str">
            <v>Pedro Henrique Dias Furtado</v>
          </cell>
          <cell r="B2031">
            <v>37004686</v>
          </cell>
          <cell r="C2031">
            <v>20008371</v>
          </cell>
          <cell r="D2031">
            <v>44046</v>
          </cell>
        </row>
        <row r="2032">
          <cell r="A2032" t="str">
            <v>Jhelison da Silva Pereira</v>
          </cell>
          <cell r="B2032">
            <v>37010992</v>
          </cell>
          <cell r="C2032">
            <v>20041803</v>
          </cell>
          <cell r="D2032">
            <v>44958</v>
          </cell>
        </row>
        <row r="2033">
          <cell r="A2033" t="str">
            <v>Geovani Magela Arcanjo</v>
          </cell>
          <cell r="B2033">
            <v>37004508</v>
          </cell>
          <cell r="C2033">
            <v>20009158</v>
          </cell>
          <cell r="D2033">
            <v>43927</v>
          </cell>
        </row>
        <row r="2034">
          <cell r="A2034" t="str">
            <v>Reinaldo Heissnauer Quinelli</v>
          </cell>
          <cell r="B2034">
            <v>37005233</v>
          </cell>
          <cell r="C2034">
            <v>20011127</v>
          </cell>
          <cell r="D2034">
            <v>44123</v>
          </cell>
        </row>
        <row r="2035">
          <cell r="A2035" t="str">
            <v>Denis Wilians Da Silva</v>
          </cell>
          <cell r="B2035">
            <v>37004159</v>
          </cell>
          <cell r="C2035">
            <v>20008170</v>
          </cell>
          <cell r="D2035">
            <v>43850</v>
          </cell>
        </row>
        <row r="2036">
          <cell r="A2036" t="str">
            <v>Magno Salomao de Souza</v>
          </cell>
          <cell r="B2036">
            <v>37011149</v>
          </cell>
          <cell r="C2036">
            <v>20042495</v>
          </cell>
          <cell r="D2036">
            <v>44970</v>
          </cell>
        </row>
        <row r="2037">
          <cell r="A2037" t="str">
            <v>Suresh Krishnamurthy</v>
          </cell>
          <cell r="B2037">
            <v>37011438</v>
          </cell>
          <cell r="C2037">
            <v>10043705</v>
          </cell>
          <cell r="D2037">
            <v>44958</v>
          </cell>
        </row>
        <row r="2038">
          <cell r="A2038" t="str">
            <v>Danilo Ribeiro Mota Santos</v>
          </cell>
          <cell r="B2038">
            <v>37011210</v>
          </cell>
          <cell r="C2038">
            <v>20025416</v>
          </cell>
          <cell r="D2038">
            <v>44970</v>
          </cell>
        </row>
        <row r="2039">
          <cell r="A2039" t="str">
            <v>Eduarda Lazarini Dangio</v>
          </cell>
          <cell r="B2039">
            <v>37002641</v>
          </cell>
          <cell r="C2039">
            <v>20008962</v>
          </cell>
          <cell r="D2039">
            <v>43416</v>
          </cell>
        </row>
        <row r="2040">
          <cell r="A2040" t="str">
            <v>Natasha De Vuono Xavier De Souza</v>
          </cell>
          <cell r="B2040">
            <v>37011473</v>
          </cell>
          <cell r="C2040">
            <v>20044132</v>
          </cell>
          <cell r="D2040">
            <v>44991</v>
          </cell>
        </row>
        <row r="2041">
          <cell r="A2041" t="str">
            <v>Mateus Martins Tenorio</v>
          </cell>
          <cell r="B2041">
            <v>37003388</v>
          </cell>
          <cell r="C2041">
            <v>20009670</v>
          </cell>
          <cell r="D2041">
            <v>43647</v>
          </cell>
        </row>
        <row r="2042">
          <cell r="A2042" t="str">
            <v>Gabriel Espindola De Araujo</v>
          </cell>
          <cell r="B2042">
            <v>37003877</v>
          </cell>
          <cell r="C2042">
            <v>20009134</v>
          </cell>
          <cell r="D2042">
            <v>43759</v>
          </cell>
        </row>
        <row r="2043">
          <cell r="A2043" t="str">
            <v>ALESSANDRA FERREIRA DE OLIVEIRA</v>
          </cell>
          <cell r="B2043">
            <v>37011667</v>
          </cell>
          <cell r="C2043">
            <v>20044820</v>
          </cell>
          <cell r="D2043">
            <v>44998</v>
          </cell>
        </row>
        <row r="2044">
          <cell r="A2044" t="str">
            <v>Jessica Pereira Nacfur</v>
          </cell>
          <cell r="B2044">
            <v>37004754</v>
          </cell>
          <cell r="C2044">
            <v>20008070</v>
          </cell>
          <cell r="D2044">
            <v>44060</v>
          </cell>
        </row>
        <row r="2045">
          <cell r="A2045" t="str">
            <v>Everton Rafael Braz</v>
          </cell>
          <cell r="B2045">
            <v>37000547</v>
          </cell>
          <cell r="C2045">
            <v>20009033</v>
          </cell>
          <cell r="D2045">
            <v>39237</v>
          </cell>
        </row>
        <row r="2046">
          <cell r="A2046" t="str">
            <v>Anderson Goncalves</v>
          </cell>
          <cell r="B2046">
            <v>37004362</v>
          </cell>
          <cell r="C2046">
            <v>20008606</v>
          </cell>
          <cell r="D2046">
            <v>43878</v>
          </cell>
        </row>
        <row r="2047">
          <cell r="A2047" t="str">
            <v>Alison Da Silva Lima</v>
          </cell>
          <cell r="B2047">
            <v>37001141</v>
          </cell>
          <cell r="C2047">
            <v>20008557</v>
          </cell>
          <cell r="D2047">
            <v>41309</v>
          </cell>
        </row>
        <row r="2048">
          <cell r="A2048" t="str">
            <v>Jose Adriano do Carmo</v>
          </cell>
          <cell r="B2048">
            <v>37011974</v>
          </cell>
          <cell r="C2048">
            <v>20046994</v>
          </cell>
          <cell r="D2048">
            <v>45019</v>
          </cell>
        </row>
        <row r="2049">
          <cell r="A2049" t="str">
            <v>Julio Cesar Migliorini</v>
          </cell>
          <cell r="B2049">
            <v>37003371</v>
          </cell>
          <cell r="C2049">
            <v>20009436</v>
          </cell>
          <cell r="D2049">
            <v>43647</v>
          </cell>
        </row>
        <row r="2050">
          <cell r="A2050" t="str">
            <v>Guilherme Henrique De Sousa Monteiro</v>
          </cell>
          <cell r="B2050">
            <v>37003773</v>
          </cell>
          <cell r="C2050">
            <v>20009206</v>
          </cell>
          <cell r="D2050">
            <v>43752</v>
          </cell>
        </row>
        <row r="2051">
          <cell r="A2051" t="str">
            <v>Victor Luiz Duarte Rico</v>
          </cell>
          <cell r="B2051">
            <v>37006012</v>
          </cell>
          <cell r="C2051">
            <v>20019103</v>
          </cell>
          <cell r="D2051">
            <v>44389</v>
          </cell>
        </row>
        <row r="2052">
          <cell r="A2052" t="str">
            <v>Jefferson Alexandre Barbosa Da Silva</v>
          </cell>
          <cell r="B2052">
            <v>37006090</v>
          </cell>
          <cell r="C2052">
            <v>20016863</v>
          </cell>
          <cell r="D2052">
            <v>44410</v>
          </cell>
        </row>
        <row r="2053">
          <cell r="A2053" t="str">
            <v>Sidinei Marconato</v>
          </cell>
          <cell r="B2053">
            <v>37009551</v>
          </cell>
          <cell r="C2053">
            <v>20035236</v>
          </cell>
          <cell r="D2053">
            <v>44837</v>
          </cell>
        </row>
        <row r="2054">
          <cell r="A2054" t="str">
            <v>Jose Leandro Rodrigues</v>
          </cell>
          <cell r="B2054">
            <v>37002177</v>
          </cell>
          <cell r="C2054">
            <v>20009398</v>
          </cell>
          <cell r="D2054">
            <v>43136</v>
          </cell>
        </row>
        <row r="2055">
          <cell r="A2055" t="str">
            <v>Geraldo Santos Monteiro</v>
          </cell>
          <cell r="B2055">
            <v>37004458</v>
          </cell>
          <cell r="C2055">
            <v>20009160</v>
          </cell>
          <cell r="D2055">
            <v>43899</v>
          </cell>
        </row>
        <row r="2056">
          <cell r="A2056" t="str">
            <v>Rodrigo Laine Barbosa</v>
          </cell>
          <cell r="B2056">
            <v>37000439</v>
          </cell>
          <cell r="C2056">
            <v>20009870</v>
          </cell>
          <cell r="D2056">
            <v>38446</v>
          </cell>
        </row>
        <row r="2057">
          <cell r="A2057" t="str">
            <v>Fabiano Pinheiro De Freitas</v>
          </cell>
          <cell r="B2057">
            <v>37000340</v>
          </cell>
          <cell r="C2057">
            <v>20009044</v>
          </cell>
          <cell r="D2057">
            <v>37270</v>
          </cell>
        </row>
        <row r="2058">
          <cell r="A2058" t="str">
            <v>Kaio Henrique De Oliveira</v>
          </cell>
          <cell r="B2058">
            <v>37008706</v>
          </cell>
          <cell r="C2058">
            <v>20028637</v>
          </cell>
          <cell r="D2058">
            <v>44760</v>
          </cell>
        </row>
        <row r="2059">
          <cell r="A2059" t="str">
            <v>Pedro Goncalves Junior</v>
          </cell>
          <cell r="B2059">
            <v>37004180</v>
          </cell>
          <cell r="C2059">
            <v>20008277</v>
          </cell>
          <cell r="D2059">
            <v>43850</v>
          </cell>
        </row>
        <row r="2060">
          <cell r="A2060" t="str">
            <v>Luciano Aparecido Da Silva</v>
          </cell>
          <cell r="B2060">
            <v>37012068</v>
          </cell>
          <cell r="C2060">
            <v>20047582</v>
          </cell>
          <cell r="D2060">
            <v>45027</v>
          </cell>
        </row>
        <row r="2061">
          <cell r="A2061" t="str">
            <v>Guilherme Pereira de Oliveira</v>
          </cell>
          <cell r="B2061">
            <v>37012147</v>
          </cell>
          <cell r="C2061">
            <v>20048375</v>
          </cell>
          <cell r="D2061">
            <v>45034</v>
          </cell>
        </row>
        <row r="2062">
          <cell r="A2062" t="str">
            <v>Stelvin Jone Lopes</v>
          </cell>
          <cell r="B2062">
            <v>37012200</v>
          </cell>
          <cell r="C2062">
            <v>20048551</v>
          </cell>
          <cell r="D2062">
            <v>45034</v>
          </cell>
        </row>
        <row r="2063">
          <cell r="A2063" t="str">
            <v>Jonas Siqueira Naranjo</v>
          </cell>
          <cell r="B2063">
            <v>37012221</v>
          </cell>
          <cell r="C2063">
            <v>20048929</v>
          </cell>
          <cell r="D2063">
            <v>45033</v>
          </cell>
        </row>
        <row r="2064">
          <cell r="A2064" t="str">
            <v>Bruno de Castro Roverci</v>
          </cell>
          <cell r="B2064">
            <v>37012277</v>
          </cell>
          <cell r="C2064">
            <v>20049223</v>
          </cell>
          <cell r="D2064">
            <v>45048</v>
          </cell>
        </row>
        <row r="2065">
          <cell r="A2065" t="str">
            <v>Paulo Victor Nelli</v>
          </cell>
          <cell r="B2065">
            <v>37012293</v>
          </cell>
          <cell r="C2065">
            <v>20009775</v>
          </cell>
          <cell r="D2065">
            <v>45048</v>
          </cell>
        </row>
        <row r="2066">
          <cell r="A2066" t="str">
            <v>Joao Paulo de Oliveira Dorta</v>
          </cell>
          <cell r="B2066">
            <v>37012304</v>
          </cell>
          <cell r="C2066">
            <v>20049262</v>
          </cell>
          <cell r="D2066">
            <v>45048</v>
          </cell>
        </row>
        <row r="2067">
          <cell r="A2067" t="str">
            <v>Robson Silva de Almeida</v>
          </cell>
          <cell r="B2067">
            <v>37012311</v>
          </cell>
          <cell r="C2067">
            <v>20049269</v>
          </cell>
          <cell r="D2067">
            <v>45048</v>
          </cell>
        </row>
        <row r="2068">
          <cell r="A2068" t="str">
            <v>Fabiano Nogueira da Costa</v>
          </cell>
          <cell r="B2068">
            <v>37012521</v>
          </cell>
          <cell r="C2068">
            <v>20049713</v>
          </cell>
          <cell r="D2068">
            <v>45055</v>
          </cell>
        </row>
        <row r="2069">
          <cell r="A2069" t="str">
            <v>Abner Matheus Gallego de Oliveira</v>
          </cell>
          <cell r="B2069">
            <v>37012420</v>
          </cell>
          <cell r="C2069">
            <v>20049720</v>
          </cell>
          <cell r="D2069">
            <v>45055</v>
          </cell>
        </row>
        <row r="2070">
          <cell r="A2070" t="str">
            <v>Ana Carolina Goncalves</v>
          </cell>
          <cell r="B2070">
            <v>37012416</v>
          </cell>
          <cell r="C2070">
            <v>20049716</v>
          </cell>
          <cell r="D2070">
            <v>45055</v>
          </cell>
        </row>
        <row r="2071">
          <cell r="A2071" t="str">
            <v>Matheus Hernandes dos Santos</v>
          </cell>
          <cell r="B2071">
            <v>37012432</v>
          </cell>
          <cell r="C2071">
            <v>20049732</v>
          </cell>
          <cell r="D2071">
            <v>45055</v>
          </cell>
        </row>
        <row r="2072">
          <cell r="A2072" t="str">
            <v>Everton Luis Da Silva</v>
          </cell>
          <cell r="B2072">
            <v>37003768</v>
          </cell>
          <cell r="C2072">
            <v>20009030</v>
          </cell>
          <cell r="D2072">
            <v>43752</v>
          </cell>
        </row>
        <row r="2073">
          <cell r="A2073" t="str">
            <v>Marcos Rogerio Ervilha</v>
          </cell>
          <cell r="B2073">
            <v>37004177</v>
          </cell>
          <cell r="C2073">
            <v>20008238</v>
          </cell>
          <cell r="D2073">
            <v>43850</v>
          </cell>
        </row>
        <row r="2074">
          <cell r="A2074" t="str">
            <v>Marcelo Donizete De Jesus</v>
          </cell>
          <cell r="B2074">
            <v>37003796</v>
          </cell>
          <cell r="C2074">
            <v>20009593</v>
          </cell>
          <cell r="D2074">
            <v>43752</v>
          </cell>
        </row>
        <row r="2075">
          <cell r="A2075" t="str">
            <v>Anderson Luiz Ribeiro</v>
          </cell>
          <cell r="B2075">
            <v>37004149</v>
          </cell>
          <cell r="C2075">
            <v>20008087</v>
          </cell>
          <cell r="D2075">
            <v>43850</v>
          </cell>
        </row>
        <row r="2076">
          <cell r="A2076" t="str">
            <v>Alessandro Henrique De Oliveira</v>
          </cell>
          <cell r="B2076">
            <v>37001537</v>
          </cell>
          <cell r="C2076">
            <v>20008524</v>
          </cell>
          <cell r="D2076">
            <v>42205</v>
          </cell>
        </row>
        <row r="2077">
          <cell r="A2077" t="str">
            <v>Paulo Henrique Da Cruz</v>
          </cell>
          <cell r="B2077">
            <v>37004179</v>
          </cell>
          <cell r="C2077">
            <v>20009753</v>
          </cell>
          <cell r="D2077">
            <v>43850</v>
          </cell>
        </row>
        <row r="2078">
          <cell r="A2078" t="str">
            <v>Jamil Pereira Da Rocha</v>
          </cell>
          <cell r="B2078">
            <v>37000427</v>
          </cell>
          <cell r="C2078">
            <v>20009293</v>
          </cell>
          <cell r="D2078">
            <v>38397</v>
          </cell>
        </row>
        <row r="2079">
          <cell r="A2079" t="str">
            <v>Leonardo Cacador Santana</v>
          </cell>
          <cell r="B2079">
            <v>37003372</v>
          </cell>
          <cell r="C2079">
            <v>20009482</v>
          </cell>
          <cell r="D2079">
            <v>43647</v>
          </cell>
        </row>
        <row r="2080">
          <cell r="A2080" t="str">
            <v>Lucas De Souza Santille</v>
          </cell>
          <cell r="B2080">
            <v>37001018</v>
          </cell>
          <cell r="C2080">
            <v>20009512</v>
          </cell>
          <cell r="D2080">
            <v>41113</v>
          </cell>
        </row>
        <row r="2081">
          <cell r="A2081" t="str">
            <v>Rodolfo Rodrigues Pipa</v>
          </cell>
          <cell r="B2081">
            <v>37012630</v>
          </cell>
          <cell r="C2081">
            <v>20051116</v>
          </cell>
          <cell r="D2081">
            <v>45083</v>
          </cell>
        </row>
        <row r="2082">
          <cell r="A2082" t="str">
            <v>Alex de Sousa</v>
          </cell>
          <cell r="B2082">
            <v>37012705</v>
          </cell>
          <cell r="C2082">
            <v>20051289</v>
          </cell>
          <cell r="D2082">
            <v>45083</v>
          </cell>
        </row>
        <row r="2083">
          <cell r="A2083" t="str">
            <v>Wagner Ramos Santos</v>
          </cell>
          <cell r="B2083">
            <v>37012767</v>
          </cell>
          <cell r="C2083">
            <v>20051360</v>
          </cell>
          <cell r="D2083">
            <v>45083</v>
          </cell>
        </row>
        <row r="2084">
          <cell r="A2084" t="str">
            <v>Guilherme Ramos Cruz</v>
          </cell>
          <cell r="B2084">
            <v>37012773</v>
          </cell>
          <cell r="C2084">
            <v>20051366</v>
          </cell>
          <cell r="D2084">
            <v>45083</v>
          </cell>
        </row>
        <row r="2085">
          <cell r="A2085" t="str">
            <v>Joao Victor Luccas Rodrigues</v>
          </cell>
          <cell r="B2085">
            <v>37012804</v>
          </cell>
          <cell r="C2085">
            <v>20051734</v>
          </cell>
          <cell r="D2085">
            <v>45083</v>
          </cell>
        </row>
        <row r="2086">
          <cell r="A2086" t="str">
            <v>Helton Brunaikovics Marques</v>
          </cell>
          <cell r="B2086">
            <v>37012835</v>
          </cell>
          <cell r="C2086">
            <v>20051790</v>
          </cell>
          <cell r="D2086">
            <v>45090</v>
          </cell>
        </row>
        <row r="2087">
          <cell r="A2087" t="str">
            <v>Caio Felipe Fernandes Dos Santos</v>
          </cell>
          <cell r="B2087">
            <v>37003321</v>
          </cell>
          <cell r="C2087">
            <v>20008736</v>
          </cell>
          <cell r="D2087">
            <v>43647</v>
          </cell>
        </row>
        <row r="2088">
          <cell r="A2088" t="str">
            <v>Lucas Bombi Mazuki</v>
          </cell>
          <cell r="B2088">
            <v>37004173</v>
          </cell>
          <cell r="C2088">
            <v>20009510</v>
          </cell>
          <cell r="D2088">
            <v>43850</v>
          </cell>
        </row>
        <row r="2089">
          <cell r="A2089" t="str">
            <v>Ricardo Alessandro Soares</v>
          </cell>
          <cell r="B2089">
            <v>37001851</v>
          </cell>
          <cell r="C2089">
            <v>20009831</v>
          </cell>
          <cell r="D2089">
            <v>42751</v>
          </cell>
        </row>
        <row r="2090">
          <cell r="A2090" t="str">
            <v>Fabricio Henrique Leonardo</v>
          </cell>
          <cell r="B2090">
            <v>37003335</v>
          </cell>
          <cell r="C2090">
            <v>20009067</v>
          </cell>
          <cell r="D2090">
            <v>43647</v>
          </cell>
        </row>
        <row r="2091">
          <cell r="A2091" t="str">
            <v>Gabriel Dos Santos Rodrigues</v>
          </cell>
          <cell r="B2091">
            <v>37003770</v>
          </cell>
          <cell r="C2091">
            <v>20009133</v>
          </cell>
          <cell r="D2091">
            <v>43752</v>
          </cell>
        </row>
        <row r="2092">
          <cell r="A2092" t="str">
            <v>Fabio Tadashi Noso</v>
          </cell>
          <cell r="B2092">
            <v>37012889</v>
          </cell>
          <cell r="C2092">
            <v>20051939</v>
          </cell>
          <cell r="D2092">
            <v>45083</v>
          </cell>
        </row>
        <row r="2093">
          <cell r="A2093" t="str">
            <v>Glauco Goss</v>
          </cell>
          <cell r="B2093">
            <v>37003771</v>
          </cell>
          <cell r="C2093">
            <v>20009192</v>
          </cell>
          <cell r="D2093">
            <v>43752</v>
          </cell>
        </row>
        <row r="2094">
          <cell r="A2094" t="str">
            <v>Kleber Rodrigo Salvador</v>
          </cell>
          <cell r="B2094">
            <v>37006954</v>
          </cell>
          <cell r="C2094">
            <v>20021008</v>
          </cell>
          <cell r="D2094">
            <v>44571</v>
          </cell>
        </row>
        <row r="2095">
          <cell r="A2095" t="str">
            <v>Leonardo Pacifico De Souza</v>
          </cell>
          <cell r="B2095">
            <v>37003788</v>
          </cell>
          <cell r="C2095">
            <v>20009489</v>
          </cell>
          <cell r="D2095">
            <v>43752</v>
          </cell>
        </row>
        <row r="2096">
          <cell r="A2096" t="str">
            <v>Fabricio Mielli Costa</v>
          </cell>
          <cell r="B2096">
            <v>37013178</v>
          </cell>
          <cell r="C2096">
            <v>20053355</v>
          </cell>
          <cell r="D2096">
            <v>45111</v>
          </cell>
        </row>
        <row r="2097">
          <cell r="A2097" t="str">
            <v>David Rodrigo Beraldo</v>
          </cell>
          <cell r="B2097">
            <v>37013188</v>
          </cell>
          <cell r="C2097">
            <v>20025468</v>
          </cell>
          <cell r="D2097">
            <v>45111</v>
          </cell>
        </row>
        <row r="2098">
          <cell r="A2098" t="str">
            <v>Victor Angelo Turcarelli</v>
          </cell>
          <cell r="B2098">
            <v>37013312</v>
          </cell>
          <cell r="C2098">
            <v>20053674</v>
          </cell>
          <cell r="D2098">
            <v>45111</v>
          </cell>
        </row>
        <row r="2099">
          <cell r="A2099" t="str">
            <v>Gilvania Alves Dos Santos</v>
          </cell>
          <cell r="B2099">
            <v>37013322</v>
          </cell>
          <cell r="C2099">
            <v>20053684</v>
          </cell>
          <cell r="D2099">
            <v>45111</v>
          </cell>
        </row>
        <row r="2100">
          <cell r="A2100" t="str">
            <v>Paulo Jose Quinto</v>
          </cell>
          <cell r="B2100">
            <v>37013330</v>
          </cell>
          <cell r="C2100">
            <v>20053694</v>
          </cell>
          <cell r="D2100">
            <v>45111</v>
          </cell>
        </row>
        <row r="2101">
          <cell r="A2101" t="str">
            <v>Lucas Henrique Dos Santos</v>
          </cell>
          <cell r="B2101">
            <v>37013345</v>
          </cell>
          <cell r="C2101">
            <v>20053736</v>
          </cell>
          <cell r="D2101">
            <v>45118</v>
          </cell>
        </row>
        <row r="2102">
          <cell r="A2102" t="str">
            <v>Rafael Henrique do Amaral</v>
          </cell>
          <cell r="B2102">
            <v>37013363</v>
          </cell>
          <cell r="C2102">
            <v>20054020</v>
          </cell>
          <cell r="D2102">
            <v>45118</v>
          </cell>
        </row>
        <row r="2103">
          <cell r="A2103" t="str">
            <v>Paulo Henrique Lopes Da Silva</v>
          </cell>
          <cell r="B2103">
            <v>37003395</v>
          </cell>
          <cell r="C2103">
            <v>20009755</v>
          </cell>
          <cell r="D2103">
            <v>43647</v>
          </cell>
        </row>
        <row r="2104">
          <cell r="A2104" t="str">
            <v>Alessandro Rosa Vieira</v>
          </cell>
          <cell r="B2104">
            <v>37004482</v>
          </cell>
          <cell r="C2104">
            <v>20008529</v>
          </cell>
          <cell r="D2104">
            <v>43906</v>
          </cell>
        </row>
        <row r="2105">
          <cell r="A2105" t="str">
            <v>Josimar Belmont Da Silva</v>
          </cell>
          <cell r="B2105">
            <v>37003782</v>
          </cell>
          <cell r="C2105">
            <v>20009420</v>
          </cell>
          <cell r="D2105">
            <v>43752</v>
          </cell>
        </row>
        <row r="2106">
          <cell r="A2106" t="str">
            <v>Marcelo Adriano Messias</v>
          </cell>
          <cell r="B2106">
            <v>37006727</v>
          </cell>
          <cell r="C2106">
            <v>20019985</v>
          </cell>
          <cell r="D2106">
            <v>44516</v>
          </cell>
        </row>
        <row r="2107">
          <cell r="A2107" t="str">
            <v>Eli Samuel Dionisio</v>
          </cell>
          <cell r="B2107">
            <v>37003766</v>
          </cell>
          <cell r="C2107">
            <v>20008977</v>
          </cell>
          <cell r="D2107">
            <v>43752</v>
          </cell>
        </row>
        <row r="2108">
          <cell r="A2108" t="str">
            <v>Helio Goncalves Santos</v>
          </cell>
          <cell r="B2108">
            <v>37000146</v>
          </cell>
          <cell r="C2108">
            <v>20009234</v>
          </cell>
          <cell r="D2108">
            <v>34835</v>
          </cell>
        </row>
        <row r="2109">
          <cell r="A2109" t="str">
            <v>Tiago Quirino Da Silva Lopes</v>
          </cell>
          <cell r="B2109">
            <v>37004318</v>
          </cell>
          <cell r="C2109">
            <v>20008326</v>
          </cell>
          <cell r="D2109">
            <v>43864</v>
          </cell>
        </row>
        <row r="2110">
          <cell r="A2110" t="str">
            <v>Everson Mendes Dos Santos</v>
          </cell>
          <cell r="B2110">
            <v>37006909</v>
          </cell>
          <cell r="C2110">
            <v>20020992</v>
          </cell>
          <cell r="D2110">
            <v>44550</v>
          </cell>
        </row>
        <row r="2111">
          <cell r="A2111" t="str">
            <v>Felype Silva Lima</v>
          </cell>
          <cell r="B2111">
            <v>37004487</v>
          </cell>
          <cell r="C2111">
            <v>20009079</v>
          </cell>
          <cell r="D2111">
            <v>43906</v>
          </cell>
        </row>
        <row r="2112">
          <cell r="A2112" t="str">
            <v>PAMELA FERNANDES PROCOPIO</v>
          </cell>
          <cell r="B2112">
            <v>37013580</v>
          </cell>
          <cell r="C2112">
            <v>20055810</v>
          </cell>
          <cell r="D2112">
            <v>45125</v>
          </cell>
        </row>
        <row r="2113">
          <cell r="A2113" t="str">
            <v>Thiago Prata Teixeira</v>
          </cell>
          <cell r="B2113">
            <v>37013643</v>
          </cell>
          <cell r="C2113">
            <v>20055943</v>
          </cell>
          <cell r="D2113">
            <v>45139</v>
          </cell>
        </row>
        <row r="2114">
          <cell r="A2114" t="str">
            <v>Sabrina Francisco Da Silva Zuntini</v>
          </cell>
          <cell r="B2114">
            <v>37003811</v>
          </cell>
          <cell r="C2114">
            <v>20009901</v>
          </cell>
          <cell r="D2114">
            <v>43752</v>
          </cell>
        </row>
        <row r="2115">
          <cell r="A2115" t="str">
            <v>Giovanne Oliveira Sanches</v>
          </cell>
          <cell r="B2115">
            <v>37013757</v>
          </cell>
          <cell r="C2115">
            <v>20056392</v>
          </cell>
          <cell r="D2115">
            <v>45139</v>
          </cell>
        </row>
        <row r="2116">
          <cell r="A2116" t="str">
            <v>Isabel Cristina Parreira</v>
          </cell>
          <cell r="B2116">
            <v>37013839</v>
          </cell>
          <cell r="C2116">
            <v>20056491</v>
          </cell>
          <cell r="D2116">
            <v>45146</v>
          </cell>
        </row>
        <row r="2117">
          <cell r="A2117" t="str">
            <v>Ana Carolina Alves de Carvalho</v>
          </cell>
          <cell r="B2117">
            <v>37013879</v>
          </cell>
          <cell r="C2117">
            <v>20057012</v>
          </cell>
          <cell r="D2117">
            <v>45146</v>
          </cell>
        </row>
        <row r="2118">
          <cell r="A2118" t="str">
            <v>Paulo Torelli</v>
          </cell>
          <cell r="B2118">
            <v>37013880</v>
          </cell>
          <cell r="C2118">
            <v>20057013</v>
          </cell>
          <cell r="D2118">
            <v>45146</v>
          </cell>
        </row>
        <row r="2119">
          <cell r="A2119" t="str">
            <v>Mellissa Miyeko Menezes Kishimoto</v>
          </cell>
          <cell r="B2119">
            <v>37003507</v>
          </cell>
          <cell r="C2119">
            <v>20009690</v>
          </cell>
          <cell r="D2119">
            <v>43682</v>
          </cell>
        </row>
        <row r="2120">
          <cell r="A2120" t="str">
            <v>Thiago De Oliveira</v>
          </cell>
          <cell r="B2120">
            <v>37003404</v>
          </cell>
          <cell r="C2120">
            <v>20009952</v>
          </cell>
          <cell r="D2120">
            <v>43647</v>
          </cell>
        </row>
        <row r="2121">
          <cell r="A2121" t="str">
            <v>Denilson Aparecido Ubeda</v>
          </cell>
          <cell r="B2121">
            <v>37000224</v>
          </cell>
          <cell r="C2121">
            <v>20008891</v>
          </cell>
          <cell r="D2121">
            <v>35339</v>
          </cell>
        </row>
        <row r="2122">
          <cell r="A2122" t="str">
            <v>Ewerton Alves</v>
          </cell>
          <cell r="B2122">
            <v>37013981</v>
          </cell>
          <cell r="C2122">
            <v>20057463</v>
          </cell>
          <cell r="D2122">
            <v>45153</v>
          </cell>
        </row>
        <row r="2123">
          <cell r="A2123" t="str">
            <v>Erick Lopes</v>
          </cell>
          <cell r="B2123">
            <v>37014014</v>
          </cell>
          <cell r="C2123">
            <v>20057504</v>
          </cell>
          <cell r="D2123">
            <v>45153</v>
          </cell>
        </row>
        <row r="2124">
          <cell r="A2124" t="str">
            <v>Maghayver Fortunato Spolavori</v>
          </cell>
          <cell r="B2124">
            <v>37004175</v>
          </cell>
          <cell r="C2124">
            <v>20008224</v>
          </cell>
          <cell r="D2124">
            <v>43850</v>
          </cell>
        </row>
        <row r="2125">
          <cell r="A2125" t="str">
            <v>Luiz Fernando Pontes Da Silva</v>
          </cell>
          <cell r="B2125">
            <v>37014026</v>
          </cell>
          <cell r="C2125">
            <v>20040629</v>
          </cell>
          <cell r="D2125">
            <v>45153</v>
          </cell>
        </row>
        <row r="2126">
          <cell r="A2126" t="str">
            <v>Jose Disonei Freitas Martins</v>
          </cell>
          <cell r="B2126">
            <v>37014127</v>
          </cell>
          <cell r="C2126">
            <v>20057891</v>
          </cell>
          <cell r="D2126">
            <v>45160</v>
          </cell>
        </row>
        <row r="2127">
          <cell r="A2127" t="str">
            <v>Venicius Henrique Caetano Morais</v>
          </cell>
          <cell r="B2127">
            <v>37014131</v>
          </cell>
          <cell r="C2127">
            <v>20057895</v>
          </cell>
          <cell r="D2127">
            <v>45160</v>
          </cell>
        </row>
        <row r="2128">
          <cell r="A2128" t="str">
            <v>Esmar Cantu Neto</v>
          </cell>
          <cell r="B2128">
            <v>37004620</v>
          </cell>
          <cell r="C2128">
            <v>20009017</v>
          </cell>
          <cell r="D2128">
            <v>44025</v>
          </cell>
        </row>
        <row r="2129">
          <cell r="A2129" t="str">
            <v>Marcos Chagas Aparecido</v>
          </cell>
          <cell r="B2129">
            <v>37014385</v>
          </cell>
          <cell r="C2129">
            <v>20058520</v>
          </cell>
          <cell r="D2129">
            <v>45174</v>
          </cell>
        </row>
        <row r="2130">
          <cell r="A2130" t="str">
            <v>Alisson Augusto Oliveira</v>
          </cell>
          <cell r="B2130">
            <v>37014509</v>
          </cell>
          <cell r="C2130">
            <v>20059035</v>
          </cell>
          <cell r="D2130">
            <v>45181</v>
          </cell>
        </row>
        <row r="2131">
          <cell r="A2131" t="str">
            <v>Luciano Antonio De Mauro</v>
          </cell>
          <cell r="B2131">
            <v>37007420</v>
          </cell>
          <cell r="C2131">
            <v>20026183</v>
          </cell>
          <cell r="D2131">
            <v>44662</v>
          </cell>
        </row>
        <row r="2132">
          <cell r="A2132" t="str">
            <v>Alexandre Candido De Figueiredo</v>
          </cell>
          <cell r="B2132">
            <v>37003608</v>
          </cell>
          <cell r="C2132">
            <v>20008544</v>
          </cell>
          <cell r="D2132">
            <v>43710</v>
          </cell>
        </row>
        <row r="2133">
          <cell r="A2133" t="str">
            <v>Otavio Henrique Marques</v>
          </cell>
          <cell r="B2133">
            <v>37014605</v>
          </cell>
          <cell r="C2133">
            <v>20059193</v>
          </cell>
          <cell r="D2133">
            <v>45188</v>
          </cell>
        </row>
        <row r="2134">
          <cell r="A2134" t="str">
            <v>Denilson Da Silva Leite</v>
          </cell>
          <cell r="B2134">
            <v>37014653</v>
          </cell>
          <cell r="C2134">
            <v>20059392</v>
          </cell>
          <cell r="D2134">
            <v>45181</v>
          </cell>
        </row>
        <row r="2135">
          <cell r="A2135" t="str">
            <v>Leonardo Andara</v>
          </cell>
          <cell r="B2135">
            <v>37014716</v>
          </cell>
          <cell r="C2135">
            <v>20059714</v>
          </cell>
          <cell r="D2135">
            <v>45202</v>
          </cell>
        </row>
        <row r="2136">
          <cell r="A2136" t="str">
            <v>Elivelton Moura da Silva</v>
          </cell>
          <cell r="B2136">
            <v>37014719</v>
          </cell>
          <cell r="C2136">
            <v>20059779</v>
          </cell>
          <cell r="D2136">
            <v>45202</v>
          </cell>
        </row>
        <row r="2137">
          <cell r="A2137" t="str">
            <v>Diogenes Araujo Machado</v>
          </cell>
          <cell r="B2137">
            <v>37014736</v>
          </cell>
          <cell r="C2137">
            <v>20059820</v>
          </cell>
          <cell r="D2137">
            <v>45202</v>
          </cell>
        </row>
        <row r="2138">
          <cell r="A2138" t="str">
            <v>Rogerio Barbosa Carneiro</v>
          </cell>
          <cell r="B2138">
            <v>37014772</v>
          </cell>
          <cell r="C2138">
            <v>20059977</v>
          </cell>
          <cell r="D2138">
            <v>45202</v>
          </cell>
        </row>
        <row r="2139">
          <cell r="A2139" t="str">
            <v>Jussilaine Hartemam Lopes Leal</v>
          </cell>
          <cell r="B2139">
            <v>37014782</v>
          </cell>
          <cell r="C2139">
            <v>20059999</v>
          </cell>
          <cell r="D2139">
            <v>45202</v>
          </cell>
        </row>
        <row r="2140">
          <cell r="A2140" t="str">
            <v>Gilberto Leal</v>
          </cell>
          <cell r="B2140">
            <v>37014783</v>
          </cell>
          <cell r="C2140">
            <v>20060000</v>
          </cell>
          <cell r="D2140">
            <v>45202</v>
          </cell>
        </row>
        <row r="2141">
          <cell r="A2141" t="str">
            <v>Erik da Silva Leal</v>
          </cell>
          <cell r="B2141">
            <v>37014785</v>
          </cell>
          <cell r="C2141">
            <v>20060002</v>
          </cell>
          <cell r="D2141">
            <v>45202</v>
          </cell>
        </row>
        <row r="2142">
          <cell r="A2142" t="str">
            <v>Laura Santos Castolde</v>
          </cell>
          <cell r="B2142">
            <v>37014836</v>
          </cell>
          <cell r="C2142">
            <v>20060318</v>
          </cell>
          <cell r="D2142">
            <v>45209</v>
          </cell>
        </row>
        <row r="2143">
          <cell r="A2143" t="str">
            <v>Paula Rafaela da Silva Moreira</v>
          </cell>
          <cell r="B2143">
            <v>37014850</v>
          </cell>
          <cell r="C2143">
            <v>20060400</v>
          </cell>
          <cell r="D2143">
            <v>45209</v>
          </cell>
        </row>
        <row r="2144">
          <cell r="A2144" t="str">
            <v>Mayra Caroline De Oliveira</v>
          </cell>
          <cell r="B2144">
            <v>37006203</v>
          </cell>
          <cell r="C2144">
            <v>20016957</v>
          </cell>
          <cell r="D2144">
            <v>44424</v>
          </cell>
        </row>
        <row r="2145">
          <cell r="A2145" t="str">
            <v>Antonio Marcos De Oliveira</v>
          </cell>
          <cell r="B2145">
            <v>37004152</v>
          </cell>
          <cell r="C2145">
            <v>20008662</v>
          </cell>
          <cell r="D2145">
            <v>43850</v>
          </cell>
        </row>
        <row r="2146">
          <cell r="A2146" t="str">
            <v>Vinicius Bassan Sierra</v>
          </cell>
          <cell r="B2146">
            <v>37012439</v>
          </cell>
          <cell r="C2146">
            <v>20049739</v>
          </cell>
          <cell r="D2146">
            <v>45055</v>
          </cell>
        </row>
        <row r="2147">
          <cell r="A2147" t="str">
            <v>Anderson Junio de Faria</v>
          </cell>
          <cell r="B2147">
            <v>37014963</v>
          </cell>
          <cell r="C2147">
            <v>20060684</v>
          </cell>
          <cell r="D2147">
            <v>45216</v>
          </cell>
        </row>
        <row r="2148">
          <cell r="A2148" t="str">
            <v>Wincler Augusto Nunes</v>
          </cell>
          <cell r="B2148">
            <v>37014983</v>
          </cell>
          <cell r="C2148">
            <v>20060704</v>
          </cell>
          <cell r="D2148">
            <v>45216</v>
          </cell>
        </row>
        <row r="2149">
          <cell r="A2149" t="str">
            <v>Ana Carolina Ottaviani Rondina</v>
          </cell>
          <cell r="B2149">
            <v>37007336</v>
          </cell>
          <cell r="C2149">
            <v>20023705</v>
          </cell>
          <cell r="D2149">
            <v>44634</v>
          </cell>
        </row>
        <row r="2150">
          <cell r="A2150" t="str">
            <v>Leandro Estefania da Silva</v>
          </cell>
          <cell r="B2150">
            <v>37015068</v>
          </cell>
          <cell r="C2150">
            <v>20061092</v>
          </cell>
          <cell r="D2150">
            <v>45237</v>
          </cell>
        </row>
        <row r="2151">
          <cell r="A2151" t="str">
            <v>Lais Miranda Guimaraes</v>
          </cell>
          <cell r="B2151">
            <v>37015100</v>
          </cell>
          <cell r="C2151">
            <v>20061274</v>
          </cell>
          <cell r="D2151">
            <v>45237</v>
          </cell>
        </row>
        <row r="2152">
          <cell r="A2152" t="str">
            <v>Rafael Goncalves Araujo</v>
          </cell>
          <cell r="B2152">
            <v>37006078</v>
          </cell>
          <cell r="C2152">
            <v>20016851</v>
          </cell>
          <cell r="D2152">
            <v>44410</v>
          </cell>
        </row>
        <row r="2153">
          <cell r="A2153" t="str">
            <v>Rodrigo Sanchek Baum</v>
          </cell>
          <cell r="B2153">
            <v>37015149</v>
          </cell>
          <cell r="C2153">
            <v>20061459</v>
          </cell>
          <cell r="D2153">
            <v>45237</v>
          </cell>
        </row>
        <row r="2154">
          <cell r="A2154" t="str">
            <v>Frank Simon Rocha</v>
          </cell>
          <cell r="B2154">
            <v>37015151</v>
          </cell>
          <cell r="C2154">
            <v>20061461</v>
          </cell>
          <cell r="D2154">
            <v>45237</v>
          </cell>
        </row>
        <row r="2155">
          <cell r="A2155" t="str">
            <v>Ulisses Antonio Starnini Camargo</v>
          </cell>
          <cell r="B2155">
            <v>37015154</v>
          </cell>
          <cell r="C2155">
            <v>20061464</v>
          </cell>
          <cell r="D2155">
            <v>45237</v>
          </cell>
        </row>
        <row r="2156">
          <cell r="A2156" t="str">
            <v>Wagner Menezes de Oliveira</v>
          </cell>
          <cell r="B2156">
            <v>37015158</v>
          </cell>
          <cell r="C2156">
            <v>20061468</v>
          </cell>
          <cell r="D2156">
            <v>45237</v>
          </cell>
        </row>
        <row r="2157">
          <cell r="A2157" t="str">
            <v>Maicon Rezende dos Santos</v>
          </cell>
          <cell r="B2157">
            <v>37015188</v>
          </cell>
          <cell r="C2157">
            <v>20061504</v>
          </cell>
          <cell r="D2157">
            <v>45237</v>
          </cell>
        </row>
        <row r="2158">
          <cell r="A2158" t="str">
            <v>Wilson Henrique Moraes Benicio</v>
          </cell>
          <cell r="B2158">
            <v>37015316</v>
          </cell>
          <cell r="C2158">
            <v>20049698</v>
          </cell>
          <cell r="D2158">
            <v>45243</v>
          </cell>
        </row>
        <row r="2159">
          <cell r="A2159" t="str">
            <v>Ediza Paccola Moretto Galli</v>
          </cell>
          <cell r="B2159">
            <v>37003084</v>
          </cell>
          <cell r="C2159">
            <v>20008950</v>
          </cell>
          <cell r="D2159">
            <v>43570</v>
          </cell>
        </row>
        <row r="2160">
          <cell r="A2160" t="str">
            <v>Guilherme Victorino de Souza</v>
          </cell>
          <cell r="B2160">
            <v>37015363</v>
          </cell>
          <cell r="C2160">
            <v>20062372</v>
          </cell>
          <cell r="D2160">
            <v>45251</v>
          </cell>
        </row>
        <row r="2161">
          <cell r="A2161" t="str">
            <v>Rodrigo Dos Santos</v>
          </cell>
          <cell r="B2161">
            <v>37008678</v>
          </cell>
          <cell r="C2161">
            <v>20028638</v>
          </cell>
          <cell r="D2161">
            <v>44760</v>
          </cell>
        </row>
        <row r="2162">
          <cell r="A2162" t="str">
            <v>Fabiano Carneiro da Cunha</v>
          </cell>
          <cell r="B2162">
            <v>37015448</v>
          </cell>
          <cell r="C2162">
            <v>20062662</v>
          </cell>
          <cell r="D2162">
            <v>45265</v>
          </cell>
        </row>
        <row r="2163">
          <cell r="A2163" t="str">
            <v>Raxel Nata Borges da Silva</v>
          </cell>
          <cell r="B2163">
            <v>37015460</v>
          </cell>
          <cell r="C2163">
            <v>20062709</v>
          </cell>
          <cell r="D2163">
            <v>45265</v>
          </cell>
        </row>
        <row r="2164">
          <cell r="A2164" t="str">
            <v>Helson Felipe Novaes</v>
          </cell>
          <cell r="B2164">
            <v>37015483</v>
          </cell>
          <cell r="C2164">
            <v>20040626</v>
          </cell>
          <cell r="D2164">
            <v>45265</v>
          </cell>
        </row>
        <row r="2165">
          <cell r="A2165" t="str">
            <v>Diego Cordeiro De Oliveira</v>
          </cell>
          <cell r="B2165">
            <v>37004674</v>
          </cell>
          <cell r="C2165">
            <v>20008356</v>
          </cell>
          <cell r="D2165">
            <v>44046</v>
          </cell>
        </row>
        <row r="2166">
          <cell r="A2166" t="str">
            <v>Caio Afonso Ferreira</v>
          </cell>
          <cell r="B2166">
            <v>37003320</v>
          </cell>
          <cell r="C2166">
            <v>20008734</v>
          </cell>
          <cell r="D2166">
            <v>43647</v>
          </cell>
        </row>
        <row r="2167">
          <cell r="A2167" t="str">
            <v>Glauber Alves dos Santos</v>
          </cell>
          <cell r="B2167">
            <v>37015572</v>
          </cell>
          <cell r="C2167">
            <v>20062960</v>
          </cell>
          <cell r="D2167">
            <v>45272</v>
          </cell>
        </row>
        <row r="2168">
          <cell r="A2168" t="str">
            <v>Anderson Aparecido Marcondes Da Veiga</v>
          </cell>
          <cell r="B2168">
            <v>37003219</v>
          </cell>
          <cell r="C2168">
            <v>20008597</v>
          </cell>
          <cell r="D2168">
            <v>43619</v>
          </cell>
        </row>
        <row r="2169">
          <cell r="A2169" t="str">
            <v>Jefferson Rafael Do Nascimento</v>
          </cell>
          <cell r="B2169">
            <v>37009573</v>
          </cell>
          <cell r="C2169">
            <v>20035351</v>
          </cell>
          <cell r="D2169">
            <v>44837</v>
          </cell>
        </row>
        <row r="2170">
          <cell r="A2170" t="str">
            <v>Pedro Vitor Talarico</v>
          </cell>
          <cell r="B2170">
            <v>37005938</v>
          </cell>
          <cell r="C2170">
            <v>20016752</v>
          </cell>
          <cell r="D2170">
            <v>44382</v>
          </cell>
        </row>
        <row r="2171">
          <cell r="A2171" t="str">
            <v>Lucas Antonio Pescara</v>
          </cell>
          <cell r="B2171">
            <v>37004172</v>
          </cell>
          <cell r="C2171">
            <v>20009508</v>
          </cell>
          <cell r="D2171">
            <v>43850</v>
          </cell>
        </row>
        <row r="2172">
          <cell r="A2172" t="str">
            <v>Israel Lourenzoni Martins</v>
          </cell>
          <cell r="B2172">
            <v>37003360</v>
          </cell>
          <cell r="C2172">
            <v>20009276</v>
          </cell>
          <cell r="D2172">
            <v>43647</v>
          </cell>
        </row>
        <row r="2173">
          <cell r="A2173" t="str">
            <v>Renato Tomaz</v>
          </cell>
          <cell r="B2173">
            <v>37007674</v>
          </cell>
          <cell r="C2173">
            <v>20025717</v>
          </cell>
          <cell r="D2173">
            <v>44690</v>
          </cell>
        </row>
        <row r="2174">
          <cell r="A2174" t="str">
            <v>Vagner Mendes Montanher</v>
          </cell>
          <cell r="B2174">
            <v>37015949</v>
          </cell>
          <cell r="C2174">
            <v>20063675</v>
          </cell>
          <cell r="D2174">
            <v>45300</v>
          </cell>
        </row>
        <row r="2175">
          <cell r="A2175" t="str">
            <v>Eduarda Santa Rosa  Da Costa</v>
          </cell>
          <cell r="B2175">
            <v>37016005</v>
          </cell>
          <cell r="C2175">
            <v>20040667</v>
          </cell>
          <cell r="D2175">
            <v>45300</v>
          </cell>
        </row>
        <row r="2176">
          <cell r="A2176" t="str">
            <v>Vitor Alessandro Vitagliano Verdile</v>
          </cell>
          <cell r="B2176">
            <v>37016135</v>
          </cell>
          <cell r="C2176">
            <v>20063793</v>
          </cell>
          <cell r="D2176">
            <v>45300</v>
          </cell>
        </row>
        <row r="2177">
          <cell r="A2177" t="str">
            <v>Drieli De Oliveira Luiz</v>
          </cell>
          <cell r="B2177">
            <v>37007461</v>
          </cell>
          <cell r="C2177">
            <v>20025522</v>
          </cell>
          <cell r="D2177">
            <v>44669</v>
          </cell>
        </row>
        <row r="2178">
          <cell r="A2178" t="str">
            <v>Priscila Goncalves Medeiros</v>
          </cell>
          <cell r="B2178">
            <v>37016242</v>
          </cell>
          <cell r="C2178">
            <v>20063926</v>
          </cell>
          <cell r="D2178">
            <v>45307</v>
          </cell>
        </row>
        <row r="2179">
          <cell r="A2179" t="str">
            <v>Heitor Escaller Da Costa</v>
          </cell>
          <cell r="B2179">
            <v>37006019</v>
          </cell>
          <cell r="C2179">
            <v>20016806</v>
          </cell>
          <cell r="D2179">
            <v>44396</v>
          </cell>
        </row>
        <row r="2180">
          <cell r="A2180" t="str">
            <v>Flansley Gabriel Pedro</v>
          </cell>
          <cell r="B2180">
            <v>37003769</v>
          </cell>
          <cell r="C2180">
            <v>20009106</v>
          </cell>
          <cell r="D2180">
            <v>43752</v>
          </cell>
        </row>
        <row r="2181">
          <cell r="A2181" t="str">
            <v>Mario Peracio Silveira De Souza</v>
          </cell>
          <cell r="B2181">
            <v>37004348</v>
          </cell>
          <cell r="C2181">
            <v>20008243</v>
          </cell>
          <cell r="D2181">
            <v>43871</v>
          </cell>
        </row>
        <row r="2182">
          <cell r="A2182" t="str">
            <v>Tulio Moreto Carlos</v>
          </cell>
          <cell r="B2182">
            <v>37016581</v>
          </cell>
          <cell r="C2182">
            <v>20040619</v>
          </cell>
          <cell r="D2182">
            <v>45328</v>
          </cell>
        </row>
        <row r="2183">
          <cell r="A2183" t="str">
            <v>Luciano Augusto Boaventura</v>
          </cell>
          <cell r="B2183">
            <v>37004879</v>
          </cell>
          <cell r="C2183">
            <v>20008129</v>
          </cell>
          <cell r="D2183">
            <v>44090</v>
          </cell>
        </row>
        <row r="2184">
          <cell r="A2184" t="str">
            <v>Vinicius Fernando Almeida Parazzi</v>
          </cell>
          <cell r="B2184">
            <v>37005500</v>
          </cell>
          <cell r="C2184">
            <v>20013547</v>
          </cell>
          <cell r="D2184">
            <v>44270</v>
          </cell>
        </row>
        <row r="2185">
          <cell r="A2185" t="str">
            <v>Gabriela Chaves Placca</v>
          </cell>
          <cell r="B2185">
            <v>37003026</v>
          </cell>
          <cell r="C2185">
            <v>20009147</v>
          </cell>
          <cell r="D2185">
            <v>43542</v>
          </cell>
        </row>
        <row r="2186">
          <cell r="A2186" t="str">
            <v>Cibele Aparecida Goncalves de Sousa</v>
          </cell>
          <cell r="B2186">
            <v>37010135</v>
          </cell>
          <cell r="C2186">
            <v>20038270</v>
          </cell>
          <cell r="D2186">
            <v>44886</v>
          </cell>
        </row>
        <row r="2187">
          <cell r="A2187" t="str">
            <v>Ariadne Zamboni</v>
          </cell>
          <cell r="B2187">
            <v>37016609</v>
          </cell>
          <cell r="C2187">
            <v>20040669</v>
          </cell>
          <cell r="D2187">
            <v>45342</v>
          </cell>
        </row>
        <row r="2188">
          <cell r="A2188" t="str">
            <v>Matheus Guaraldo Filgueira</v>
          </cell>
          <cell r="B2188">
            <v>37016672</v>
          </cell>
          <cell r="C2188">
            <v>20015626</v>
          </cell>
          <cell r="D2188">
            <v>45342</v>
          </cell>
        </row>
        <row r="2189">
          <cell r="A2189" t="str">
            <v>Gleyciane Santos Silva</v>
          </cell>
          <cell r="B2189">
            <v>37016666</v>
          </cell>
          <cell r="C2189">
            <v>20064767</v>
          </cell>
          <cell r="D2189">
            <v>45342</v>
          </cell>
        </row>
        <row r="2190">
          <cell r="A2190" t="str">
            <v>Edson Oliveira Bortolazo</v>
          </cell>
          <cell r="B2190">
            <v>37016675</v>
          </cell>
          <cell r="C2190">
            <v>20064820</v>
          </cell>
          <cell r="D2190">
            <v>45356</v>
          </cell>
        </row>
        <row r="2191">
          <cell r="A2191" t="str">
            <v>Mariana Carolina Burigo</v>
          </cell>
          <cell r="B2191">
            <v>37006035</v>
          </cell>
          <cell r="C2191">
            <v>20015666</v>
          </cell>
          <cell r="D2191">
            <v>44396</v>
          </cell>
        </row>
        <row r="2192">
          <cell r="A2192" t="str">
            <v>Alessandro Vicente Cortez Urrea</v>
          </cell>
          <cell r="B2192">
            <v>37016716</v>
          </cell>
          <cell r="C2192">
            <v>20064910</v>
          </cell>
          <cell r="D2192">
            <v>45356</v>
          </cell>
        </row>
        <row r="2193">
          <cell r="A2193" t="str">
            <v>Bernardo Oliveira da Silva Pinheiro</v>
          </cell>
          <cell r="B2193">
            <v>37016723</v>
          </cell>
          <cell r="C2193">
            <v>20064917</v>
          </cell>
          <cell r="D2193">
            <v>45356</v>
          </cell>
        </row>
        <row r="2194">
          <cell r="A2194" t="str">
            <v>Elton Luis De Oliveira</v>
          </cell>
          <cell r="B2194">
            <v>37000675</v>
          </cell>
          <cell r="C2194">
            <v>20008997</v>
          </cell>
          <cell r="D2194">
            <v>39685</v>
          </cell>
        </row>
        <row r="2195">
          <cell r="A2195" t="str">
            <v>EZEQUIEL CAMPOS DE SOUZA</v>
          </cell>
          <cell r="B2195">
            <v>37016770</v>
          </cell>
          <cell r="C2195">
            <v>20065264</v>
          </cell>
          <cell r="D2195">
            <v>45356</v>
          </cell>
        </row>
        <row r="2196">
          <cell r="A2196" t="str">
            <v>Yann Phellipe Alves Campanha</v>
          </cell>
          <cell r="B2196">
            <v>37016797</v>
          </cell>
          <cell r="C2196">
            <v>20065296</v>
          </cell>
          <cell r="D2196">
            <v>45356</v>
          </cell>
        </row>
        <row r="2197">
          <cell r="A2197" t="str">
            <v>Ninive Molica de Lara Maia</v>
          </cell>
          <cell r="B2197">
            <v>37016811</v>
          </cell>
          <cell r="C2197">
            <v>20065310</v>
          </cell>
          <cell r="D2197">
            <v>45356</v>
          </cell>
        </row>
        <row r="2198">
          <cell r="A2198" t="str">
            <v>Paulino Amorim Dos Santos</v>
          </cell>
          <cell r="B2198">
            <v>37004433</v>
          </cell>
          <cell r="C2198">
            <v>20008270</v>
          </cell>
          <cell r="D2198">
            <v>43892</v>
          </cell>
        </row>
        <row r="2199">
          <cell r="A2199" t="str">
            <v>Tiago Vasconcelos De Lima</v>
          </cell>
          <cell r="B2199">
            <v>37004854</v>
          </cell>
          <cell r="C2199">
            <v>20008107</v>
          </cell>
          <cell r="D2199">
            <v>44082</v>
          </cell>
        </row>
        <row r="2200">
          <cell r="A2200" t="str">
            <v>Maiara Regina Batista Leite</v>
          </cell>
          <cell r="B2200">
            <v>37003163</v>
          </cell>
          <cell r="C2200">
            <v>20009577</v>
          </cell>
          <cell r="D2200">
            <v>43591</v>
          </cell>
        </row>
        <row r="2201">
          <cell r="A2201" t="str">
            <v>Paulo Roberto Manhole</v>
          </cell>
          <cell r="B2201">
            <v>37003726</v>
          </cell>
          <cell r="C2201">
            <v>20009768</v>
          </cell>
          <cell r="D2201">
            <v>43745</v>
          </cell>
        </row>
        <row r="2202">
          <cell r="A2202" t="str">
            <v>Ricardo Castelhano</v>
          </cell>
          <cell r="B2202">
            <v>37010429</v>
          </cell>
          <cell r="C2202">
            <v>20039733</v>
          </cell>
          <cell r="D2202">
            <v>44907</v>
          </cell>
        </row>
        <row r="2203">
          <cell r="A2203" t="str">
            <v>Herault William Costa</v>
          </cell>
          <cell r="B2203">
            <v>37016967</v>
          </cell>
          <cell r="C2203">
            <v>20008191</v>
          </cell>
          <cell r="D2203">
            <v>45370</v>
          </cell>
        </row>
        <row r="2204">
          <cell r="A2204" t="str">
            <v>Luis Henrique Franco</v>
          </cell>
          <cell r="B2204">
            <v>37004841</v>
          </cell>
          <cell r="C2204">
            <v>20008411</v>
          </cell>
          <cell r="D2204">
            <v>44082</v>
          </cell>
        </row>
        <row r="2205">
          <cell r="A2205" t="str">
            <v>Luis Felipe Luchesi</v>
          </cell>
          <cell r="B2205">
            <v>37009569</v>
          </cell>
          <cell r="C2205">
            <v>20035353</v>
          </cell>
          <cell r="D2205">
            <v>44837</v>
          </cell>
        </row>
        <row r="2206">
          <cell r="A2206" t="str">
            <v>Wesley Felipe Moura Da Silva</v>
          </cell>
          <cell r="B2206">
            <v>37003411</v>
          </cell>
          <cell r="C2206">
            <v>20010050</v>
          </cell>
          <cell r="D2206">
            <v>43647</v>
          </cell>
        </row>
        <row r="2207">
          <cell r="A2207" t="str">
            <v>Bruna Leticia Albertino</v>
          </cell>
          <cell r="B2207">
            <v>37003318</v>
          </cell>
          <cell r="C2207">
            <v>20008711</v>
          </cell>
          <cell r="D2207">
            <v>43647</v>
          </cell>
        </row>
        <row r="2208">
          <cell r="A2208" t="str">
            <v>Clodoaldo Gasparoti</v>
          </cell>
          <cell r="B2208">
            <v>37000238</v>
          </cell>
          <cell r="C2208">
            <v>20008831</v>
          </cell>
          <cell r="D2208">
            <v>35432</v>
          </cell>
        </row>
        <row r="2209">
          <cell r="A2209" t="str">
            <v>Pamela Dos Santos Cardoso</v>
          </cell>
          <cell r="B2209">
            <v>37003888</v>
          </cell>
          <cell r="C2209">
            <v>20009740</v>
          </cell>
          <cell r="D2209">
            <v>43759</v>
          </cell>
        </row>
        <row r="2210">
          <cell r="A2210" t="str">
            <v>Wilian Rodrigues Siqueira</v>
          </cell>
          <cell r="B2210">
            <v>37017132</v>
          </cell>
          <cell r="C2210">
            <v>20067476</v>
          </cell>
          <cell r="D2210">
            <v>45384</v>
          </cell>
        </row>
        <row r="2211">
          <cell r="A2211" t="str">
            <v>Alisson Saccoman</v>
          </cell>
          <cell r="B2211">
            <v>37000271</v>
          </cell>
          <cell r="C2211">
            <v>20008561</v>
          </cell>
          <cell r="D2211">
            <v>36073</v>
          </cell>
        </row>
        <row r="2212">
          <cell r="A2212" t="str">
            <v>EDVALDO SILVA</v>
          </cell>
          <cell r="B2212">
            <v>37012764</v>
          </cell>
          <cell r="C2212">
            <v>20051357</v>
          </cell>
          <cell r="D2212">
            <v>45083</v>
          </cell>
        </row>
        <row r="2213">
          <cell r="A2213" t="str">
            <v>Reinaldo Oliveira Araujo</v>
          </cell>
          <cell r="B2213">
            <v>37017136</v>
          </cell>
          <cell r="C2213">
            <v>20067697</v>
          </cell>
          <cell r="D2213">
            <v>45391</v>
          </cell>
        </row>
        <row r="2214">
          <cell r="A2214" t="str">
            <v>Cristiano Adelson Queiroz</v>
          </cell>
          <cell r="B2214">
            <v>37006376</v>
          </cell>
          <cell r="C2214">
            <v>20018069</v>
          </cell>
          <cell r="D2214">
            <v>44452</v>
          </cell>
        </row>
        <row r="2215">
          <cell r="A2215" t="str">
            <v>Francine Querol Flores</v>
          </cell>
          <cell r="B2215">
            <v>37008721</v>
          </cell>
          <cell r="C2215">
            <v>20028412</v>
          </cell>
          <cell r="D2215">
            <v>44760</v>
          </cell>
        </row>
        <row r="2216">
          <cell r="A2216" t="str">
            <v>Bruno Gustavo Lisboa Dos Santos</v>
          </cell>
          <cell r="B2216">
            <v>37003751</v>
          </cell>
          <cell r="C2216">
            <v>20008720</v>
          </cell>
          <cell r="D2216">
            <v>43752</v>
          </cell>
        </row>
        <row r="2217">
          <cell r="A2217" t="str">
            <v>Paulo Eduardo Soares Da Silva</v>
          </cell>
          <cell r="B2217">
            <v>37004133</v>
          </cell>
          <cell r="C2217">
            <v>20008271</v>
          </cell>
          <cell r="D2217">
            <v>43843</v>
          </cell>
        </row>
        <row r="2218">
          <cell r="A2218" t="str">
            <v>Paulo Cesar Pavan</v>
          </cell>
          <cell r="B2218">
            <v>37017190</v>
          </cell>
          <cell r="C2218">
            <v>20068328</v>
          </cell>
          <cell r="D2218">
            <v>45391</v>
          </cell>
        </row>
        <row r="2219">
          <cell r="A2219" t="str">
            <v>Felipe Macedo Pires</v>
          </cell>
          <cell r="B2219">
            <v>37012846</v>
          </cell>
          <cell r="C2219">
            <v>20051801</v>
          </cell>
          <cell r="D2219">
            <v>45083</v>
          </cell>
        </row>
        <row r="2220">
          <cell r="A2220" t="str">
            <v>Lucas Moraes Miranda</v>
          </cell>
          <cell r="B2220">
            <v>37008683</v>
          </cell>
          <cell r="C2220">
            <v>20028758</v>
          </cell>
          <cell r="D2220">
            <v>44760</v>
          </cell>
        </row>
        <row r="2221">
          <cell r="A2221" t="str">
            <v>Vinicius Leda</v>
          </cell>
          <cell r="B2221">
            <v>37003822</v>
          </cell>
          <cell r="C2221">
            <v>20010016</v>
          </cell>
          <cell r="D2221">
            <v>43752</v>
          </cell>
        </row>
        <row r="2222">
          <cell r="A2222" t="str">
            <v>Suelen Santos Puerta</v>
          </cell>
          <cell r="B2222">
            <v>37003812</v>
          </cell>
          <cell r="C2222">
            <v>20009935</v>
          </cell>
          <cell r="D2222">
            <v>43752</v>
          </cell>
        </row>
        <row r="2223">
          <cell r="A2223" t="str">
            <v>Luiz Gustavo Alves Correia</v>
          </cell>
          <cell r="B2223">
            <v>37003794</v>
          </cell>
          <cell r="C2223">
            <v>20009569</v>
          </cell>
          <cell r="D2223">
            <v>43752</v>
          </cell>
        </row>
        <row r="2224">
          <cell r="A2224" t="str">
            <v>Gustavo Pires Dallaqua</v>
          </cell>
          <cell r="B2224">
            <v>37003774</v>
          </cell>
          <cell r="C2224">
            <v>20009224</v>
          </cell>
          <cell r="D2224">
            <v>43752</v>
          </cell>
        </row>
        <row r="2225">
          <cell r="A2225" t="str">
            <v>Marcelo Henrique Sousa Cavalcanti</v>
          </cell>
          <cell r="B2225">
            <v>37011832</v>
          </cell>
          <cell r="C2225">
            <v>20045926</v>
          </cell>
          <cell r="D2225">
            <v>45005</v>
          </cell>
        </row>
        <row r="2226">
          <cell r="A2226" t="str">
            <v>Everton Felipe Mendes</v>
          </cell>
          <cell r="B2226">
            <v>37017243</v>
          </cell>
          <cell r="C2226">
            <v>20068480</v>
          </cell>
          <cell r="D2226">
            <v>45398</v>
          </cell>
        </row>
        <row r="2227">
          <cell r="A2227" t="str">
            <v>Wagner William Wincler</v>
          </cell>
          <cell r="B2227">
            <v>37017260</v>
          </cell>
          <cell r="C2227">
            <v>20068518</v>
          </cell>
          <cell r="D2227">
            <v>45398</v>
          </cell>
        </row>
        <row r="2228">
          <cell r="A2228" t="str">
            <v>Rigardt Louis Jordaan</v>
          </cell>
          <cell r="B2228">
            <v>37004446</v>
          </cell>
          <cell r="C2228">
            <v>20009844</v>
          </cell>
          <cell r="D2228">
            <v>43896</v>
          </cell>
        </row>
        <row r="2229">
          <cell r="A2229" t="str">
            <v>Jose Luiz Da Silva</v>
          </cell>
          <cell r="B2229">
            <v>37017426</v>
          </cell>
          <cell r="C2229">
            <v>20069571</v>
          </cell>
          <cell r="D2229">
            <v>45419</v>
          </cell>
        </row>
        <row r="2230">
          <cell r="A2230" t="str">
            <v>Gustavo Albonete</v>
          </cell>
          <cell r="B2230">
            <v>37017482</v>
          </cell>
          <cell r="C2230">
            <v>20069626</v>
          </cell>
          <cell r="D2230">
            <v>45419</v>
          </cell>
        </row>
        <row r="2231">
          <cell r="A2231" t="str">
            <v>Genivaldo Edenilson Sanchez</v>
          </cell>
          <cell r="B2231">
            <v>37017522</v>
          </cell>
          <cell r="C2231">
            <v>20008185</v>
          </cell>
          <cell r="D2231">
            <v>45419</v>
          </cell>
        </row>
        <row r="2232">
          <cell r="A2232" t="str">
            <v>Helton Cesar Marques</v>
          </cell>
          <cell r="B2232">
            <v>37004335</v>
          </cell>
          <cell r="C2232">
            <v>20004684</v>
          </cell>
          <cell r="D2232">
            <v>43865</v>
          </cell>
        </row>
        <row r="2233">
          <cell r="A2233" t="str">
            <v>Larissa Freire Justo</v>
          </cell>
          <cell r="B2233">
            <v>37004285</v>
          </cell>
          <cell r="C2233">
            <v>20008207</v>
          </cell>
          <cell r="D2233">
            <v>43864</v>
          </cell>
        </row>
        <row r="2234">
          <cell r="A2234" t="str">
            <v>Gisele Aparecida Lopes Romanholi</v>
          </cell>
          <cell r="B2234">
            <v>37007931</v>
          </cell>
          <cell r="C2234">
            <v>20025930</v>
          </cell>
          <cell r="D2234">
            <v>44713</v>
          </cell>
        </row>
        <row r="2235">
          <cell r="A2235" t="str">
            <v>Fernanda Da Silva Schneider Lima</v>
          </cell>
          <cell r="B2235">
            <v>37014543</v>
          </cell>
          <cell r="C2235">
            <v>20059114</v>
          </cell>
          <cell r="D2235">
            <v>45181</v>
          </cell>
        </row>
        <row r="2236">
          <cell r="A2236" t="str">
            <v>Rodrigo Celestino Xavier</v>
          </cell>
          <cell r="B2236">
            <v>37004469</v>
          </cell>
          <cell r="C2236">
            <v>20008300</v>
          </cell>
          <cell r="D2236">
            <v>43899</v>
          </cell>
        </row>
        <row r="2237">
          <cell r="A2237" t="str">
            <v>Geraldo Pereira De Souza Junior</v>
          </cell>
          <cell r="B2237">
            <v>37005312</v>
          </cell>
          <cell r="C2237">
            <v>20015571</v>
          </cell>
          <cell r="D2237">
            <v>44228</v>
          </cell>
        </row>
        <row r="2238">
          <cell r="A2238" t="str">
            <v>Guilherme Simanke Lobo</v>
          </cell>
          <cell r="B2238">
            <v>37009780</v>
          </cell>
          <cell r="C2238">
            <v>20036481</v>
          </cell>
          <cell r="D2238">
            <v>44851</v>
          </cell>
        </row>
        <row r="2239">
          <cell r="A2239" t="str">
            <v>Gabriel Macedo Ferreira da Silva</v>
          </cell>
          <cell r="B2239">
            <v>37017554</v>
          </cell>
          <cell r="C2239">
            <v>20069931</v>
          </cell>
          <cell r="D2239">
            <v>45426</v>
          </cell>
        </row>
        <row r="2240">
          <cell r="A2240" t="str">
            <v>Jose Henrique Negri Pereira</v>
          </cell>
          <cell r="B2240">
            <v>37009778</v>
          </cell>
          <cell r="C2240">
            <v>20036500</v>
          </cell>
          <cell r="D2240">
            <v>44851</v>
          </cell>
        </row>
        <row r="2241">
          <cell r="A2241" t="str">
            <v>Mateus Brandao Da Costa</v>
          </cell>
          <cell r="B2241">
            <v>37009777</v>
          </cell>
          <cell r="C2241">
            <v>20036502</v>
          </cell>
          <cell r="D2241">
            <v>44851</v>
          </cell>
        </row>
        <row r="2242">
          <cell r="A2242" t="str">
            <v>Marcus Vinicius Gomes Veloso</v>
          </cell>
          <cell r="B2242">
            <v>37013759</v>
          </cell>
          <cell r="C2242">
            <v>20056394</v>
          </cell>
          <cell r="D2242">
            <v>45139</v>
          </cell>
        </row>
        <row r="2243">
          <cell r="A2243" t="str">
            <v>Vinicius de Almeida</v>
          </cell>
          <cell r="B2243">
            <v>37015303</v>
          </cell>
          <cell r="C2243">
            <v>20062072</v>
          </cell>
          <cell r="D2243">
            <v>45243</v>
          </cell>
        </row>
        <row r="2244">
          <cell r="A2244" t="str">
            <v>Marcio Jose Freitas Moraes</v>
          </cell>
          <cell r="B2244">
            <v>37004630</v>
          </cell>
          <cell r="C2244">
            <v>20008232</v>
          </cell>
          <cell r="D2244">
            <v>44025</v>
          </cell>
        </row>
        <row r="2245">
          <cell r="A2245" t="str">
            <v>Luis Otavio da Silva</v>
          </cell>
          <cell r="B2245">
            <v>37017618</v>
          </cell>
          <cell r="C2245">
            <v>20070037</v>
          </cell>
          <cell r="D2245">
            <v>45426</v>
          </cell>
        </row>
        <row r="2246">
          <cell r="A2246" t="str">
            <v>Guilherme Henrique Da Silva</v>
          </cell>
          <cell r="B2246">
            <v>37009822</v>
          </cell>
          <cell r="C2246">
            <v>20037101</v>
          </cell>
          <cell r="D2246">
            <v>44872</v>
          </cell>
        </row>
        <row r="2247">
          <cell r="A2247" t="str">
            <v>Luiz Felipe Picali Soares</v>
          </cell>
          <cell r="B2247">
            <v>37017621</v>
          </cell>
          <cell r="C2247">
            <v>20060852</v>
          </cell>
          <cell r="D2247">
            <v>45419</v>
          </cell>
        </row>
        <row r="2248">
          <cell r="A2248" t="str">
            <v>Jose Ribamar Braz Cordeiro</v>
          </cell>
          <cell r="B2248">
            <v>37017841</v>
          </cell>
          <cell r="C2248">
            <v>20008202</v>
          </cell>
          <cell r="D2248">
            <v>45447</v>
          </cell>
        </row>
        <row r="2249">
          <cell r="A2249" t="str">
            <v>Ingrid Silva Oliveira</v>
          </cell>
          <cell r="B2249">
            <v>37017884</v>
          </cell>
          <cell r="C2249">
            <v>20070931</v>
          </cell>
          <cell r="D2249">
            <v>45447</v>
          </cell>
        </row>
        <row r="2250">
          <cell r="A2250" t="str">
            <v>Aline De Holanda Rosanova Garcia</v>
          </cell>
          <cell r="B2250">
            <v>37017910</v>
          </cell>
          <cell r="C2250">
            <v>20070957</v>
          </cell>
          <cell r="D2250">
            <v>45447</v>
          </cell>
        </row>
        <row r="2251">
          <cell r="A2251" t="str">
            <v>Leticia Helena Paulino De Assis</v>
          </cell>
          <cell r="B2251">
            <v>37005353</v>
          </cell>
          <cell r="C2251">
            <v>20014464</v>
          </cell>
          <cell r="D2251">
            <v>44235</v>
          </cell>
        </row>
        <row r="2252">
          <cell r="A2252" t="str">
            <v>Nayara Gomes</v>
          </cell>
          <cell r="B2252">
            <v>37017964</v>
          </cell>
          <cell r="C2252">
            <v>20071232</v>
          </cell>
          <cell r="D2252">
            <v>45447</v>
          </cell>
        </row>
        <row r="2253">
          <cell r="A2253" t="str">
            <v>Tiago Resende De Albuquerque</v>
          </cell>
          <cell r="B2253">
            <v>37006987</v>
          </cell>
          <cell r="C2253">
            <v>20021031</v>
          </cell>
          <cell r="D2253">
            <v>44571</v>
          </cell>
        </row>
        <row r="2254">
          <cell r="A2254" t="str">
            <v>Ronaldo Aparecido Manzini</v>
          </cell>
          <cell r="B2254">
            <v>37018046</v>
          </cell>
          <cell r="C2254">
            <v>20071439</v>
          </cell>
          <cell r="D2254">
            <v>45454</v>
          </cell>
        </row>
        <row r="2255">
          <cell r="A2255" t="str">
            <v>Carlos Henrique Prando</v>
          </cell>
          <cell r="B2255">
            <v>37004745</v>
          </cell>
          <cell r="C2255">
            <v>20008053</v>
          </cell>
          <cell r="D2255">
            <v>44060</v>
          </cell>
        </row>
        <row r="2256">
          <cell r="A2256" t="str">
            <v>Ana Julia Foganholi Carvalho Fernandes</v>
          </cell>
          <cell r="B2256">
            <v>37005344</v>
          </cell>
          <cell r="C2256">
            <v>20015577</v>
          </cell>
          <cell r="D2256">
            <v>44235</v>
          </cell>
        </row>
        <row r="2257">
          <cell r="A2257" t="str">
            <v>Gabriel Henrique Dias</v>
          </cell>
          <cell r="B2257">
            <v>37003340</v>
          </cell>
          <cell r="C2257">
            <v>20009136</v>
          </cell>
          <cell r="D2257">
            <v>43647</v>
          </cell>
        </row>
        <row r="2258">
          <cell r="A2258" t="str">
            <v>Rafael Ferreira Pinheiro</v>
          </cell>
          <cell r="B2258">
            <v>37015343</v>
          </cell>
          <cell r="C2258">
            <v>20008285</v>
          </cell>
          <cell r="D2258">
            <v>45251</v>
          </cell>
        </row>
        <row r="2259">
          <cell r="A2259" t="str">
            <v>Hugo Cesar Ferrarezi Da Silva</v>
          </cell>
          <cell r="B2259">
            <v>37003359</v>
          </cell>
          <cell r="C2259">
            <v>20009254</v>
          </cell>
          <cell r="D2259">
            <v>43647</v>
          </cell>
        </row>
        <row r="2260">
          <cell r="A2260" t="str">
            <v>Pedro Henrique Do Nascimento</v>
          </cell>
          <cell r="B2260">
            <v>37003806</v>
          </cell>
          <cell r="C2260">
            <v>20009778</v>
          </cell>
          <cell r="D2260">
            <v>43752</v>
          </cell>
        </row>
        <row r="2261">
          <cell r="A2261" t="str">
            <v>Tayller Garcia Souto</v>
          </cell>
          <cell r="B2261">
            <v>37003813</v>
          </cell>
          <cell r="C2261">
            <v>20009945</v>
          </cell>
          <cell r="D2261">
            <v>43752</v>
          </cell>
        </row>
        <row r="2262">
          <cell r="A2262" t="str">
            <v>Jefferson Luis Bezerra</v>
          </cell>
          <cell r="B2262">
            <v>37013243</v>
          </cell>
          <cell r="C2262">
            <v>20053582</v>
          </cell>
          <cell r="D2262">
            <v>45111</v>
          </cell>
        </row>
        <row r="2263">
          <cell r="A2263" t="str">
            <v>Giulia Gimenez Fazio</v>
          </cell>
          <cell r="B2263">
            <v>37010731</v>
          </cell>
          <cell r="C2263">
            <v>20040886</v>
          </cell>
          <cell r="D2263">
            <v>44935</v>
          </cell>
        </row>
        <row r="2264">
          <cell r="A2264" t="str">
            <v>Rafhaela Menezes Marreiro</v>
          </cell>
          <cell r="B2264">
            <v>37010786</v>
          </cell>
          <cell r="C2264">
            <v>20041168</v>
          </cell>
          <cell r="D2264">
            <v>44942</v>
          </cell>
        </row>
        <row r="2265">
          <cell r="A2265" t="str">
            <v>Leticia Silva Goncalves</v>
          </cell>
          <cell r="B2265">
            <v>37006732</v>
          </cell>
          <cell r="C2265">
            <v>20018802</v>
          </cell>
          <cell r="D2265">
            <v>44516</v>
          </cell>
        </row>
        <row r="2266">
          <cell r="A2266" t="str">
            <v>Leonardo Livio Correia</v>
          </cell>
          <cell r="B2266">
            <v>37003787</v>
          </cell>
          <cell r="C2266">
            <v>20009487</v>
          </cell>
          <cell r="D2266">
            <v>43752</v>
          </cell>
        </row>
        <row r="2267">
          <cell r="A2267" t="str">
            <v>Camila Zeni do Amaral</v>
          </cell>
          <cell r="B2267">
            <v>37018166</v>
          </cell>
          <cell r="C2267">
            <v>20072315</v>
          </cell>
          <cell r="D2267">
            <v>45461</v>
          </cell>
        </row>
        <row r="2268">
          <cell r="A2268" t="str">
            <v>Rafael Antonio Storino</v>
          </cell>
          <cell r="B2268">
            <v>37005684</v>
          </cell>
          <cell r="C2268">
            <v>20013976</v>
          </cell>
          <cell r="D2268">
            <v>44333</v>
          </cell>
        </row>
        <row r="2269">
          <cell r="A2269" t="str">
            <v>Andre Ricardo da Silva</v>
          </cell>
          <cell r="B2269">
            <v>37015177</v>
          </cell>
          <cell r="C2269">
            <v>20061493</v>
          </cell>
          <cell r="D2269">
            <v>45237</v>
          </cell>
        </row>
        <row r="2270">
          <cell r="A2270" t="str">
            <v>Joao Vitor Pereira Angelico</v>
          </cell>
          <cell r="B2270">
            <v>37003367</v>
          </cell>
          <cell r="C2270">
            <v>20009352</v>
          </cell>
          <cell r="D2270">
            <v>43647</v>
          </cell>
        </row>
        <row r="2271">
          <cell r="A2271" t="str">
            <v>Priscila Ferreira Eubanque</v>
          </cell>
          <cell r="B2271">
            <v>37014639</v>
          </cell>
          <cell r="C2271">
            <v>20059378</v>
          </cell>
          <cell r="D2271">
            <v>45188</v>
          </cell>
        </row>
        <row r="2272">
          <cell r="A2272" t="str">
            <v>William Sodre Fonseca</v>
          </cell>
          <cell r="B2272">
            <v>37015380</v>
          </cell>
          <cell r="C2272">
            <v>20062389</v>
          </cell>
          <cell r="D2272">
            <v>45251</v>
          </cell>
        </row>
        <row r="2273">
          <cell r="A2273" t="str">
            <v>Celio De Souza Barbosa</v>
          </cell>
          <cell r="B2273">
            <v>37005990</v>
          </cell>
          <cell r="C2273">
            <v>20016792</v>
          </cell>
          <cell r="D2273">
            <v>44382</v>
          </cell>
        </row>
        <row r="2274">
          <cell r="A2274" t="str">
            <v>Patrick Lopes Silva De Andrade</v>
          </cell>
          <cell r="B2274">
            <v>37005847</v>
          </cell>
          <cell r="C2274">
            <v>20016075</v>
          </cell>
          <cell r="D2274">
            <v>44361</v>
          </cell>
        </row>
        <row r="2275">
          <cell r="A2275" t="str">
            <v>Bruno Zambon Navas Fim</v>
          </cell>
          <cell r="B2275">
            <v>37006465</v>
          </cell>
          <cell r="C2275">
            <v>20017889</v>
          </cell>
          <cell r="D2275">
            <v>44459</v>
          </cell>
        </row>
        <row r="2276">
          <cell r="A2276" t="str">
            <v>Ricardo Pinotti Tosta</v>
          </cell>
          <cell r="B2276">
            <v>37006795</v>
          </cell>
          <cell r="C2276">
            <v>20019022</v>
          </cell>
          <cell r="D2276">
            <v>44522</v>
          </cell>
        </row>
        <row r="2277">
          <cell r="A2277" t="str">
            <v>Antonio Aparecido Borges Junior</v>
          </cell>
          <cell r="B2277">
            <v>37002879</v>
          </cell>
          <cell r="C2277">
            <v>20008646</v>
          </cell>
          <cell r="D2277">
            <v>43500</v>
          </cell>
        </row>
        <row r="2278">
          <cell r="A2278" t="str">
            <v>Fabiano Moreira Reboucas</v>
          </cell>
          <cell r="B2278">
            <v>37006089</v>
          </cell>
          <cell r="C2278">
            <v>20016862</v>
          </cell>
          <cell r="D2278">
            <v>44410</v>
          </cell>
        </row>
        <row r="2279">
          <cell r="A2279" t="str">
            <v>Marcos Jose Ramazini</v>
          </cell>
          <cell r="B2279">
            <v>37018288</v>
          </cell>
          <cell r="C2279">
            <v>20072847</v>
          </cell>
          <cell r="D2279">
            <v>45475</v>
          </cell>
        </row>
        <row r="2280">
          <cell r="A2280" t="str">
            <v>Guilherme Floriano Domeni</v>
          </cell>
          <cell r="B2280">
            <v>37018283</v>
          </cell>
          <cell r="C2280">
            <v>20009204</v>
          </cell>
          <cell r="D2280">
            <v>45475</v>
          </cell>
        </row>
        <row r="2281">
          <cell r="A2281" t="str">
            <v>Franciele Mota de Souza</v>
          </cell>
          <cell r="B2281">
            <v>37018407</v>
          </cell>
          <cell r="C2281">
            <v>20060836</v>
          </cell>
          <cell r="D2281">
            <v>45475</v>
          </cell>
        </row>
        <row r="2282">
          <cell r="A2282" t="str">
            <v>Isabella Marti Velozo</v>
          </cell>
          <cell r="B2282" t="e">
            <v>#N/A</v>
          </cell>
          <cell r="C2282">
            <v>20060820</v>
          </cell>
          <cell r="D2282" t="e">
            <v>#N/A</v>
          </cell>
        </row>
        <row r="2283">
          <cell r="A2283" t="str">
            <v>Thiago Henrique Nascimento Araujo</v>
          </cell>
          <cell r="B2283">
            <v>37010030</v>
          </cell>
          <cell r="C2283">
            <v>20037935</v>
          </cell>
          <cell r="D2283">
            <v>44881</v>
          </cell>
        </row>
        <row r="2284">
          <cell r="A2284" t="str">
            <v>Paula Danelon Comin</v>
          </cell>
          <cell r="B2284">
            <v>37018409</v>
          </cell>
          <cell r="C2284">
            <v>20073601</v>
          </cell>
          <cell r="D2284">
            <v>45483</v>
          </cell>
        </row>
        <row r="2285">
          <cell r="A2285" t="str">
            <v>Rodolfo Tiago Camargo Felix</v>
          </cell>
          <cell r="B2285">
            <v>37018416</v>
          </cell>
          <cell r="C2285">
            <v>20073608</v>
          </cell>
          <cell r="D2285">
            <v>45483</v>
          </cell>
        </row>
        <row r="2286">
          <cell r="A2286" t="str">
            <v>Matheus Henrique Prado Varasquin</v>
          </cell>
          <cell r="B2286">
            <v>37018423</v>
          </cell>
          <cell r="C2286">
            <v>20025438</v>
          </cell>
          <cell r="D2286">
            <v>45483</v>
          </cell>
        </row>
        <row r="2287">
          <cell r="A2287" t="str">
            <v>Thiago Sandalo de Pedro</v>
          </cell>
          <cell r="B2287">
            <v>37018452</v>
          </cell>
          <cell r="C2287">
            <v>20073648</v>
          </cell>
          <cell r="D2287">
            <v>45483</v>
          </cell>
        </row>
        <row r="2288">
          <cell r="A2288" t="str">
            <v>MURILO GUERATO</v>
          </cell>
          <cell r="B2288">
            <v>37018475</v>
          </cell>
          <cell r="C2288">
            <v>20073671</v>
          </cell>
          <cell r="D2288">
            <v>45483</v>
          </cell>
        </row>
        <row r="2289">
          <cell r="A2289" t="str">
            <v>Narcizo Junior Pires</v>
          </cell>
          <cell r="B2289">
            <v>37001002</v>
          </cell>
          <cell r="C2289">
            <v>20009710</v>
          </cell>
          <cell r="D2289">
            <v>41015</v>
          </cell>
        </row>
        <row r="2290">
          <cell r="A2290" t="str">
            <v>Thiago Augusto Moreira Bonifacio</v>
          </cell>
          <cell r="B2290">
            <v>37014844</v>
          </cell>
          <cell r="C2290">
            <v>20060394</v>
          </cell>
          <cell r="D2290">
            <v>45209</v>
          </cell>
        </row>
        <row r="2291">
          <cell r="A2291" t="str">
            <v>Athane Coelho Rufino</v>
          </cell>
          <cell r="B2291">
            <v>37012050</v>
          </cell>
          <cell r="C2291">
            <v>20047561</v>
          </cell>
          <cell r="D2291">
            <v>45027</v>
          </cell>
        </row>
        <row r="2292">
          <cell r="A2292" t="str">
            <v>Kaua Donizeti Bariani Prado</v>
          </cell>
          <cell r="B2292">
            <v>37012839</v>
          </cell>
          <cell r="C2292">
            <v>20051794</v>
          </cell>
          <cell r="D2292">
            <v>45083</v>
          </cell>
        </row>
        <row r="2293">
          <cell r="A2293" t="str">
            <v>Leonardo de Almeida</v>
          </cell>
          <cell r="B2293">
            <v>37018586</v>
          </cell>
          <cell r="C2293">
            <v>20074158</v>
          </cell>
          <cell r="D2293">
            <v>45489</v>
          </cell>
        </row>
        <row r="2294">
          <cell r="A2294" t="str">
            <v>Huan Carlos Tavares Petersen</v>
          </cell>
          <cell r="B2294">
            <v>37018699</v>
          </cell>
          <cell r="C2294">
            <v>20074856</v>
          </cell>
          <cell r="D2294">
            <v>45510</v>
          </cell>
        </row>
        <row r="2295">
          <cell r="A2295" t="str">
            <v>Marcelo Junior Estevo De Araujo</v>
          </cell>
          <cell r="B2295">
            <v>37018729</v>
          </cell>
          <cell r="C2295">
            <v>20009595</v>
          </cell>
          <cell r="D2295">
            <v>45510</v>
          </cell>
        </row>
        <row r="2296">
          <cell r="A2296" t="str">
            <v>Eduardo Henrique Elena da Silva Silva</v>
          </cell>
          <cell r="B2296">
            <v>37018735</v>
          </cell>
          <cell r="C2296">
            <v>20074935</v>
          </cell>
          <cell r="D2296">
            <v>45510</v>
          </cell>
        </row>
        <row r="2297">
          <cell r="A2297" t="str">
            <v>Edilson Benedito da Silva</v>
          </cell>
          <cell r="B2297">
            <v>37018737</v>
          </cell>
          <cell r="C2297">
            <v>20074937</v>
          </cell>
          <cell r="D2297">
            <v>45510</v>
          </cell>
        </row>
        <row r="2298">
          <cell r="A2298" t="str">
            <v>Carlos Henrique Cordeiro Generick</v>
          </cell>
          <cell r="B2298">
            <v>37018747</v>
          </cell>
          <cell r="C2298">
            <v>20074964</v>
          </cell>
          <cell r="D2298">
            <v>45510</v>
          </cell>
        </row>
        <row r="2299">
          <cell r="A2299" t="str">
            <v>Renato Campos de Paula</v>
          </cell>
          <cell r="B2299">
            <v>37018755</v>
          </cell>
          <cell r="C2299">
            <v>20060840</v>
          </cell>
          <cell r="D2299">
            <v>45510</v>
          </cell>
        </row>
        <row r="2300">
          <cell r="A2300" t="str">
            <v>Amanda Mendes Noronha de Oliveira</v>
          </cell>
          <cell r="B2300">
            <v>37018793</v>
          </cell>
          <cell r="C2300">
            <v>20075079</v>
          </cell>
          <cell r="D2300">
            <v>45510</v>
          </cell>
        </row>
        <row r="2301">
          <cell r="A2301" t="str">
            <v>Roberto Da Silva Da Silva Santos</v>
          </cell>
          <cell r="B2301">
            <v>37018796</v>
          </cell>
          <cell r="C2301">
            <v>20075082</v>
          </cell>
          <cell r="D2301">
            <v>45510</v>
          </cell>
        </row>
        <row r="2302">
          <cell r="A2302" t="str">
            <v>Joao Gabriel Losnak Grande</v>
          </cell>
          <cell r="B2302">
            <v>37018807</v>
          </cell>
          <cell r="C2302">
            <v>20049712</v>
          </cell>
          <cell r="D2302">
            <v>45510</v>
          </cell>
        </row>
        <row r="2303">
          <cell r="A2303" t="str">
            <v>Jose Liniker Gomes Pereira</v>
          </cell>
          <cell r="B2303">
            <v>37018844</v>
          </cell>
          <cell r="C2303">
            <v>20075139</v>
          </cell>
          <cell r="D2303">
            <v>45510</v>
          </cell>
        </row>
        <row r="2304">
          <cell r="A2304" t="str">
            <v>Karleane de Sousa Alexandre</v>
          </cell>
          <cell r="B2304">
            <v>37014529</v>
          </cell>
          <cell r="C2304">
            <v>20059055</v>
          </cell>
          <cell r="D2304">
            <v>45181</v>
          </cell>
        </row>
        <row r="2305">
          <cell r="A2305" t="str">
            <v>Gessica Dos Santos Silva</v>
          </cell>
          <cell r="B2305">
            <v>37007929</v>
          </cell>
          <cell r="C2305">
            <v>20025929</v>
          </cell>
          <cell r="D2305">
            <v>44713</v>
          </cell>
        </row>
        <row r="2306">
          <cell r="A2306" t="str">
            <v>Allison Tadeu Candido da silva</v>
          </cell>
          <cell r="B2306">
            <v>37014766</v>
          </cell>
          <cell r="C2306">
            <v>20059971</v>
          </cell>
          <cell r="D2306">
            <v>45209</v>
          </cell>
        </row>
        <row r="2307">
          <cell r="A2307" t="str">
            <v>Diego Pires de Pinho</v>
          </cell>
          <cell r="B2307">
            <v>37014834</v>
          </cell>
          <cell r="C2307">
            <v>20060316</v>
          </cell>
          <cell r="D2307">
            <v>45209</v>
          </cell>
        </row>
        <row r="2308">
          <cell r="A2308" t="str">
            <v>Matheus Otavio da Costa Lemes</v>
          </cell>
          <cell r="B2308">
            <v>37013969</v>
          </cell>
          <cell r="C2308">
            <v>20057450</v>
          </cell>
          <cell r="D2308">
            <v>45153</v>
          </cell>
        </row>
        <row r="2309">
          <cell r="A2309" t="str">
            <v>Marcio Ricardo Sa Barbosa</v>
          </cell>
          <cell r="B2309">
            <v>37004347</v>
          </cell>
          <cell r="C2309">
            <v>20008234</v>
          </cell>
          <cell r="D2309">
            <v>43871</v>
          </cell>
        </row>
        <row r="2310">
          <cell r="A2310" t="str">
            <v>Wilian Fernando De Oliveira</v>
          </cell>
          <cell r="B2310">
            <v>37003243</v>
          </cell>
          <cell r="C2310">
            <v>20010054</v>
          </cell>
          <cell r="D2310">
            <v>43619</v>
          </cell>
        </row>
        <row r="2311">
          <cell r="A2311" t="str">
            <v>Hector Francisco De Souza</v>
          </cell>
          <cell r="B2311">
            <v>37003357</v>
          </cell>
          <cell r="C2311">
            <v>20009227</v>
          </cell>
          <cell r="D2311">
            <v>43647</v>
          </cell>
        </row>
        <row r="2312">
          <cell r="A2312" t="str">
            <v>Gabriel Lucas Da Silva Lima</v>
          </cell>
          <cell r="B2312">
            <v>37003343</v>
          </cell>
          <cell r="C2312">
            <v>20009141</v>
          </cell>
          <cell r="D2312">
            <v>43647</v>
          </cell>
        </row>
        <row r="2313">
          <cell r="A2313" t="str">
            <v>Lucas Vinicius Pomini Do Nascimento</v>
          </cell>
          <cell r="B2313">
            <v>37003791</v>
          </cell>
          <cell r="C2313">
            <v>20009522</v>
          </cell>
          <cell r="D2313">
            <v>43752</v>
          </cell>
        </row>
        <row r="2314">
          <cell r="A2314" t="str">
            <v>FABIO ROGERIO CARDOSO MANSANO</v>
          </cell>
          <cell r="B2314">
            <v>37013493</v>
          </cell>
          <cell r="C2314">
            <v>20055389</v>
          </cell>
          <cell r="D2314">
            <v>45125</v>
          </cell>
        </row>
        <row r="2315">
          <cell r="A2315" t="str">
            <v>Andressa De Oliveira Silva</v>
          </cell>
          <cell r="B2315">
            <v>37014832</v>
          </cell>
          <cell r="C2315">
            <v>20060314</v>
          </cell>
          <cell r="D2315">
            <v>45209</v>
          </cell>
        </row>
        <row r="2316">
          <cell r="A2316" t="str">
            <v>Maria Cecilia Ramos Pettenazzi</v>
          </cell>
          <cell r="B2316">
            <v>37018894</v>
          </cell>
          <cell r="C2316">
            <v>20075550</v>
          </cell>
          <cell r="D2316">
            <v>45524</v>
          </cell>
        </row>
        <row r="2317">
          <cell r="A2317" t="str">
            <v>Suellen Fernanda Dos Santos Kutait</v>
          </cell>
          <cell r="B2317">
            <v>37018906</v>
          </cell>
          <cell r="C2317">
            <v>20045741</v>
          </cell>
          <cell r="D2317">
            <v>45517</v>
          </cell>
        </row>
        <row r="2318">
          <cell r="A2318" t="str">
            <v>Kauana Rafael De Paula</v>
          </cell>
          <cell r="B2318">
            <v>37009814</v>
          </cell>
          <cell r="C2318">
            <v>20037093</v>
          </cell>
          <cell r="D2318">
            <v>44872</v>
          </cell>
        </row>
        <row r="2319">
          <cell r="A2319" t="str">
            <v>Erika Cristina Costa Florencio</v>
          </cell>
          <cell r="B2319">
            <v>37018909</v>
          </cell>
          <cell r="C2319">
            <v>20076043</v>
          </cell>
          <cell r="D2319">
            <v>45524</v>
          </cell>
        </row>
        <row r="2320">
          <cell r="A2320" t="str">
            <v>Emanuelle Brum Rodrigues Pinto</v>
          </cell>
          <cell r="B2320">
            <v>37018935</v>
          </cell>
          <cell r="C2320">
            <v>20076069</v>
          </cell>
          <cell r="D2320">
            <v>45524</v>
          </cell>
        </row>
        <row r="2321">
          <cell r="A2321" t="str">
            <v>Jeniffer Fernanda da Silva Moraes</v>
          </cell>
          <cell r="B2321">
            <v>37018957</v>
          </cell>
          <cell r="C2321">
            <v>20076091</v>
          </cell>
          <cell r="D2321">
            <v>45524</v>
          </cell>
        </row>
        <row r="2322">
          <cell r="A2322" t="str">
            <v>Ana Gabriela Da Silva Leite</v>
          </cell>
          <cell r="B2322">
            <v>37018958</v>
          </cell>
          <cell r="C2322">
            <v>20076092</v>
          </cell>
          <cell r="D2322">
            <v>45524</v>
          </cell>
        </row>
        <row r="2323">
          <cell r="A2323" t="str">
            <v>Marcleide Barbosa De Santana</v>
          </cell>
          <cell r="B2323">
            <v>37018977</v>
          </cell>
          <cell r="C2323">
            <v>20076196</v>
          </cell>
          <cell r="D2323">
            <v>45524</v>
          </cell>
        </row>
        <row r="2324">
          <cell r="A2324" t="str">
            <v>Tatiana Valesca Frassao Martins</v>
          </cell>
          <cell r="B2324">
            <v>37000368</v>
          </cell>
          <cell r="C2324">
            <v>20009943</v>
          </cell>
          <cell r="D2324">
            <v>37655</v>
          </cell>
        </row>
        <row r="2325">
          <cell r="A2325" t="str">
            <v>Jair José Jantsch</v>
          </cell>
          <cell r="B2325">
            <v>37019037</v>
          </cell>
          <cell r="C2325">
            <v>20076889</v>
          </cell>
          <cell r="D2325">
            <v>45538</v>
          </cell>
        </row>
        <row r="2326">
          <cell r="A2326" t="str">
            <v>Rodrigo de Oliveira Luciano</v>
          </cell>
          <cell r="B2326">
            <v>37019088</v>
          </cell>
          <cell r="C2326">
            <v>20076941</v>
          </cell>
          <cell r="D2326">
            <v>45538</v>
          </cell>
        </row>
        <row r="2327">
          <cell r="A2327" t="str">
            <v>João vitor Dias Dos santos</v>
          </cell>
          <cell r="B2327">
            <v>37019158</v>
          </cell>
          <cell r="C2327">
            <v>20077365</v>
          </cell>
          <cell r="D2327">
            <v>45545</v>
          </cell>
        </row>
        <row r="2328">
          <cell r="A2328" t="str">
            <v>Jose Virgilio Loiola</v>
          </cell>
          <cell r="B2328">
            <v>37019188</v>
          </cell>
          <cell r="C2328">
            <v>20077395</v>
          </cell>
          <cell r="D2328">
            <v>45545</v>
          </cell>
        </row>
        <row r="2329">
          <cell r="A2329" t="str">
            <v>Alex Ajala De Souza</v>
          </cell>
          <cell r="B2329">
            <v>37004483</v>
          </cell>
          <cell r="C2329">
            <v>20008533</v>
          </cell>
          <cell r="D2329">
            <v>43906</v>
          </cell>
        </row>
        <row r="2330">
          <cell r="A2330" t="str">
            <v>Igor Gabriel Cruz</v>
          </cell>
          <cell r="B2330">
            <v>37001989</v>
          </cell>
          <cell r="C2330">
            <v>20009262</v>
          </cell>
          <cell r="D2330">
            <v>42948</v>
          </cell>
        </row>
        <row r="2331">
          <cell r="A2331" t="str">
            <v>Guerlan De Oliveira Nascimento</v>
          </cell>
          <cell r="B2331">
            <v>37015114</v>
          </cell>
          <cell r="C2331">
            <v>20023749</v>
          </cell>
          <cell r="D2331">
            <v>45237</v>
          </cell>
        </row>
        <row r="2332">
          <cell r="A2332" t="str">
            <v>Allexia Diniz Machado</v>
          </cell>
          <cell r="B2332">
            <v>37019292</v>
          </cell>
          <cell r="C2332">
            <v>20077987</v>
          </cell>
          <cell r="D2332">
            <v>45552</v>
          </cell>
        </row>
        <row r="2333">
          <cell r="A2333" t="str">
            <v>Romulo Eloi Pereira Torres</v>
          </cell>
          <cell r="B2333">
            <v>37019297</v>
          </cell>
          <cell r="C2333">
            <v>20077992</v>
          </cell>
          <cell r="D2333">
            <v>45552</v>
          </cell>
        </row>
        <row r="2334">
          <cell r="A2334" t="str">
            <v>Lucas Camargo De Lima</v>
          </cell>
          <cell r="B2334">
            <v>37900921</v>
          </cell>
          <cell r="C2334">
            <v>20078101</v>
          </cell>
          <cell r="D2334">
            <v>45552</v>
          </cell>
        </row>
        <row r="2335">
          <cell r="A2335" t="str">
            <v>Marcos Donizeti Leme</v>
          </cell>
          <cell r="B2335">
            <v>37019334</v>
          </cell>
          <cell r="C2335">
            <v>20078112</v>
          </cell>
          <cell r="D2335" t="str">
            <v>00/01/1900</v>
          </cell>
        </row>
        <row r="2336">
          <cell r="A2336" t="str">
            <v>Elton Reni Lucas Lucas Barros</v>
          </cell>
          <cell r="B2336">
            <v>37019349</v>
          </cell>
          <cell r="C2336">
            <v>20078304</v>
          </cell>
          <cell r="D2336">
            <v>45566</v>
          </cell>
        </row>
        <row r="2337">
          <cell r="A2337" t="str">
            <v>Ingrid de Paula dos Santos Sousa Santos Sousa</v>
          </cell>
          <cell r="B2337">
            <v>37019378</v>
          </cell>
          <cell r="C2337">
            <v>20078359</v>
          </cell>
          <cell r="D2337">
            <v>45566</v>
          </cell>
        </row>
        <row r="2338">
          <cell r="A2338" t="str">
            <v>Matheus de Sousa Trancoso</v>
          </cell>
          <cell r="B2338">
            <v>37019463</v>
          </cell>
          <cell r="C2338">
            <v>20065878</v>
          </cell>
          <cell r="D2338">
            <v>45566</v>
          </cell>
        </row>
        <row r="2339">
          <cell r="A2339" t="str">
            <v>Bruno Torres Alves</v>
          </cell>
          <cell r="B2339">
            <v>37006374</v>
          </cell>
          <cell r="C2339">
            <v>20018067</v>
          </cell>
          <cell r="D2339">
            <v>44452</v>
          </cell>
        </row>
        <row r="2340">
          <cell r="A2340" t="str">
            <v>Lucas Daniel Moreira Bonifacio</v>
          </cell>
          <cell r="B2340">
            <v>37006681</v>
          </cell>
          <cell r="C2340">
            <v>20019105</v>
          </cell>
          <cell r="D2340">
            <v>44503</v>
          </cell>
        </row>
        <row r="2341">
          <cell r="A2341" t="str">
            <v>Eder Marques De Oliveira</v>
          </cell>
          <cell r="B2341">
            <v>37004747</v>
          </cell>
          <cell r="C2341">
            <v>20008032</v>
          </cell>
          <cell r="D2341">
            <v>44060</v>
          </cell>
        </row>
        <row r="2342">
          <cell r="A2342" t="str">
            <v>Joaquim Da Fonseca Guedes</v>
          </cell>
          <cell r="B2342">
            <v>37013786</v>
          </cell>
          <cell r="C2342">
            <v>20056437</v>
          </cell>
          <cell r="D2342">
            <v>45139</v>
          </cell>
        </row>
        <row r="2343">
          <cell r="A2343" t="str">
            <v>Ana Gabriela Gomes Pereira</v>
          </cell>
          <cell r="B2343" t="e">
            <v>#N/A</v>
          </cell>
          <cell r="C2343">
            <v>20078751</v>
          </cell>
          <cell r="D2343" t="e">
            <v>#N/A</v>
          </cell>
        </row>
        <row r="2344">
          <cell r="A2344" t="str">
            <v>Alex Daiki Ito</v>
          </cell>
          <cell r="B2344" t="e">
            <v>#N/A</v>
          </cell>
          <cell r="C2344">
            <v>20079324</v>
          </cell>
          <cell r="D2344" t="e">
            <v>#N/A</v>
          </cell>
        </row>
        <row r="2345">
          <cell r="A2345" t="str">
            <v>Vitor Pires Vitagliano</v>
          </cell>
          <cell r="B2345" t="e">
            <v>#N/A</v>
          </cell>
          <cell r="C2345">
            <v>20079333</v>
          </cell>
          <cell r="D2345" t="e">
            <v>#N/A</v>
          </cell>
        </row>
        <row r="2346">
          <cell r="A2346" t="str">
            <v>Fernando Alves Abreu</v>
          </cell>
          <cell r="B2346">
            <v>37004274</v>
          </cell>
          <cell r="C2346">
            <v>20009085</v>
          </cell>
          <cell r="D2346">
            <v>43864</v>
          </cell>
        </row>
        <row r="2347">
          <cell r="A2347" t="str">
            <v>Lucas Aparecido do Nascimento Ozarias</v>
          </cell>
          <cell r="B2347">
            <v>37016543</v>
          </cell>
          <cell r="C2347">
            <v>20064537</v>
          </cell>
          <cell r="D2347">
            <v>45328</v>
          </cell>
        </row>
        <row r="2348">
          <cell r="A2348" t="str">
            <v>Leticia Da Silva Ramos Nascimento</v>
          </cell>
          <cell r="B2348" t="e">
            <v>#N/A</v>
          </cell>
          <cell r="C2348">
            <v>20079347</v>
          </cell>
          <cell r="D2348" t="e">
            <v>#N/A</v>
          </cell>
        </row>
        <row r="2349">
          <cell r="A2349" t="str">
            <v>Livia Rinaldi</v>
          </cell>
          <cell r="B2349" t="e">
            <v>#N/A</v>
          </cell>
          <cell r="C2349">
            <v>20079349</v>
          </cell>
          <cell r="D2349" t="e">
            <v>#N/A</v>
          </cell>
        </row>
        <row r="2350">
          <cell r="A2350" t="str">
            <v>Maria Eduarda Oliveira De Souza</v>
          </cell>
          <cell r="B2350" t="e">
            <v>#N/A</v>
          </cell>
          <cell r="C2350">
            <v>20079350</v>
          </cell>
          <cell r="D2350" t="e">
            <v>#N/A</v>
          </cell>
        </row>
        <row r="2351">
          <cell r="A2351" t="str">
            <v>Matheus Henrique Lopes</v>
          </cell>
          <cell r="B2351" t="e">
            <v>#N/A</v>
          </cell>
          <cell r="C2351">
            <v>20079354</v>
          </cell>
          <cell r="D2351" t="e">
            <v>#N/A</v>
          </cell>
        </row>
        <row r="2352">
          <cell r="A2352" t="str">
            <v>Nick Whalancy Xavier Santos</v>
          </cell>
          <cell r="B2352" t="e">
            <v>#N/A</v>
          </cell>
          <cell r="C2352">
            <v>20079357</v>
          </cell>
          <cell r="D2352" t="e">
            <v>#N/A</v>
          </cell>
        </row>
        <row r="2353">
          <cell r="A2353" t="str">
            <v>Luan Xavier Da Silva Nascimento</v>
          </cell>
          <cell r="B2353" t="e">
            <v>#N/A</v>
          </cell>
          <cell r="C2353">
            <v>20079351</v>
          </cell>
          <cell r="D2353" t="e">
            <v>#N/A</v>
          </cell>
        </row>
        <row r="2354">
          <cell r="A2354" t="str">
            <v>Maria Eduarda De Souza Silva</v>
          </cell>
          <cell r="B2354" t="e">
            <v>#N/A</v>
          </cell>
          <cell r="C2354">
            <v>20079352</v>
          </cell>
          <cell r="D2354" t="e">
            <v>#N/A</v>
          </cell>
        </row>
        <row r="2355">
          <cell r="A2355" t="str">
            <v>Lucas Sobrinho Lemos</v>
          </cell>
          <cell r="B2355" t="e">
            <v>#N/A</v>
          </cell>
          <cell r="C2355">
            <v>20079356</v>
          </cell>
          <cell r="D2355" t="e">
            <v>#N/A</v>
          </cell>
        </row>
        <row r="2356">
          <cell r="A2356" t="str">
            <v>Pedro Henrique Piozzi Da Silva</v>
          </cell>
          <cell r="B2356" t="e">
            <v>#N/A</v>
          </cell>
          <cell r="C2356">
            <v>20079358</v>
          </cell>
          <cell r="D2356" t="e">
            <v>#N/A</v>
          </cell>
        </row>
        <row r="2357">
          <cell r="A2357" t="str">
            <v>Vinicius Braga Bruno</v>
          </cell>
          <cell r="B2357" t="e">
            <v>#N/A</v>
          </cell>
          <cell r="C2357">
            <v>20079955</v>
          </cell>
          <cell r="D2357" t="e">
            <v>#N/A</v>
          </cell>
        </row>
        <row r="2358">
          <cell r="A2358" t="str">
            <v>Marcelo Benedito Nunes</v>
          </cell>
          <cell r="B2358">
            <v>37007022</v>
          </cell>
          <cell r="C2358">
            <v>20021051</v>
          </cell>
          <cell r="D2358">
            <v>44578</v>
          </cell>
        </row>
        <row r="2359">
          <cell r="A2359" t="str">
            <v>Luis Felipe Da Silveira E Caldas</v>
          </cell>
          <cell r="B2359">
            <v>37004511</v>
          </cell>
          <cell r="C2359">
            <v>20008220</v>
          </cell>
          <cell r="D2359">
            <v>43927</v>
          </cell>
        </row>
        <row r="2360">
          <cell r="A2360" t="str">
            <v>Eric Ricardo Pereira</v>
          </cell>
          <cell r="B2360" t="e">
            <v>#N/A</v>
          </cell>
          <cell r="C2360">
            <v>20079990</v>
          </cell>
          <cell r="D2360" t="e">
            <v>#N/A</v>
          </cell>
        </row>
        <row r="2361">
          <cell r="A2361" t="str">
            <v>Anderson Jesus Caprioli</v>
          </cell>
          <cell r="B2361">
            <v>37000593</v>
          </cell>
          <cell r="C2361">
            <v>20008607</v>
          </cell>
          <cell r="D2361">
            <v>39468</v>
          </cell>
        </row>
        <row r="2362">
          <cell r="A2362" t="str">
            <v>Anna Claudia Dos Santos Araujo</v>
          </cell>
          <cell r="B2362">
            <v>37002549</v>
          </cell>
          <cell r="C2362">
            <v>20008640</v>
          </cell>
          <cell r="D2362">
            <v>43381</v>
          </cell>
        </row>
        <row r="2363">
          <cell r="A2363" t="str">
            <v>Braz Aparecido Vizoni</v>
          </cell>
          <cell r="B2363">
            <v>37000693</v>
          </cell>
          <cell r="C2363">
            <v>20008707</v>
          </cell>
          <cell r="D2363">
            <v>39755</v>
          </cell>
        </row>
        <row r="2364">
          <cell r="A2364" t="str">
            <v>Bruno Andre Dos Santos</v>
          </cell>
          <cell r="B2364">
            <v>37002012</v>
          </cell>
          <cell r="C2364">
            <v>20008713</v>
          </cell>
          <cell r="D2364">
            <v>43010</v>
          </cell>
        </row>
        <row r="2365">
          <cell r="A2365" t="str">
            <v>Cleber Leonardo Rodrigues</v>
          </cell>
          <cell r="B2365">
            <v>37001564</v>
          </cell>
          <cell r="C2365">
            <v>20008821</v>
          </cell>
          <cell r="D2365">
            <v>42255</v>
          </cell>
        </row>
        <row r="2366">
          <cell r="A2366" t="str">
            <v>Fernando Jose Francisco</v>
          </cell>
          <cell r="B2366">
            <v>37000517</v>
          </cell>
          <cell r="C2366">
            <v>20009093</v>
          </cell>
          <cell r="D2366">
            <v>39160</v>
          </cell>
        </row>
        <row r="2367">
          <cell r="A2367" t="str">
            <v>Laercio De Lima Goularte</v>
          </cell>
          <cell r="B2367">
            <v>37001528</v>
          </cell>
          <cell r="C2367">
            <v>20009458</v>
          </cell>
          <cell r="D2367">
            <v>42149</v>
          </cell>
        </row>
        <row r="2368">
          <cell r="A2368" t="str">
            <v>Marcelo Ricardo Silverio Da Silva</v>
          </cell>
          <cell r="B2368">
            <v>37001548</v>
          </cell>
          <cell r="C2368">
            <v>20009602</v>
          </cell>
          <cell r="D2368">
            <v>42233</v>
          </cell>
        </row>
        <row r="2369">
          <cell r="A2369" t="str">
            <v>Matheus Nilton Dutra</v>
          </cell>
          <cell r="B2369">
            <v>37001613</v>
          </cell>
          <cell r="C2369">
            <v>20009680</v>
          </cell>
          <cell r="D2369">
            <v>42373</v>
          </cell>
        </row>
        <row r="2370">
          <cell r="A2370" t="str">
            <v>Nelson Campesato</v>
          </cell>
          <cell r="B2370">
            <v>37000143</v>
          </cell>
          <cell r="C2370">
            <v>20009720</v>
          </cell>
          <cell r="D2370">
            <v>34828</v>
          </cell>
        </row>
        <row r="2371">
          <cell r="A2371" t="str">
            <v>Sidnei Alves De Souza</v>
          </cell>
          <cell r="B2371">
            <v>37002863</v>
          </cell>
          <cell r="C2371">
            <v>20009924</v>
          </cell>
          <cell r="D2371">
            <v>43486</v>
          </cell>
        </row>
        <row r="2372">
          <cell r="A2372" t="str">
            <v>Alison Pasqualinotti</v>
          </cell>
          <cell r="B2372">
            <v>37005809</v>
          </cell>
          <cell r="C2372">
            <v>20016056</v>
          </cell>
          <cell r="D2372">
            <v>44354</v>
          </cell>
        </row>
        <row r="2373">
          <cell r="A2373" t="str">
            <v>Gledison Alves De Almeida</v>
          </cell>
          <cell r="B2373">
            <v>37005830</v>
          </cell>
          <cell r="C2373">
            <v>20016061</v>
          </cell>
          <cell r="D2373">
            <v>44354</v>
          </cell>
        </row>
        <row r="2374">
          <cell r="A2374" t="str">
            <v>Jean Carlos Bernardes Nunes</v>
          </cell>
          <cell r="B2374">
            <v>37005816</v>
          </cell>
          <cell r="C2374">
            <v>20016062</v>
          </cell>
          <cell r="D2374">
            <v>44354</v>
          </cell>
        </row>
        <row r="2375">
          <cell r="A2375" t="str">
            <v>Jose Carlos Puerta</v>
          </cell>
          <cell r="B2375">
            <v>37005825</v>
          </cell>
          <cell r="C2375">
            <v>20016066</v>
          </cell>
          <cell r="D2375">
            <v>44354</v>
          </cell>
        </row>
        <row r="2376">
          <cell r="A2376" t="str">
            <v>Paulo Cesar Marques</v>
          </cell>
          <cell r="B2376">
            <v>37005812</v>
          </cell>
          <cell r="C2376">
            <v>20016067</v>
          </cell>
          <cell r="D2376">
            <v>44354</v>
          </cell>
        </row>
        <row r="2377">
          <cell r="A2377" t="str">
            <v>Paulo Roberto Leme De Lima</v>
          </cell>
          <cell r="B2377">
            <v>37005818</v>
          </cell>
          <cell r="C2377">
            <v>20016068</v>
          </cell>
          <cell r="D2377">
            <v>44354</v>
          </cell>
        </row>
        <row r="2378">
          <cell r="A2378" t="str">
            <v>Paulo Sergio Tomaz De Aquino</v>
          </cell>
          <cell r="B2378">
            <v>37005807</v>
          </cell>
          <cell r="C2378">
            <v>20016069</v>
          </cell>
          <cell r="D2378">
            <v>44354</v>
          </cell>
        </row>
        <row r="2379">
          <cell r="A2379" t="str">
            <v>Elaine Cristina Tomaz</v>
          </cell>
          <cell r="B2379">
            <v>37006067</v>
          </cell>
          <cell r="C2379">
            <v>20016842</v>
          </cell>
          <cell r="D2379">
            <v>44410</v>
          </cell>
        </row>
        <row r="2380">
          <cell r="A2380" t="str">
            <v>Flavio Cardoso Da Silva</v>
          </cell>
          <cell r="B2380">
            <v>37006068</v>
          </cell>
          <cell r="C2380">
            <v>20016843</v>
          </cell>
          <cell r="D2380">
            <v>44410</v>
          </cell>
        </row>
        <row r="2381">
          <cell r="A2381" t="str">
            <v>Marcio Aparecido Bernardes</v>
          </cell>
          <cell r="B2381">
            <v>37006069</v>
          </cell>
          <cell r="C2381">
            <v>20016844</v>
          </cell>
          <cell r="D2381">
            <v>44410</v>
          </cell>
        </row>
        <row r="2382">
          <cell r="A2382" t="str">
            <v>Inacio Eduardo Bento Fileto</v>
          </cell>
          <cell r="B2382">
            <v>37006071</v>
          </cell>
          <cell r="C2382">
            <v>20016845</v>
          </cell>
          <cell r="D2382">
            <v>44410</v>
          </cell>
        </row>
        <row r="2383">
          <cell r="A2383" t="str">
            <v>Gabriel De Oliveira</v>
          </cell>
          <cell r="B2383">
            <v>37006113</v>
          </cell>
          <cell r="C2383">
            <v>20016885</v>
          </cell>
          <cell r="D2383">
            <v>44417</v>
          </cell>
        </row>
        <row r="2384">
          <cell r="A2384" t="str">
            <v>Manoel Mailio Neto</v>
          </cell>
          <cell r="B2384">
            <v>37009150</v>
          </cell>
          <cell r="C2384">
            <v>20032251</v>
          </cell>
          <cell r="D2384">
            <v>44777</v>
          </cell>
        </row>
        <row r="2385">
          <cell r="A2385" t="str">
            <v>Camila Leite Santos</v>
          </cell>
          <cell r="B2385">
            <v>37009590</v>
          </cell>
          <cell r="C2385">
            <v>20035412</v>
          </cell>
          <cell r="D2385">
            <v>44837</v>
          </cell>
        </row>
        <row r="2386">
          <cell r="A2386" t="str">
            <v>Jader Nogueira</v>
          </cell>
          <cell r="B2386">
            <v>37000239</v>
          </cell>
          <cell r="C2386">
            <v>20009288</v>
          </cell>
          <cell r="D2386">
            <v>35433</v>
          </cell>
        </row>
        <row r="2387">
          <cell r="A2387" t="str">
            <v>Mayra Barbosa Prado Galhano</v>
          </cell>
          <cell r="B2387">
            <v>37010093</v>
          </cell>
          <cell r="C2387">
            <v>20038225</v>
          </cell>
          <cell r="D2387">
            <v>44881</v>
          </cell>
        </row>
        <row r="2388">
          <cell r="A2388" t="str">
            <v>Rose Elena Mazzer</v>
          </cell>
          <cell r="B2388">
            <v>37010179</v>
          </cell>
          <cell r="C2388">
            <v>20038454</v>
          </cell>
          <cell r="D2388">
            <v>44886</v>
          </cell>
        </row>
        <row r="2389">
          <cell r="A2389" t="str">
            <v>Diego Pereira Bergamo</v>
          </cell>
          <cell r="B2389">
            <v>37010273</v>
          </cell>
          <cell r="C2389">
            <v>20039002</v>
          </cell>
          <cell r="D2389">
            <v>44900</v>
          </cell>
        </row>
        <row r="2390">
          <cell r="A2390" t="str">
            <v>Jose Leonardo Righeto</v>
          </cell>
          <cell r="B2390">
            <v>37007160</v>
          </cell>
          <cell r="C2390">
            <v>20022962</v>
          </cell>
          <cell r="D2390">
            <v>44606</v>
          </cell>
        </row>
        <row r="2391">
          <cell r="A2391" t="str">
            <v>Nilton Cesar Jurado</v>
          </cell>
          <cell r="B2391">
            <v>37011013</v>
          </cell>
          <cell r="C2391">
            <v>20041845</v>
          </cell>
          <cell r="D2391">
            <v>44958</v>
          </cell>
        </row>
        <row r="2392">
          <cell r="A2392" t="str">
            <v>Alessandra Martins Ribeiro</v>
          </cell>
          <cell r="B2392">
            <v>37007328</v>
          </cell>
          <cell r="C2392">
            <v>20023697</v>
          </cell>
          <cell r="D2392">
            <v>44634</v>
          </cell>
        </row>
        <row r="2393">
          <cell r="A2393" t="str">
            <v>Andre Felipe De Mattos</v>
          </cell>
          <cell r="B2393">
            <v>37012181</v>
          </cell>
          <cell r="C2393">
            <v>20048380</v>
          </cell>
          <cell r="D2393">
            <v>45034</v>
          </cell>
        </row>
        <row r="2394">
          <cell r="A2394" t="str">
            <v>Otavio Nantes De Almeida</v>
          </cell>
          <cell r="B2394">
            <v>37013436</v>
          </cell>
          <cell r="C2394">
            <v>20054512</v>
          </cell>
          <cell r="D2394">
            <v>45118</v>
          </cell>
        </row>
        <row r="2395">
          <cell r="A2395" t="str">
            <v>Matthews Vergilio Gomes de Medeiros</v>
          </cell>
          <cell r="B2395">
            <v>37014126</v>
          </cell>
          <cell r="C2395">
            <v>20057890</v>
          </cell>
          <cell r="D2395">
            <v>45160</v>
          </cell>
        </row>
        <row r="2396">
          <cell r="A2396" t="str">
            <v>Amanda Velozo Correia</v>
          </cell>
          <cell r="B2396">
            <v>37014425</v>
          </cell>
          <cell r="C2396">
            <v>20058577</v>
          </cell>
          <cell r="D2396">
            <v>45174</v>
          </cell>
        </row>
        <row r="2397">
          <cell r="A2397" t="str">
            <v>Marcos Bonalume Filho</v>
          </cell>
          <cell r="B2397">
            <v>37007925</v>
          </cell>
          <cell r="C2397">
            <v>20026058</v>
          </cell>
          <cell r="D2397">
            <v>44704</v>
          </cell>
        </row>
        <row r="2398">
          <cell r="A2398" t="str">
            <v>Diogo Nogueira de Faria</v>
          </cell>
          <cell r="B2398">
            <v>37015517</v>
          </cell>
          <cell r="C2398">
            <v>20062773</v>
          </cell>
          <cell r="D2398">
            <v>45265</v>
          </cell>
        </row>
        <row r="2399">
          <cell r="A2399" t="str">
            <v>Alessandra Silva de Carvalho</v>
          </cell>
          <cell r="B2399">
            <v>37015931</v>
          </cell>
          <cell r="C2399">
            <v>20063664</v>
          </cell>
          <cell r="D2399">
            <v>45300</v>
          </cell>
        </row>
        <row r="2400">
          <cell r="A2400" t="str">
            <v>Priscila Barros Da Costa</v>
          </cell>
          <cell r="B2400">
            <v>37003622</v>
          </cell>
          <cell r="C2400">
            <v>20009788</v>
          </cell>
          <cell r="D2400">
            <v>43710</v>
          </cell>
        </row>
        <row r="2401">
          <cell r="A2401" t="str">
            <v>Caio Silveira Volpato</v>
          </cell>
          <cell r="B2401">
            <v>37007935</v>
          </cell>
          <cell r="C2401">
            <v>20026016</v>
          </cell>
          <cell r="D2401">
            <v>44713</v>
          </cell>
        </row>
        <row r="2402">
          <cell r="A2402" t="str">
            <v>Emely Amanda Soares</v>
          </cell>
          <cell r="B2402">
            <v>37017238</v>
          </cell>
          <cell r="C2402">
            <v>20068475</v>
          </cell>
          <cell r="D2402">
            <v>45398</v>
          </cell>
        </row>
        <row r="2403">
          <cell r="A2403" t="str">
            <v>Diego De Moraes</v>
          </cell>
          <cell r="B2403">
            <v>37007951</v>
          </cell>
          <cell r="C2403">
            <v>20026102</v>
          </cell>
          <cell r="D2403">
            <v>44713</v>
          </cell>
        </row>
        <row r="2404">
          <cell r="A2404" t="str">
            <v>Leonardo De Souza Porto</v>
          </cell>
          <cell r="B2404">
            <v>37017637</v>
          </cell>
          <cell r="C2404">
            <v>20070247</v>
          </cell>
          <cell r="D2404">
            <v>45433</v>
          </cell>
        </row>
        <row r="2405">
          <cell r="A2405" t="str">
            <v>Luis Felipe Zanao Luquesi</v>
          </cell>
          <cell r="B2405">
            <v>37017839</v>
          </cell>
          <cell r="C2405">
            <v>20070850</v>
          </cell>
          <cell r="D2405">
            <v>45433</v>
          </cell>
        </row>
        <row r="2406">
          <cell r="A2406" t="str">
            <v>Daniel da Silva</v>
          </cell>
          <cell r="B2406">
            <v>37012714</v>
          </cell>
          <cell r="C2406">
            <v>20051298</v>
          </cell>
          <cell r="D2406">
            <v>45083</v>
          </cell>
        </row>
        <row r="2407">
          <cell r="A2407" t="str">
            <v>Ryan Quintao Assis</v>
          </cell>
          <cell r="B2407">
            <v>37004771</v>
          </cell>
          <cell r="C2407">
            <v>20008062</v>
          </cell>
          <cell r="D2407">
            <v>44060</v>
          </cell>
        </row>
        <row r="2408">
          <cell r="A2408" t="str">
            <v>Lyniker Henrique Nogueira De Oliveira</v>
          </cell>
          <cell r="B2408">
            <v>37011379</v>
          </cell>
          <cell r="C2408">
            <v>20043861</v>
          </cell>
          <cell r="D2408">
            <v>44986</v>
          </cell>
        </row>
        <row r="2409">
          <cell r="A2409" t="str">
            <v>Thais Randazzo Enz</v>
          </cell>
          <cell r="B2409">
            <v>37003040</v>
          </cell>
          <cell r="C2409">
            <v>20009948</v>
          </cell>
          <cell r="D2409">
            <v>43542</v>
          </cell>
        </row>
        <row r="2410">
          <cell r="A2410" t="str">
            <v>Eliana Pereira Cotrinho</v>
          </cell>
          <cell r="B2410">
            <v>37018415</v>
          </cell>
          <cell r="C2410">
            <v>20073607</v>
          </cell>
          <cell r="D2410">
            <v>45475</v>
          </cell>
        </row>
        <row r="2411">
          <cell r="A2411" t="str">
            <v>Anderson Cleiton Santana De Oliveira</v>
          </cell>
          <cell r="B2411">
            <v>37013064</v>
          </cell>
          <cell r="C2411">
            <v>20052481</v>
          </cell>
          <cell r="D2411">
            <v>45090</v>
          </cell>
        </row>
        <row r="2412">
          <cell r="A2412" t="str">
            <v>Giovanna Lopes de Araujo Soares</v>
          </cell>
          <cell r="B2412">
            <v>37015500</v>
          </cell>
          <cell r="C2412">
            <v>20062751</v>
          </cell>
          <cell r="D2412">
            <v>45265</v>
          </cell>
        </row>
        <row r="2413">
          <cell r="A2413" t="str">
            <v>Max Willyans Grave</v>
          </cell>
          <cell r="B2413">
            <v>37005996</v>
          </cell>
          <cell r="C2413">
            <v>20015652</v>
          </cell>
          <cell r="D2413">
            <v>44389</v>
          </cell>
        </row>
        <row r="2414">
          <cell r="A2414" t="str">
            <v>Leandro Aparecido Marinho</v>
          </cell>
          <cell r="B2414">
            <v>37900932</v>
          </cell>
          <cell r="C2414">
            <v>20078116</v>
          </cell>
          <cell r="D2414" t="str">
            <v>00/01/1900</v>
          </cell>
        </row>
        <row r="2415">
          <cell r="A2415" t="str">
            <v>Sandrielli Andrade</v>
          </cell>
          <cell r="B2415">
            <v>37900934</v>
          </cell>
          <cell r="C2415">
            <v>20078118</v>
          </cell>
          <cell r="D2415" t="str">
            <v>00/01/1900</v>
          </cell>
        </row>
        <row r="2416">
          <cell r="A2416" t="str">
            <v>Thiago De Camargo Barbosa</v>
          </cell>
          <cell r="B2416">
            <v>37900939</v>
          </cell>
          <cell r="C2416">
            <v>20078123</v>
          </cell>
          <cell r="D2416" t="str">
            <v>00/01/1900</v>
          </cell>
        </row>
        <row r="2417">
          <cell r="A2417" t="str">
            <v>Tiago Ferreira Da Silva</v>
          </cell>
          <cell r="B2417">
            <v>37900941</v>
          </cell>
          <cell r="C2417">
            <v>20078125</v>
          </cell>
          <cell r="D2417" t="str">
            <v>00/01/1900</v>
          </cell>
        </row>
        <row r="2418">
          <cell r="A2418" t="str">
            <v>Jose Aparecido Bezerra Alves</v>
          </cell>
          <cell r="B2418">
            <v>37900950</v>
          </cell>
          <cell r="C2418">
            <v>20078156</v>
          </cell>
          <cell r="D2418" t="str">
            <v>00/01/1900</v>
          </cell>
        </row>
        <row r="2419">
          <cell r="A2419" t="str">
            <v>Jessica Estefane Silva Chaves</v>
          </cell>
          <cell r="B2419" t="e">
            <v>#N/A</v>
          </cell>
          <cell r="C2419">
            <v>20079331</v>
          </cell>
          <cell r="D2419" t="e">
            <v>#N/A</v>
          </cell>
        </row>
        <row r="2420">
          <cell r="A2420" t="str">
            <v>Matheus Henrique De Camargo Amaro</v>
          </cell>
          <cell r="B2420" t="e">
            <v>#N/A</v>
          </cell>
          <cell r="C2420">
            <v>20079341</v>
          </cell>
          <cell r="D2420" t="e">
            <v>#N/A</v>
          </cell>
        </row>
        <row r="2421">
          <cell r="A2421" t="str">
            <v>Adilson Andreoli</v>
          </cell>
          <cell r="B2421">
            <v>37004117</v>
          </cell>
          <cell r="C2421">
            <v>20008029</v>
          </cell>
          <cell r="D2421">
            <v>43843</v>
          </cell>
        </row>
        <row r="2422">
          <cell r="A2422" t="str">
            <v>Giovane Navarro Rocha</v>
          </cell>
          <cell r="B2422">
            <v>37004124</v>
          </cell>
          <cell r="C2422">
            <v>20008187</v>
          </cell>
          <cell r="D2422">
            <v>43843</v>
          </cell>
        </row>
        <row r="2423">
          <cell r="A2423" t="str">
            <v>Luiz Guilherme Alves Leonel</v>
          </cell>
          <cell r="B2423">
            <v>37004292</v>
          </cell>
          <cell r="C2423">
            <v>20008222</v>
          </cell>
          <cell r="D2423">
            <v>43864</v>
          </cell>
        </row>
        <row r="2424">
          <cell r="A2424" t="str">
            <v>Mayara Cristiane Diegoli Tomaz</v>
          </cell>
          <cell r="B2424">
            <v>37004632</v>
          </cell>
          <cell r="C2424">
            <v>20008255</v>
          </cell>
          <cell r="D2424">
            <v>44025</v>
          </cell>
        </row>
        <row r="2425">
          <cell r="A2425" t="str">
            <v>Patricia Maria Dos Santos</v>
          </cell>
          <cell r="B2425">
            <v>37004349</v>
          </cell>
          <cell r="C2425">
            <v>20008266</v>
          </cell>
          <cell r="D2425">
            <v>43871</v>
          </cell>
        </row>
        <row r="2426">
          <cell r="A2426" t="str">
            <v>Raphael Goncalves De Castro</v>
          </cell>
          <cell r="B2426">
            <v>37004566</v>
          </cell>
          <cell r="C2426">
            <v>20008293</v>
          </cell>
          <cell r="D2426">
            <v>43983</v>
          </cell>
        </row>
        <row r="2427">
          <cell r="A2427" t="str">
            <v>Luiz Fernando Pinto De Oliveira</v>
          </cell>
          <cell r="B2427">
            <v>37004682</v>
          </cell>
          <cell r="C2427">
            <v>20008355</v>
          </cell>
          <cell r="D2427">
            <v>44046</v>
          </cell>
        </row>
        <row r="2428">
          <cell r="A2428" t="str">
            <v>Adilson Da Paixao Goncalves</v>
          </cell>
          <cell r="B2428">
            <v>37001042</v>
          </cell>
          <cell r="C2428">
            <v>20008496</v>
          </cell>
          <cell r="D2428">
            <v>41183</v>
          </cell>
        </row>
        <row r="2429">
          <cell r="A2429" t="str">
            <v>Anselmo Nogueira Ayres</v>
          </cell>
          <cell r="B2429">
            <v>37000363</v>
          </cell>
          <cell r="C2429">
            <v>20008643</v>
          </cell>
          <cell r="D2429">
            <v>37655</v>
          </cell>
        </row>
        <row r="2430">
          <cell r="A2430" t="str">
            <v>Barry Blair Slingerland</v>
          </cell>
          <cell r="B2430">
            <v>37004073</v>
          </cell>
          <cell r="C2430">
            <v>20008696</v>
          </cell>
          <cell r="D2430">
            <v>43836</v>
          </cell>
        </row>
        <row r="2431">
          <cell r="A2431" t="str">
            <v>Danilo Pacheco Camargo</v>
          </cell>
          <cell r="B2431">
            <v>37002640</v>
          </cell>
          <cell r="C2431">
            <v>20008876</v>
          </cell>
          <cell r="D2431">
            <v>43416</v>
          </cell>
        </row>
        <row r="2432">
          <cell r="A2432" t="str">
            <v>Diego Gomes</v>
          </cell>
          <cell r="B2432">
            <v>37004618</v>
          </cell>
          <cell r="C2432">
            <v>20008908</v>
          </cell>
          <cell r="D2432">
            <v>44025</v>
          </cell>
        </row>
        <row r="2433">
          <cell r="A2433" t="str">
            <v>Ewerson Luis Gilioli Vidal</v>
          </cell>
          <cell r="B2433">
            <v>37000179</v>
          </cell>
          <cell r="C2433">
            <v>20009035</v>
          </cell>
          <cell r="D2433">
            <v>34943</v>
          </cell>
        </row>
        <row r="2434">
          <cell r="A2434" t="str">
            <v>Felipe Guimaraes Dantas</v>
          </cell>
          <cell r="B2434">
            <v>37003470</v>
          </cell>
          <cell r="C2434">
            <v>20009074</v>
          </cell>
          <cell r="D2434">
            <v>43663</v>
          </cell>
        </row>
        <row r="2435">
          <cell r="A2435" t="str">
            <v>Fernanda Luiz Ferreira</v>
          </cell>
          <cell r="B2435">
            <v>37000661</v>
          </cell>
          <cell r="C2435">
            <v>20009082</v>
          </cell>
          <cell r="D2435">
            <v>39608</v>
          </cell>
        </row>
        <row r="2436">
          <cell r="A2436" t="str">
            <v>Flavia Goncales Dias</v>
          </cell>
          <cell r="B2436">
            <v>37003616</v>
          </cell>
          <cell r="C2436">
            <v>20009108</v>
          </cell>
          <cell r="D2436">
            <v>43710</v>
          </cell>
        </row>
        <row r="2437">
          <cell r="A2437" t="str">
            <v>Idineu Fabricio Ferreira De Souza</v>
          </cell>
          <cell r="B2437">
            <v>37000249</v>
          </cell>
          <cell r="C2437">
            <v>20009259</v>
          </cell>
          <cell r="D2437">
            <v>35531</v>
          </cell>
        </row>
        <row r="2438">
          <cell r="A2438" t="str">
            <v>Jaqueline Maria Prandini</v>
          </cell>
          <cell r="B2438">
            <v>37002648</v>
          </cell>
          <cell r="C2438">
            <v>20009296</v>
          </cell>
          <cell r="D2438">
            <v>43423</v>
          </cell>
        </row>
        <row r="2439">
          <cell r="A2439" t="str">
            <v>Julia Gabriela Tamborim</v>
          </cell>
          <cell r="B2439">
            <v>37003711</v>
          </cell>
          <cell r="C2439">
            <v>20009425</v>
          </cell>
          <cell r="D2439">
            <v>43740</v>
          </cell>
        </row>
        <row r="2440">
          <cell r="A2440" t="str">
            <v>Marcelo Da Silva</v>
          </cell>
          <cell r="B2440">
            <v>37001634</v>
          </cell>
          <cell r="C2440">
            <v>20009590</v>
          </cell>
          <cell r="D2440">
            <v>42451</v>
          </cell>
        </row>
        <row r="2441">
          <cell r="A2441" t="str">
            <v>Marcelo Montanhese De Lima</v>
          </cell>
          <cell r="B2441">
            <v>37001137</v>
          </cell>
          <cell r="C2441">
            <v>20009598</v>
          </cell>
          <cell r="D2441">
            <v>41295</v>
          </cell>
        </row>
        <row r="2442">
          <cell r="A2442" t="str">
            <v>Miria Aparecida Bueno De Lima</v>
          </cell>
          <cell r="B2442">
            <v>37000573</v>
          </cell>
          <cell r="C2442">
            <v>20009699</v>
          </cell>
          <cell r="D2442">
            <v>39419</v>
          </cell>
        </row>
        <row r="2443">
          <cell r="A2443" t="str">
            <v>Nilson Rodrigues Sobral</v>
          </cell>
          <cell r="B2443">
            <v>37000120</v>
          </cell>
          <cell r="C2443">
            <v>20009723</v>
          </cell>
          <cell r="D2443">
            <v>34597</v>
          </cell>
        </row>
        <row r="2444">
          <cell r="A2444" t="str">
            <v>Paula Cristina Rafaeli Bueno</v>
          </cell>
          <cell r="B2444">
            <v>37000030</v>
          </cell>
          <cell r="C2444">
            <v>20009747</v>
          </cell>
          <cell r="D2444">
            <v>31957</v>
          </cell>
        </row>
        <row r="2445">
          <cell r="A2445" t="str">
            <v>Paulino De Aguiar Januario</v>
          </cell>
          <cell r="B2445">
            <v>37003677</v>
          </cell>
          <cell r="C2445">
            <v>20009748</v>
          </cell>
          <cell r="D2445">
            <v>43712</v>
          </cell>
        </row>
        <row r="2446">
          <cell r="A2446" t="str">
            <v>Rodrigo Mineto</v>
          </cell>
          <cell r="B2446">
            <v>37000327</v>
          </cell>
          <cell r="C2446">
            <v>20009871</v>
          </cell>
          <cell r="D2446">
            <v>37109</v>
          </cell>
        </row>
        <row r="2447">
          <cell r="A2447" t="str">
            <v>Rudson Alexandre Dos Santos</v>
          </cell>
          <cell r="B2447">
            <v>37001019</v>
          </cell>
          <cell r="C2447">
            <v>20009899</v>
          </cell>
          <cell r="D2447">
            <v>41113</v>
          </cell>
        </row>
        <row r="2448">
          <cell r="A2448" t="str">
            <v>Thaiane Mary De Oliveira Pereira</v>
          </cell>
          <cell r="B2448">
            <v>37003926</v>
          </cell>
          <cell r="C2448">
            <v>20009946</v>
          </cell>
          <cell r="D2448">
            <v>43773</v>
          </cell>
        </row>
        <row r="2449">
          <cell r="A2449" t="str">
            <v>Viviane Lima De Oliveira Cavalheiro</v>
          </cell>
          <cell r="B2449">
            <v>37001953</v>
          </cell>
          <cell r="C2449">
            <v>20010028</v>
          </cell>
          <cell r="D2449">
            <v>42870</v>
          </cell>
        </row>
        <row r="2450">
          <cell r="A2450" t="str">
            <v>Bolivar Barbanti Neto</v>
          </cell>
          <cell r="B2450">
            <v>37004668</v>
          </cell>
          <cell r="C2450">
            <v>20010071</v>
          </cell>
          <cell r="D2450">
            <v>44046</v>
          </cell>
        </row>
        <row r="2451">
          <cell r="A2451" t="str">
            <v>Matheus Vicente Da Silva</v>
          </cell>
          <cell r="B2451">
            <v>37005278</v>
          </cell>
          <cell r="C2451">
            <v>20011114</v>
          </cell>
          <cell r="D2451">
            <v>44152</v>
          </cell>
        </row>
        <row r="2452">
          <cell r="A2452" t="str">
            <v>Rafael Almeida Victor</v>
          </cell>
          <cell r="B2452">
            <v>37005269</v>
          </cell>
          <cell r="C2452">
            <v>20011122</v>
          </cell>
          <cell r="D2452">
            <v>44144</v>
          </cell>
        </row>
        <row r="2453">
          <cell r="A2453" t="str">
            <v>Matheus Treccia Guirado</v>
          </cell>
          <cell r="B2453">
            <v>37005397</v>
          </cell>
          <cell r="C2453">
            <v>20013518</v>
          </cell>
          <cell r="D2453">
            <v>44256</v>
          </cell>
        </row>
        <row r="2454">
          <cell r="A2454" t="str">
            <v>Diego De Freitas Vieira</v>
          </cell>
          <cell r="B2454">
            <v>37005434</v>
          </cell>
          <cell r="C2454">
            <v>20013536</v>
          </cell>
          <cell r="D2454">
            <v>44263</v>
          </cell>
        </row>
        <row r="2455">
          <cell r="A2455" t="str">
            <v>Claudio Pitchon</v>
          </cell>
          <cell r="B2455">
            <v>37005591</v>
          </cell>
          <cell r="C2455">
            <v>20013613</v>
          </cell>
          <cell r="D2455">
            <v>44305</v>
          </cell>
        </row>
        <row r="2456">
          <cell r="A2456" t="str">
            <v>Fernando Correia Ribas</v>
          </cell>
          <cell r="B2456">
            <v>37005642</v>
          </cell>
          <cell r="C2456">
            <v>20014380</v>
          </cell>
          <cell r="D2456">
            <v>44326</v>
          </cell>
        </row>
        <row r="2457">
          <cell r="A2457" t="str">
            <v>Claudio Nascimento Dias Galuchi</v>
          </cell>
          <cell r="B2457">
            <v>37005569</v>
          </cell>
          <cell r="C2457">
            <v>20014498</v>
          </cell>
          <cell r="D2457">
            <v>44298</v>
          </cell>
        </row>
        <row r="2458">
          <cell r="A2458" t="str">
            <v>Leticia Fernanda Santos</v>
          </cell>
          <cell r="B2458">
            <v>37005361</v>
          </cell>
          <cell r="C2458">
            <v>20015580</v>
          </cell>
          <cell r="D2458">
            <v>44244</v>
          </cell>
        </row>
        <row r="2459">
          <cell r="A2459" t="str">
            <v>Jose Roberto Nunes Leite</v>
          </cell>
          <cell r="B2459">
            <v>37005934</v>
          </cell>
          <cell r="C2459">
            <v>20015642</v>
          </cell>
          <cell r="D2459">
            <v>44382</v>
          </cell>
        </row>
        <row r="2460">
          <cell r="A2460" t="str">
            <v>Isabella Beatriz Gomes Assuncao Campos</v>
          </cell>
          <cell r="B2460">
            <v>37006007</v>
          </cell>
          <cell r="C2460">
            <v>20015653</v>
          </cell>
          <cell r="D2460">
            <v>44389</v>
          </cell>
        </row>
        <row r="2461">
          <cell r="A2461" t="str">
            <v>Nelson Abe Souza Lima</v>
          </cell>
          <cell r="B2461">
            <v>37006003</v>
          </cell>
          <cell r="C2461">
            <v>20015654</v>
          </cell>
          <cell r="D2461">
            <v>44389</v>
          </cell>
        </row>
        <row r="2462">
          <cell r="A2462" t="str">
            <v>Marcos Haziro</v>
          </cell>
          <cell r="B2462">
            <v>37005995</v>
          </cell>
          <cell r="C2462">
            <v>20015655</v>
          </cell>
          <cell r="D2462">
            <v>44389</v>
          </cell>
        </row>
        <row r="2463">
          <cell r="A2463" t="str">
            <v>Renata Graciana Da Silva</v>
          </cell>
          <cell r="B2463">
            <v>37006017</v>
          </cell>
          <cell r="C2463">
            <v>20015659</v>
          </cell>
          <cell r="D2463">
            <v>44396</v>
          </cell>
        </row>
        <row r="2464">
          <cell r="A2464" t="str">
            <v>Janio Fabio De Oliveira Arruda</v>
          </cell>
          <cell r="B2464">
            <v>37006021</v>
          </cell>
          <cell r="C2464">
            <v>20015661</v>
          </cell>
          <cell r="D2464">
            <v>44396</v>
          </cell>
        </row>
        <row r="2465">
          <cell r="A2465" t="str">
            <v>Alexandre Rodrigues</v>
          </cell>
          <cell r="B2465">
            <v>37005806</v>
          </cell>
          <cell r="C2465">
            <v>20016035</v>
          </cell>
          <cell r="D2465">
            <v>44348</v>
          </cell>
        </row>
        <row r="2466">
          <cell r="A2466" t="str">
            <v>Fabio Aparecido Paulo</v>
          </cell>
          <cell r="B2466">
            <v>37005801</v>
          </cell>
          <cell r="C2466">
            <v>20016037</v>
          </cell>
          <cell r="D2466">
            <v>44348</v>
          </cell>
        </row>
        <row r="2467">
          <cell r="A2467" t="str">
            <v>Reginaldo Aparecido De Oliveira</v>
          </cell>
          <cell r="B2467">
            <v>37005800</v>
          </cell>
          <cell r="C2467">
            <v>20016039</v>
          </cell>
          <cell r="D2467">
            <v>44348</v>
          </cell>
        </row>
        <row r="2468">
          <cell r="A2468" t="str">
            <v>Agnaldo Donizete Da Silva</v>
          </cell>
          <cell r="B2468">
            <v>37005835</v>
          </cell>
          <cell r="C2468">
            <v>20016053</v>
          </cell>
          <cell r="D2468">
            <v>44354</v>
          </cell>
        </row>
        <row r="2469">
          <cell r="A2469" t="str">
            <v>Adriano Aparecido Vieira</v>
          </cell>
          <cell r="B2469">
            <v>37005872</v>
          </cell>
          <cell r="C2469">
            <v>20016093</v>
          </cell>
          <cell r="D2469">
            <v>44368</v>
          </cell>
        </row>
        <row r="2470">
          <cell r="A2470" t="str">
            <v>Alexandro Querina Garcia</v>
          </cell>
          <cell r="B2470">
            <v>37005886</v>
          </cell>
          <cell r="C2470">
            <v>20016094</v>
          </cell>
          <cell r="D2470">
            <v>44368</v>
          </cell>
        </row>
        <row r="2471">
          <cell r="A2471" t="str">
            <v>Celso Ricardo De Freitas</v>
          </cell>
          <cell r="B2471">
            <v>37005894</v>
          </cell>
          <cell r="C2471">
            <v>20016095</v>
          </cell>
          <cell r="D2471">
            <v>44368</v>
          </cell>
        </row>
        <row r="2472">
          <cell r="A2472" t="str">
            <v>Sinval Alves Nunes</v>
          </cell>
          <cell r="B2472">
            <v>37005887</v>
          </cell>
          <cell r="C2472">
            <v>20016101</v>
          </cell>
          <cell r="D2472">
            <v>44368</v>
          </cell>
        </row>
        <row r="2473">
          <cell r="A2473" t="str">
            <v>Murilo Leite Faria Lima</v>
          </cell>
          <cell r="B2473">
            <v>37006112</v>
          </cell>
          <cell r="C2473">
            <v>20016884</v>
          </cell>
          <cell r="D2473">
            <v>44417</v>
          </cell>
        </row>
        <row r="2474">
          <cell r="A2474" t="str">
            <v>Alessandra Regina Soares De Lima Couto</v>
          </cell>
          <cell r="B2474">
            <v>37006319</v>
          </cell>
          <cell r="C2474">
            <v>20017046</v>
          </cell>
          <cell r="D2474">
            <v>44447</v>
          </cell>
        </row>
        <row r="2475">
          <cell r="A2475" t="str">
            <v>Jose Alexandre De Carvalho</v>
          </cell>
          <cell r="B2475">
            <v>37006452</v>
          </cell>
          <cell r="C2475">
            <v>20017858</v>
          </cell>
          <cell r="D2475">
            <v>44459</v>
          </cell>
        </row>
        <row r="2476">
          <cell r="A2476" t="str">
            <v>Gean Lopes Magalhaes Lobo</v>
          </cell>
          <cell r="B2476">
            <v>37006136</v>
          </cell>
          <cell r="C2476">
            <v>20017903</v>
          </cell>
          <cell r="D2476">
            <v>44417</v>
          </cell>
        </row>
        <row r="2477">
          <cell r="A2477" t="str">
            <v>Manolo De Freitas Gasparotto</v>
          </cell>
          <cell r="B2477">
            <v>37006137</v>
          </cell>
          <cell r="C2477">
            <v>20017904</v>
          </cell>
          <cell r="D2477">
            <v>44417</v>
          </cell>
        </row>
        <row r="2478">
          <cell r="A2478" t="str">
            <v>Nelio Medeiros Dos Santos</v>
          </cell>
          <cell r="B2478">
            <v>37006138</v>
          </cell>
          <cell r="C2478">
            <v>20017905</v>
          </cell>
          <cell r="D2478">
            <v>44417</v>
          </cell>
        </row>
        <row r="2479">
          <cell r="A2479" t="str">
            <v>Ely Marchel Oliveira De Araujo</v>
          </cell>
          <cell r="B2479">
            <v>37006141</v>
          </cell>
          <cell r="C2479">
            <v>20017907</v>
          </cell>
          <cell r="D2479">
            <v>44417</v>
          </cell>
        </row>
        <row r="2480">
          <cell r="A2480" t="str">
            <v>Alexander De Souza</v>
          </cell>
          <cell r="B2480">
            <v>37006300</v>
          </cell>
          <cell r="C2480">
            <v>20017928</v>
          </cell>
          <cell r="D2480">
            <v>44440</v>
          </cell>
        </row>
        <row r="2481">
          <cell r="A2481" t="str">
            <v>Carlos Eduardo Dias De Andrade</v>
          </cell>
          <cell r="B2481">
            <v>37006490</v>
          </cell>
          <cell r="C2481">
            <v>20017966</v>
          </cell>
          <cell r="D2481">
            <v>44459</v>
          </cell>
        </row>
        <row r="2482">
          <cell r="A2482" t="str">
            <v>Leonardo De Sousa Santos</v>
          </cell>
          <cell r="B2482">
            <v>37006568</v>
          </cell>
          <cell r="C2482">
            <v>20018142</v>
          </cell>
          <cell r="D2482">
            <v>44473</v>
          </cell>
        </row>
        <row r="2483">
          <cell r="A2483" t="str">
            <v>Alex Wendell Da Silva Rodrigues</v>
          </cell>
          <cell r="B2483">
            <v>37006582</v>
          </cell>
          <cell r="C2483">
            <v>20018155</v>
          </cell>
          <cell r="D2483">
            <v>44482</v>
          </cell>
        </row>
        <row r="2484">
          <cell r="A2484" t="str">
            <v>Joao Vera Pelegrino</v>
          </cell>
          <cell r="B2484">
            <v>37006599</v>
          </cell>
          <cell r="C2484">
            <v>20018169</v>
          </cell>
          <cell r="D2484">
            <v>44482</v>
          </cell>
        </row>
        <row r="2485">
          <cell r="A2485" t="str">
            <v>Regina Celia De Sousa</v>
          </cell>
          <cell r="B2485">
            <v>37006615</v>
          </cell>
          <cell r="C2485">
            <v>20018181</v>
          </cell>
          <cell r="D2485">
            <v>44487</v>
          </cell>
        </row>
        <row r="2486">
          <cell r="A2486" t="str">
            <v>Julia Pelegrina De Oliveira</v>
          </cell>
          <cell r="B2486">
            <v>37006413</v>
          </cell>
          <cell r="C2486">
            <v>20018970</v>
          </cell>
          <cell r="D2486">
            <v>44455</v>
          </cell>
        </row>
        <row r="2487">
          <cell r="A2487" t="str">
            <v>Jose Augusto Alves Dos Santos</v>
          </cell>
          <cell r="B2487">
            <v>37006765</v>
          </cell>
          <cell r="C2487">
            <v>20019107</v>
          </cell>
          <cell r="D2487">
            <v>44522</v>
          </cell>
        </row>
        <row r="2488">
          <cell r="A2488" t="str">
            <v>Emanuella Cavalcanti Barros</v>
          </cell>
          <cell r="B2488">
            <v>37006811</v>
          </cell>
          <cell r="C2488">
            <v>20019108</v>
          </cell>
          <cell r="D2488">
            <v>44531</v>
          </cell>
        </row>
        <row r="2489">
          <cell r="A2489" t="str">
            <v>Uilian Carlos Calixto Da Silva</v>
          </cell>
          <cell r="B2489">
            <v>37006196</v>
          </cell>
          <cell r="C2489">
            <v>20019960</v>
          </cell>
          <cell r="D2489">
            <v>44424</v>
          </cell>
        </row>
        <row r="2490">
          <cell r="A2490" t="str">
            <v>Enzo Oliveira Paccola</v>
          </cell>
          <cell r="B2490">
            <v>37006709</v>
          </cell>
          <cell r="C2490">
            <v>20019984</v>
          </cell>
          <cell r="D2490">
            <v>44508</v>
          </cell>
        </row>
        <row r="2491">
          <cell r="A2491" t="str">
            <v>Yara Cristina Gaziro</v>
          </cell>
          <cell r="B2491">
            <v>37006820</v>
          </cell>
          <cell r="C2491">
            <v>20019997</v>
          </cell>
          <cell r="D2491">
            <v>44531</v>
          </cell>
        </row>
        <row r="2492">
          <cell r="A2492" t="str">
            <v>Emerson Augusto Germino</v>
          </cell>
          <cell r="B2492">
            <v>37006833</v>
          </cell>
          <cell r="C2492">
            <v>20020009</v>
          </cell>
          <cell r="D2492">
            <v>44536</v>
          </cell>
        </row>
        <row r="2493">
          <cell r="A2493" t="str">
            <v>Juliane Mazzetto</v>
          </cell>
          <cell r="B2493">
            <v>37006958</v>
          </cell>
          <cell r="C2493">
            <v>20021012</v>
          </cell>
          <cell r="D2493">
            <v>44571</v>
          </cell>
        </row>
        <row r="2494">
          <cell r="A2494" t="str">
            <v>Leticia Scudeletti Leme</v>
          </cell>
          <cell r="B2494">
            <v>37007219</v>
          </cell>
          <cell r="C2494">
            <v>20023019</v>
          </cell>
          <cell r="D2494">
            <v>44622</v>
          </cell>
        </row>
        <row r="2495">
          <cell r="A2495" t="str">
            <v>Leiliane Dias Barbosa Silva</v>
          </cell>
          <cell r="B2495">
            <v>37007229</v>
          </cell>
          <cell r="C2495">
            <v>20023028</v>
          </cell>
          <cell r="D2495">
            <v>44622</v>
          </cell>
        </row>
        <row r="2496">
          <cell r="A2496" t="str">
            <v>Muriel Peixoto Caum</v>
          </cell>
          <cell r="B2496">
            <v>37004685</v>
          </cell>
          <cell r="C2496">
            <v>20010068</v>
          </cell>
          <cell r="D2496">
            <v>44046</v>
          </cell>
        </row>
        <row r="2497">
          <cell r="A2497" t="str">
            <v>Tainy Liara De Carvalho Possoni</v>
          </cell>
          <cell r="B2497">
            <v>37007282</v>
          </cell>
          <cell r="C2497">
            <v>20023657</v>
          </cell>
          <cell r="D2497">
            <v>44634</v>
          </cell>
        </row>
        <row r="2498">
          <cell r="A2498" t="str">
            <v>Gastao De Moraes Fuentes</v>
          </cell>
          <cell r="B2498">
            <v>37007286</v>
          </cell>
          <cell r="C2498">
            <v>20023659</v>
          </cell>
          <cell r="D2498">
            <v>44634</v>
          </cell>
        </row>
        <row r="2499">
          <cell r="A2499" t="str">
            <v>Higor Daniel Pereira</v>
          </cell>
          <cell r="B2499">
            <v>37004126</v>
          </cell>
          <cell r="C2499">
            <v>20008192</v>
          </cell>
          <cell r="D2499">
            <v>43843</v>
          </cell>
        </row>
        <row r="2500">
          <cell r="A2500" t="str">
            <v>Diego Giorgetti Boaventura</v>
          </cell>
          <cell r="B2500">
            <v>37007436</v>
          </cell>
          <cell r="C2500">
            <v>20025483</v>
          </cell>
          <cell r="D2500">
            <v>44662</v>
          </cell>
        </row>
        <row r="2501">
          <cell r="A2501" t="str">
            <v>Guilherme Coelho Feijoo</v>
          </cell>
          <cell r="B2501">
            <v>37007703</v>
          </cell>
          <cell r="C2501">
            <v>20025767</v>
          </cell>
          <cell r="D2501">
            <v>44690</v>
          </cell>
        </row>
        <row r="2502">
          <cell r="A2502" t="str">
            <v>Anaisa Maria Gois De Oliveira</v>
          </cell>
          <cell r="B2502">
            <v>37008022</v>
          </cell>
          <cell r="C2502">
            <v>20025977</v>
          </cell>
          <cell r="D2502">
            <v>44713</v>
          </cell>
        </row>
        <row r="2503">
          <cell r="A2503" t="str">
            <v>Juliette Dos Santos</v>
          </cell>
          <cell r="B2503">
            <v>37008002</v>
          </cell>
          <cell r="C2503">
            <v>20025979</v>
          </cell>
          <cell r="D2503">
            <v>44713</v>
          </cell>
        </row>
        <row r="2504">
          <cell r="A2504" t="str">
            <v>Franciele Domingues De Oliveira</v>
          </cell>
          <cell r="B2504">
            <v>37007986</v>
          </cell>
          <cell r="C2504">
            <v>20025986</v>
          </cell>
          <cell r="D2504">
            <v>44713</v>
          </cell>
        </row>
        <row r="2505">
          <cell r="A2505" t="str">
            <v>Rodrigo Novais Junker</v>
          </cell>
          <cell r="B2505">
            <v>37007944</v>
          </cell>
          <cell r="C2505">
            <v>20026053</v>
          </cell>
          <cell r="D2505">
            <v>44713</v>
          </cell>
        </row>
        <row r="2506">
          <cell r="A2506" t="str">
            <v>Cristiane De Melo Fernandes</v>
          </cell>
          <cell r="B2506">
            <v>37007961</v>
          </cell>
          <cell r="C2506">
            <v>20026061</v>
          </cell>
          <cell r="D2506">
            <v>44713</v>
          </cell>
        </row>
        <row r="2507">
          <cell r="A2507" t="str">
            <v>Paula De Araujo Nunes</v>
          </cell>
          <cell r="B2507">
            <v>37008627</v>
          </cell>
          <cell r="C2507">
            <v>20027951</v>
          </cell>
          <cell r="D2507">
            <v>44760</v>
          </cell>
        </row>
        <row r="2508">
          <cell r="A2508" t="str">
            <v>Wesley Cristiano De Souza</v>
          </cell>
          <cell r="B2508">
            <v>37008658</v>
          </cell>
          <cell r="C2508">
            <v>20028362</v>
          </cell>
          <cell r="D2508">
            <v>44760</v>
          </cell>
        </row>
        <row r="2509">
          <cell r="A2509" t="str">
            <v>Carina Alves Ferreira</v>
          </cell>
          <cell r="B2509">
            <v>37008669</v>
          </cell>
          <cell r="C2509">
            <v>20028360</v>
          </cell>
          <cell r="D2509">
            <v>44760</v>
          </cell>
        </row>
        <row r="2510">
          <cell r="A2510" t="str">
            <v>Liliane Priscila Mantoan Goncalves</v>
          </cell>
          <cell r="B2510">
            <v>37008660</v>
          </cell>
          <cell r="C2510">
            <v>20028641</v>
          </cell>
          <cell r="D2510">
            <v>44760</v>
          </cell>
        </row>
        <row r="2511">
          <cell r="A2511" t="str">
            <v>Tatiane Regina Zafani Dos Santos</v>
          </cell>
          <cell r="B2511">
            <v>37006866</v>
          </cell>
          <cell r="C2511">
            <v>20019484</v>
          </cell>
          <cell r="D2511">
            <v>44536</v>
          </cell>
        </row>
        <row r="2512">
          <cell r="A2512" t="str">
            <v>Juliane Cristina Domingues</v>
          </cell>
          <cell r="B2512">
            <v>37008777</v>
          </cell>
          <cell r="C2512">
            <v>20031103</v>
          </cell>
          <cell r="D2512">
            <v>44774</v>
          </cell>
        </row>
        <row r="2513">
          <cell r="A2513" t="str">
            <v>Brisaterra De Jesus Lemos</v>
          </cell>
          <cell r="B2513">
            <v>37009152</v>
          </cell>
          <cell r="C2513">
            <v>20031842</v>
          </cell>
          <cell r="D2513">
            <v>44795</v>
          </cell>
        </row>
        <row r="2514">
          <cell r="A2514" t="str">
            <v>Josiane Alencar De Lima</v>
          </cell>
          <cell r="B2514">
            <v>37008761</v>
          </cell>
          <cell r="C2514">
            <v>20032367</v>
          </cell>
          <cell r="D2514">
            <v>44774</v>
          </cell>
        </row>
        <row r="2515">
          <cell r="A2515" t="str">
            <v>Nikelin Minetto Da Silva</v>
          </cell>
          <cell r="B2515">
            <v>37008767</v>
          </cell>
          <cell r="C2515">
            <v>20032414</v>
          </cell>
          <cell r="D2515">
            <v>44774</v>
          </cell>
        </row>
        <row r="2516">
          <cell r="A2516" t="str">
            <v>Adriane Silva Segura</v>
          </cell>
          <cell r="B2516">
            <v>37006867</v>
          </cell>
          <cell r="C2516">
            <v>20019483</v>
          </cell>
          <cell r="D2516">
            <v>44536</v>
          </cell>
        </row>
        <row r="2517">
          <cell r="A2517" t="str">
            <v>Anelise Cypreste Santos</v>
          </cell>
          <cell r="B2517">
            <v>37009450</v>
          </cell>
          <cell r="C2517">
            <v>20034018</v>
          </cell>
          <cell r="D2517">
            <v>44823</v>
          </cell>
        </row>
        <row r="2518">
          <cell r="A2518" t="str">
            <v>Michele Gotchalk Pereira Farias</v>
          </cell>
          <cell r="B2518">
            <v>37009470</v>
          </cell>
          <cell r="C2518">
            <v>20034182</v>
          </cell>
          <cell r="D2518">
            <v>44823</v>
          </cell>
        </row>
        <row r="2519">
          <cell r="A2519" t="str">
            <v>Debora Cristina Martins Tamborim</v>
          </cell>
          <cell r="B2519">
            <v>37009472</v>
          </cell>
          <cell r="C2519">
            <v>20034266</v>
          </cell>
          <cell r="D2519">
            <v>44823</v>
          </cell>
        </row>
        <row r="2520">
          <cell r="A2520" t="str">
            <v>Marcilene Maria Dos Reis Martins</v>
          </cell>
          <cell r="B2520">
            <v>37009554</v>
          </cell>
          <cell r="C2520">
            <v>20035254</v>
          </cell>
          <cell r="D2520">
            <v>44837</v>
          </cell>
        </row>
        <row r="2521">
          <cell r="A2521" t="str">
            <v>Fernando Aparecido Collino</v>
          </cell>
          <cell r="B2521">
            <v>37009564</v>
          </cell>
          <cell r="C2521">
            <v>20035377</v>
          </cell>
          <cell r="D2521">
            <v>44837</v>
          </cell>
        </row>
        <row r="2522">
          <cell r="A2522" t="str">
            <v>Maria Do Carmo Marcondes Correa Guimarae</v>
          </cell>
          <cell r="B2522">
            <v>37005618</v>
          </cell>
          <cell r="C2522">
            <v>20014378</v>
          </cell>
          <cell r="D2522">
            <v>44319</v>
          </cell>
        </row>
        <row r="2523">
          <cell r="A2523" t="str">
            <v>Tamires Rezende Araujo Castro</v>
          </cell>
          <cell r="B2523">
            <v>37009750</v>
          </cell>
          <cell r="C2523">
            <v>20036476</v>
          </cell>
          <cell r="D2523">
            <v>44851</v>
          </cell>
        </row>
        <row r="2524">
          <cell r="A2524" t="str">
            <v>Bianca Caroline Oliveira De Araujo</v>
          </cell>
          <cell r="B2524">
            <v>37004921</v>
          </cell>
          <cell r="C2524">
            <v>20008469</v>
          </cell>
          <cell r="D2524">
            <v>44109</v>
          </cell>
        </row>
        <row r="2525">
          <cell r="A2525" t="str">
            <v>Lilaine Gomes Cirilo</v>
          </cell>
          <cell r="B2525">
            <v>37003946</v>
          </cell>
          <cell r="C2525">
            <v>20009495</v>
          </cell>
          <cell r="D2525">
            <v>43780</v>
          </cell>
        </row>
        <row r="2526">
          <cell r="A2526" t="str">
            <v>Thais Regina Rodrigues</v>
          </cell>
          <cell r="B2526">
            <v>37007754</v>
          </cell>
          <cell r="C2526">
            <v>20026103</v>
          </cell>
          <cell r="D2526">
            <v>44704</v>
          </cell>
        </row>
        <row r="2527">
          <cell r="A2527" t="str">
            <v>Giovana Luiza Torres Galvao</v>
          </cell>
          <cell r="B2527">
            <v>37000995</v>
          </cell>
          <cell r="C2527">
            <v>20009179</v>
          </cell>
          <cell r="D2527">
            <v>40945</v>
          </cell>
        </row>
        <row r="2528">
          <cell r="A2528" t="str">
            <v>Erick Satoshi Metorima</v>
          </cell>
          <cell r="B2528">
            <v>37004544</v>
          </cell>
          <cell r="C2528">
            <v>20009014</v>
          </cell>
          <cell r="D2528">
            <v>43955</v>
          </cell>
        </row>
        <row r="2529">
          <cell r="A2529" t="str">
            <v>Allan Cherre Silva</v>
          </cell>
          <cell r="B2529">
            <v>37003697</v>
          </cell>
          <cell r="C2529">
            <v>20008563</v>
          </cell>
          <cell r="D2529">
            <v>43726</v>
          </cell>
        </row>
        <row r="2530">
          <cell r="A2530" t="str">
            <v>Vanessa Dal Ben Coneglian</v>
          </cell>
          <cell r="B2530">
            <v>37004532</v>
          </cell>
          <cell r="C2530">
            <v>20008331</v>
          </cell>
          <cell r="D2530">
            <v>43929</v>
          </cell>
        </row>
        <row r="2531">
          <cell r="A2531" t="str">
            <v>Daniel Campesato Rodrigues</v>
          </cell>
          <cell r="B2531">
            <v>37003941</v>
          </cell>
          <cell r="C2531">
            <v>20008853</v>
          </cell>
          <cell r="D2531">
            <v>43780</v>
          </cell>
        </row>
        <row r="2532">
          <cell r="A2532" t="str">
            <v>Tabita Adrieli Gomes Angelico</v>
          </cell>
          <cell r="B2532">
            <v>37009808</v>
          </cell>
          <cell r="C2532">
            <v>20037078</v>
          </cell>
          <cell r="D2532">
            <v>44872</v>
          </cell>
        </row>
        <row r="2533">
          <cell r="A2533" t="str">
            <v>Henrique Barraviera Ribeiro</v>
          </cell>
          <cell r="B2533">
            <v>37009986</v>
          </cell>
          <cell r="C2533">
            <v>20037098</v>
          </cell>
          <cell r="D2533">
            <v>44872</v>
          </cell>
        </row>
        <row r="2534">
          <cell r="A2534" t="str">
            <v>Paulo Henrique Da Silva</v>
          </cell>
          <cell r="B2534">
            <v>37009841</v>
          </cell>
          <cell r="C2534">
            <v>20037147</v>
          </cell>
          <cell r="D2534">
            <v>44872</v>
          </cell>
        </row>
        <row r="2535">
          <cell r="A2535" t="str">
            <v>Daniel Rodrigues Da Silva</v>
          </cell>
          <cell r="B2535">
            <v>37009850</v>
          </cell>
          <cell r="C2535">
            <v>20037157</v>
          </cell>
          <cell r="D2535">
            <v>44872</v>
          </cell>
        </row>
        <row r="2536">
          <cell r="A2536" t="str">
            <v>Manoel Luiz Da Vinha De Araujo</v>
          </cell>
          <cell r="B2536">
            <v>37002852</v>
          </cell>
          <cell r="C2536">
            <v>20009583</v>
          </cell>
          <cell r="D2536">
            <v>43479</v>
          </cell>
        </row>
        <row r="2537">
          <cell r="A2537" t="str">
            <v>Silvia Helena Rafaeli Da Silva</v>
          </cell>
          <cell r="B2537">
            <v>37000473</v>
          </cell>
          <cell r="C2537">
            <v>20009931</v>
          </cell>
          <cell r="D2537">
            <v>38943</v>
          </cell>
        </row>
        <row r="2538">
          <cell r="A2538" t="str">
            <v>Juvenilson Jesus Souza Correia</v>
          </cell>
          <cell r="B2538">
            <v>37009966</v>
          </cell>
          <cell r="C2538">
            <v>20037484</v>
          </cell>
          <cell r="D2538">
            <v>44872</v>
          </cell>
        </row>
        <row r="2539">
          <cell r="A2539" t="str">
            <v>Rodrigo Vieira De Carvalho</v>
          </cell>
          <cell r="B2539">
            <v>37009964</v>
          </cell>
          <cell r="C2539">
            <v>20037482</v>
          </cell>
          <cell r="D2539">
            <v>44872</v>
          </cell>
        </row>
        <row r="2540">
          <cell r="A2540" t="str">
            <v>Jennifer Dos Santos Silva</v>
          </cell>
          <cell r="B2540">
            <v>37010113</v>
          </cell>
          <cell r="C2540">
            <v>20038236</v>
          </cell>
          <cell r="D2540">
            <v>44886</v>
          </cell>
        </row>
        <row r="2541">
          <cell r="A2541" t="str">
            <v>Alessandra Cristina Farias De Souza</v>
          </cell>
          <cell r="B2541">
            <v>37010185</v>
          </cell>
          <cell r="C2541">
            <v>20038583</v>
          </cell>
          <cell r="D2541">
            <v>44886</v>
          </cell>
        </row>
        <row r="2542">
          <cell r="A2542" t="str">
            <v>Daniel De Freitas Reghini</v>
          </cell>
          <cell r="B2542">
            <v>37010244</v>
          </cell>
          <cell r="C2542">
            <v>20038855</v>
          </cell>
          <cell r="D2542">
            <v>44900</v>
          </cell>
        </row>
        <row r="2543">
          <cell r="A2543" t="str">
            <v>Solange Pelegrino D Nicolai</v>
          </cell>
          <cell r="B2543">
            <v>37010320</v>
          </cell>
          <cell r="C2543">
            <v>20038996</v>
          </cell>
          <cell r="D2543">
            <v>44900</v>
          </cell>
        </row>
        <row r="2544">
          <cell r="A2544" t="str">
            <v>Eduardo De Campos Queiroz</v>
          </cell>
          <cell r="B2544">
            <v>37010349</v>
          </cell>
          <cell r="C2544">
            <v>20039063</v>
          </cell>
          <cell r="D2544">
            <v>44896</v>
          </cell>
        </row>
        <row r="2545">
          <cell r="A2545" t="str">
            <v>Maiara Aderian Francisco Rodrigues</v>
          </cell>
          <cell r="B2545">
            <v>37005412</v>
          </cell>
          <cell r="C2545">
            <v>20015585</v>
          </cell>
          <cell r="D2545">
            <v>44256</v>
          </cell>
        </row>
        <row r="2546">
          <cell r="A2546" t="str">
            <v>Cibele De Souza</v>
          </cell>
          <cell r="B2546">
            <v>37010428</v>
          </cell>
          <cell r="C2546">
            <v>20039732</v>
          </cell>
          <cell r="D2546">
            <v>44907</v>
          </cell>
        </row>
        <row r="2547">
          <cell r="A2547" t="str">
            <v>Deivid Ezequias Baldassi</v>
          </cell>
          <cell r="B2547">
            <v>37010456</v>
          </cell>
          <cell r="C2547">
            <v>20039963</v>
          </cell>
          <cell r="D2547">
            <v>44907</v>
          </cell>
        </row>
        <row r="2548">
          <cell r="A2548" t="str">
            <v>Lais Fernanda Pereira Carvalho</v>
          </cell>
          <cell r="B2548">
            <v>37010552</v>
          </cell>
          <cell r="C2548">
            <v>20040289</v>
          </cell>
          <cell r="D2548">
            <v>44914</v>
          </cell>
        </row>
        <row r="2549">
          <cell r="A2549" t="str">
            <v>Nilson Campos Pereira</v>
          </cell>
          <cell r="B2549">
            <v>37010553</v>
          </cell>
          <cell r="C2549">
            <v>20040290</v>
          </cell>
          <cell r="D2549">
            <v>44914</v>
          </cell>
        </row>
        <row r="2550">
          <cell r="A2550" t="str">
            <v>Tatiane Baldo</v>
          </cell>
          <cell r="B2550">
            <v>37010568</v>
          </cell>
          <cell r="C2550">
            <v>20040421</v>
          </cell>
          <cell r="D2550">
            <v>44914</v>
          </cell>
        </row>
        <row r="2551">
          <cell r="A2551" t="str">
            <v>Vagner Marcelino De Miranda</v>
          </cell>
          <cell r="B2551">
            <v>37010579</v>
          </cell>
          <cell r="C2551">
            <v>20040494</v>
          </cell>
          <cell r="D2551">
            <v>44930</v>
          </cell>
        </row>
        <row r="2552">
          <cell r="A2552" t="str">
            <v>Flavio Marques De Oliveira</v>
          </cell>
          <cell r="B2552">
            <v>37000221</v>
          </cell>
          <cell r="C2552">
            <v>20009114</v>
          </cell>
          <cell r="D2552">
            <v>35328</v>
          </cell>
        </row>
        <row r="2553">
          <cell r="A2553" t="str">
            <v>Erica Von Glehn</v>
          </cell>
          <cell r="B2553">
            <v>37010584</v>
          </cell>
          <cell r="C2553">
            <v>20040499</v>
          </cell>
          <cell r="D2553">
            <v>44930</v>
          </cell>
        </row>
        <row r="2554">
          <cell r="A2554" t="str">
            <v>Monica Aparecida Dos Reis Silva</v>
          </cell>
          <cell r="B2554" t="e">
            <v>#N/A</v>
          </cell>
          <cell r="C2554">
            <v>20014804</v>
          </cell>
          <cell r="D2554" t="e">
            <v>#N/A</v>
          </cell>
        </row>
        <row r="2555">
          <cell r="A2555" t="str">
            <v>Rafael Alves Moreira</v>
          </cell>
          <cell r="B2555">
            <v>37010719</v>
          </cell>
          <cell r="C2555">
            <v>20040881</v>
          </cell>
          <cell r="D2555">
            <v>44935</v>
          </cell>
        </row>
        <row r="2556">
          <cell r="A2556" t="str">
            <v>Eduardo Fernando Vieira Barbosa</v>
          </cell>
          <cell r="B2556">
            <v>37010732</v>
          </cell>
          <cell r="C2556">
            <v>20040887</v>
          </cell>
          <cell r="D2556">
            <v>44935</v>
          </cell>
        </row>
        <row r="2557">
          <cell r="A2557" t="str">
            <v>Andre Ponciano</v>
          </cell>
          <cell r="B2557">
            <v>37005868</v>
          </cell>
          <cell r="C2557">
            <v>20015628</v>
          </cell>
          <cell r="D2557">
            <v>44368</v>
          </cell>
        </row>
        <row r="2558">
          <cell r="A2558" t="str">
            <v>Bruno Perroni Vita</v>
          </cell>
          <cell r="B2558">
            <v>37004336</v>
          </cell>
          <cell r="C2558">
            <v>20004658</v>
          </cell>
          <cell r="D2558">
            <v>43865</v>
          </cell>
        </row>
        <row r="2559">
          <cell r="A2559" t="str">
            <v>RICARDO MENDES DE SOUZA</v>
          </cell>
          <cell r="B2559">
            <v>37010805</v>
          </cell>
          <cell r="C2559">
            <v>20041187</v>
          </cell>
          <cell r="D2559">
            <v>44942</v>
          </cell>
        </row>
        <row r="2560">
          <cell r="A2560" t="str">
            <v>Bruno Gabriel De Freitas Carvalho</v>
          </cell>
          <cell r="B2560">
            <v>37010825</v>
          </cell>
          <cell r="C2560">
            <v>20041221</v>
          </cell>
          <cell r="D2560">
            <v>44942</v>
          </cell>
        </row>
        <row r="2561">
          <cell r="A2561" t="str">
            <v>Gilmar Sant Ana Junior</v>
          </cell>
          <cell r="B2561">
            <v>37010885</v>
          </cell>
          <cell r="C2561">
            <v>20041283</v>
          </cell>
          <cell r="D2561">
            <v>44942</v>
          </cell>
        </row>
        <row r="2562">
          <cell r="A2562" t="str">
            <v>Juliano Wellington Modesto Orlandi</v>
          </cell>
          <cell r="B2562">
            <v>37008867</v>
          </cell>
          <cell r="C2562">
            <v>20034913</v>
          </cell>
          <cell r="D2562">
            <v>44777</v>
          </cell>
        </row>
        <row r="2563">
          <cell r="A2563" t="str">
            <v>Patrick Da Rocha Hermann</v>
          </cell>
          <cell r="B2563">
            <v>37004306</v>
          </cell>
          <cell r="C2563">
            <v>20008268</v>
          </cell>
          <cell r="D2563">
            <v>43864</v>
          </cell>
        </row>
        <row r="2564">
          <cell r="A2564" t="str">
            <v>Robson Soares Dos Anjos</v>
          </cell>
          <cell r="B2564">
            <v>37001380</v>
          </cell>
          <cell r="C2564">
            <v>20009858</v>
          </cell>
          <cell r="D2564">
            <v>41751</v>
          </cell>
        </row>
        <row r="2565">
          <cell r="A2565" t="str">
            <v>Vanessa Aparecida Pires</v>
          </cell>
          <cell r="B2565">
            <v>37000711</v>
          </cell>
          <cell r="C2565">
            <v>20010002</v>
          </cell>
          <cell r="D2565">
            <v>39818</v>
          </cell>
        </row>
        <row r="2566">
          <cell r="A2566" t="str">
            <v>Laryssa Nakayama Metorima</v>
          </cell>
          <cell r="B2566">
            <v>37010986</v>
          </cell>
          <cell r="C2566">
            <v>20041767</v>
          </cell>
          <cell r="D2566">
            <v>44958</v>
          </cell>
        </row>
        <row r="2567">
          <cell r="A2567" t="str">
            <v>Caio Roberto Bolonha</v>
          </cell>
          <cell r="B2567">
            <v>37010991</v>
          </cell>
          <cell r="C2567">
            <v>20041802</v>
          </cell>
          <cell r="D2567">
            <v>44958</v>
          </cell>
        </row>
        <row r="2568">
          <cell r="A2568" t="str">
            <v>Rubens Rigueira Junior</v>
          </cell>
          <cell r="B2568">
            <v>37004794</v>
          </cell>
          <cell r="C2568">
            <v>20008092</v>
          </cell>
          <cell r="D2568">
            <v>44067</v>
          </cell>
        </row>
        <row r="2569">
          <cell r="A2569" t="str">
            <v>Natalia Cristina Aguiar Putti</v>
          </cell>
          <cell r="B2569">
            <v>37011023</v>
          </cell>
          <cell r="C2569">
            <v>20041860</v>
          </cell>
          <cell r="D2569">
            <v>44963</v>
          </cell>
        </row>
        <row r="2570">
          <cell r="A2570" t="str">
            <v>Roseli Aparecida Da Silva</v>
          </cell>
          <cell r="B2570">
            <v>37001223</v>
          </cell>
          <cell r="C2570">
            <v>20009894</v>
          </cell>
          <cell r="D2570">
            <v>41505</v>
          </cell>
        </row>
        <row r="2571">
          <cell r="A2571" t="str">
            <v>Giovanni Oliva Pintucci</v>
          </cell>
          <cell r="B2571">
            <v>37004278</v>
          </cell>
          <cell r="C2571">
            <v>20009185</v>
          </cell>
          <cell r="D2571">
            <v>43864</v>
          </cell>
        </row>
        <row r="2572">
          <cell r="A2572" t="str">
            <v>Gustavo Furlan</v>
          </cell>
          <cell r="B2572">
            <v>37004679</v>
          </cell>
          <cell r="C2572">
            <v>20008368</v>
          </cell>
          <cell r="D2572">
            <v>44046</v>
          </cell>
        </row>
        <row r="2573">
          <cell r="A2573" t="str">
            <v>Jeferson Fernandes Ribeiro</v>
          </cell>
          <cell r="B2573">
            <v>37011374</v>
          </cell>
          <cell r="C2573">
            <v>20043856</v>
          </cell>
          <cell r="D2573">
            <v>44981</v>
          </cell>
        </row>
        <row r="2574">
          <cell r="A2574" t="str">
            <v>Gabriela Sanches Dolenc</v>
          </cell>
          <cell r="B2574">
            <v>37011386</v>
          </cell>
          <cell r="C2574">
            <v>20043868</v>
          </cell>
          <cell r="D2574">
            <v>44991</v>
          </cell>
        </row>
        <row r="2575">
          <cell r="A2575" t="str">
            <v>Renato da Silva Eugenio</v>
          </cell>
          <cell r="B2575">
            <v>37011395</v>
          </cell>
          <cell r="C2575">
            <v>20043876</v>
          </cell>
          <cell r="D2575">
            <v>44986</v>
          </cell>
        </row>
        <row r="2576">
          <cell r="A2576" t="str">
            <v>Andre Victor Bastos Torini</v>
          </cell>
          <cell r="B2576">
            <v>37011439</v>
          </cell>
          <cell r="C2576">
            <v>20044076</v>
          </cell>
          <cell r="D2576">
            <v>44986</v>
          </cell>
        </row>
        <row r="2577">
          <cell r="A2577" t="str">
            <v>Mustafa Umut Kafadar</v>
          </cell>
          <cell r="B2577">
            <v>37004880</v>
          </cell>
          <cell r="C2577">
            <v>20008416</v>
          </cell>
          <cell r="D2577">
            <v>44090</v>
          </cell>
        </row>
        <row r="2578">
          <cell r="A2578" t="str">
            <v>Dionis Maikon Souza Silva</v>
          </cell>
          <cell r="B2578">
            <v>37011458</v>
          </cell>
          <cell r="C2578">
            <v>20044117</v>
          </cell>
          <cell r="D2578">
            <v>44991</v>
          </cell>
        </row>
        <row r="2579">
          <cell r="A2579" t="str">
            <v>ROSIMEIRE APARECIDA NUNES</v>
          </cell>
          <cell r="B2579">
            <v>37011505</v>
          </cell>
          <cell r="C2579">
            <v>20044192</v>
          </cell>
          <cell r="D2579">
            <v>44991</v>
          </cell>
        </row>
        <row r="2580">
          <cell r="A2580" t="str">
            <v>Camila Antonia Batista</v>
          </cell>
          <cell r="B2580">
            <v>37000903</v>
          </cell>
          <cell r="C2580">
            <v>20008741</v>
          </cell>
          <cell r="D2580">
            <v>40728</v>
          </cell>
        </row>
        <row r="2581">
          <cell r="A2581" t="str">
            <v>Dormecino Hilario Junior</v>
          </cell>
          <cell r="B2581">
            <v>37011618</v>
          </cell>
          <cell r="C2581">
            <v>20044649</v>
          </cell>
          <cell r="D2581">
            <v>44991</v>
          </cell>
        </row>
        <row r="2582">
          <cell r="A2582" t="str">
            <v>Flavia Helena Avelino de Lima</v>
          </cell>
          <cell r="B2582">
            <v>37011658</v>
          </cell>
          <cell r="C2582">
            <v>20044827</v>
          </cell>
          <cell r="D2582">
            <v>44998</v>
          </cell>
        </row>
        <row r="2583">
          <cell r="A2583" t="str">
            <v>Clinton Clive Van Vught</v>
          </cell>
          <cell r="B2583">
            <v>37011796</v>
          </cell>
          <cell r="C2583">
            <v>20000946</v>
          </cell>
          <cell r="D2583">
            <v>44986</v>
          </cell>
        </row>
        <row r="2584">
          <cell r="A2584" t="str">
            <v>RAQUEL DIAS BARBOSA DE SOUZA</v>
          </cell>
          <cell r="B2584">
            <v>37011890</v>
          </cell>
          <cell r="C2584">
            <v>20046357</v>
          </cell>
          <cell r="D2584">
            <v>45005</v>
          </cell>
        </row>
        <row r="2585">
          <cell r="A2585" t="str">
            <v>Renato Romani</v>
          </cell>
          <cell r="B2585">
            <v>37011891</v>
          </cell>
          <cell r="C2585">
            <v>20046460</v>
          </cell>
          <cell r="D2585">
            <v>45005</v>
          </cell>
        </row>
        <row r="2586">
          <cell r="A2586" t="str">
            <v>Wagner Carvalho de Liz</v>
          </cell>
          <cell r="B2586">
            <v>37011904</v>
          </cell>
          <cell r="C2586">
            <v>20046488</v>
          </cell>
          <cell r="D2586">
            <v>45019</v>
          </cell>
        </row>
        <row r="2587">
          <cell r="A2587" t="str">
            <v>Marina Bertolaccini Guimaraes</v>
          </cell>
          <cell r="B2587">
            <v>37005289</v>
          </cell>
          <cell r="C2587">
            <v>20011110</v>
          </cell>
          <cell r="D2587">
            <v>44166</v>
          </cell>
        </row>
        <row r="2588">
          <cell r="A2588" t="str">
            <v>Danilo Aparecido Do Bonfim Bonalume</v>
          </cell>
          <cell r="B2588">
            <v>37011970</v>
          </cell>
          <cell r="C2588">
            <v>20046988</v>
          </cell>
          <cell r="D2588">
            <v>45019</v>
          </cell>
        </row>
        <row r="2589">
          <cell r="A2589" t="str">
            <v>Daiane Cristina Rangel</v>
          </cell>
          <cell r="B2589">
            <v>37003967</v>
          </cell>
          <cell r="C2589">
            <v>20008847</v>
          </cell>
          <cell r="D2589">
            <v>43787</v>
          </cell>
        </row>
        <row r="2590">
          <cell r="A2590" t="str">
            <v>Vitor Augusto Soares</v>
          </cell>
          <cell r="B2590">
            <v>37007167</v>
          </cell>
          <cell r="C2590">
            <v>20022970</v>
          </cell>
          <cell r="D2590">
            <v>44606</v>
          </cell>
        </row>
        <row r="2591">
          <cell r="A2591" t="str">
            <v>Lucas Henrique Perez</v>
          </cell>
          <cell r="B2591">
            <v>37005419</v>
          </cell>
          <cell r="C2591">
            <v>20013530</v>
          </cell>
          <cell r="D2591">
            <v>44258</v>
          </cell>
        </row>
        <row r="2592">
          <cell r="A2592" t="str">
            <v>Raphael Lucas De Oliveira</v>
          </cell>
          <cell r="B2592">
            <v>37004183</v>
          </cell>
          <cell r="C2592">
            <v>20008294</v>
          </cell>
          <cell r="D2592">
            <v>43850</v>
          </cell>
        </row>
        <row r="2593">
          <cell r="A2593" t="str">
            <v>Geovana Aparecida Silveira Furlan</v>
          </cell>
          <cell r="B2593">
            <v>37012180</v>
          </cell>
          <cell r="C2593">
            <v>20048378</v>
          </cell>
          <cell r="D2593">
            <v>45034</v>
          </cell>
        </row>
        <row r="2594">
          <cell r="A2594" t="str">
            <v>Mariana Brantes Vasques</v>
          </cell>
          <cell r="B2594">
            <v>37004765</v>
          </cell>
          <cell r="C2594">
            <v>20008392</v>
          </cell>
          <cell r="D2594">
            <v>44060</v>
          </cell>
        </row>
        <row r="2595">
          <cell r="A2595" t="str">
            <v>Maria da Natividade Afonso Ruas</v>
          </cell>
          <cell r="B2595">
            <v>37012156</v>
          </cell>
          <cell r="C2595">
            <v>20048384</v>
          </cell>
          <cell r="D2595">
            <v>45034</v>
          </cell>
        </row>
        <row r="2596">
          <cell r="A2596" t="str">
            <v>Robert Diego Goncalves</v>
          </cell>
          <cell r="B2596">
            <v>37012215</v>
          </cell>
          <cell r="C2596">
            <v>20048541</v>
          </cell>
          <cell r="D2596">
            <v>45034</v>
          </cell>
        </row>
        <row r="2597">
          <cell r="A2597" t="str">
            <v>Dyone Carlos Magnago Pereira</v>
          </cell>
          <cell r="B2597">
            <v>37012179</v>
          </cell>
          <cell r="C2597">
            <v>20047067</v>
          </cell>
          <cell r="D2597">
            <v>45034</v>
          </cell>
        </row>
        <row r="2598">
          <cell r="A2598" t="str">
            <v>Jussara Aparecida Franquin</v>
          </cell>
          <cell r="B2598">
            <v>37012359</v>
          </cell>
          <cell r="C2598">
            <v>20049635</v>
          </cell>
          <cell r="D2598">
            <v>45055</v>
          </cell>
        </row>
        <row r="2599">
          <cell r="A2599" t="str">
            <v>Larissa Martin Leodoro</v>
          </cell>
          <cell r="B2599">
            <v>37012452</v>
          </cell>
          <cell r="C2599">
            <v>20049752</v>
          </cell>
          <cell r="D2599">
            <v>45055</v>
          </cell>
        </row>
        <row r="2600">
          <cell r="A2600" t="str">
            <v>Richard Salomao Camilo Nunes</v>
          </cell>
          <cell r="B2600">
            <v>37007732</v>
          </cell>
          <cell r="C2600">
            <v>20025814</v>
          </cell>
          <cell r="D2600">
            <v>44697</v>
          </cell>
        </row>
        <row r="2601">
          <cell r="A2601" t="str">
            <v>Priscila Cristina Ferreira</v>
          </cell>
          <cell r="B2601">
            <v>37012510</v>
          </cell>
          <cell r="C2601">
            <v>20050222</v>
          </cell>
          <cell r="D2601">
            <v>45062</v>
          </cell>
        </row>
        <row r="2602">
          <cell r="A2602" t="str">
            <v>Caroline Carvalho Marques</v>
          </cell>
          <cell r="B2602">
            <v>37012501</v>
          </cell>
          <cell r="C2602">
            <v>20050213</v>
          </cell>
          <cell r="D2602">
            <v>45062</v>
          </cell>
        </row>
        <row r="2603">
          <cell r="A2603" t="str">
            <v>Rogerio Bertolani de Freitas</v>
          </cell>
          <cell r="B2603">
            <v>37012517</v>
          </cell>
          <cell r="C2603">
            <v>20050229</v>
          </cell>
          <cell r="D2603">
            <v>45062</v>
          </cell>
        </row>
        <row r="2604">
          <cell r="A2604" t="str">
            <v>Luis Flavio Quirino Reiser Gamba</v>
          </cell>
          <cell r="B2604">
            <v>37009589</v>
          </cell>
          <cell r="C2604">
            <v>20035417</v>
          </cell>
          <cell r="D2604">
            <v>44837</v>
          </cell>
        </row>
        <row r="2605">
          <cell r="A2605" t="str">
            <v>Ana Francisca Xavier Lima Sanchez</v>
          </cell>
          <cell r="B2605">
            <v>37012772</v>
          </cell>
          <cell r="C2605">
            <v>20051365</v>
          </cell>
          <cell r="D2605">
            <v>45083</v>
          </cell>
        </row>
        <row r="2606">
          <cell r="A2606" t="str">
            <v>Kaushik Roy</v>
          </cell>
          <cell r="B2606">
            <v>37012786</v>
          </cell>
          <cell r="C2606">
            <v>20051389</v>
          </cell>
          <cell r="D2606">
            <v>45070</v>
          </cell>
        </row>
        <row r="2607">
          <cell r="A2607" t="str">
            <v>Simony Silva Coelho</v>
          </cell>
          <cell r="B2607">
            <v>37012795</v>
          </cell>
          <cell r="C2607">
            <v>20051700</v>
          </cell>
          <cell r="D2607">
            <v>45083</v>
          </cell>
        </row>
        <row r="2608">
          <cell r="A2608" t="str">
            <v>NAIANE COSTA CALMON</v>
          </cell>
          <cell r="B2608">
            <v>37012836</v>
          </cell>
          <cell r="C2608">
            <v>20051791</v>
          </cell>
          <cell r="D2608">
            <v>45083</v>
          </cell>
        </row>
        <row r="2609">
          <cell r="A2609" t="str">
            <v>Bianca Pardin De Assis</v>
          </cell>
          <cell r="B2609">
            <v>37009054</v>
          </cell>
          <cell r="C2609">
            <v>20035409</v>
          </cell>
          <cell r="D2609">
            <v>44781</v>
          </cell>
        </row>
        <row r="2610">
          <cell r="A2610" t="str">
            <v>Leonardo Silva Oliveira</v>
          </cell>
          <cell r="B2610">
            <v>37012897</v>
          </cell>
          <cell r="C2610">
            <v>20051985</v>
          </cell>
          <cell r="D2610">
            <v>45090</v>
          </cell>
        </row>
        <row r="2611">
          <cell r="A2611" t="str">
            <v>Natalia Paludetto Ribeiro</v>
          </cell>
          <cell r="B2611">
            <v>37013146</v>
          </cell>
          <cell r="C2611">
            <v>20009715</v>
          </cell>
          <cell r="D2611">
            <v>45111</v>
          </cell>
        </row>
        <row r="2612">
          <cell r="A2612" t="str">
            <v>Wellington Henrique Saltarelli</v>
          </cell>
          <cell r="B2612">
            <v>37013172</v>
          </cell>
          <cell r="C2612">
            <v>20053349</v>
          </cell>
          <cell r="D2612">
            <v>45111</v>
          </cell>
        </row>
        <row r="2613">
          <cell r="A2613" t="str">
            <v>Leandro De Oliveira</v>
          </cell>
          <cell r="B2613">
            <v>37013211</v>
          </cell>
          <cell r="C2613">
            <v>20053354</v>
          </cell>
          <cell r="D2613">
            <v>45111</v>
          </cell>
        </row>
        <row r="2614">
          <cell r="A2614" t="str">
            <v>Maicon Santos</v>
          </cell>
          <cell r="B2614">
            <v>37013187</v>
          </cell>
          <cell r="C2614">
            <v>20053364</v>
          </cell>
          <cell r="D2614">
            <v>45111</v>
          </cell>
        </row>
        <row r="2615">
          <cell r="A2615" t="str">
            <v>Matias Nicolas Palumbo</v>
          </cell>
          <cell r="B2615">
            <v>37013200</v>
          </cell>
          <cell r="C2615">
            <v>20053392</v>
          </cell>
          <cell r="D2615">
            <v>45097</v>
          </cell>
        </row>
        <row r="2616">
          <cell r="A2616" t="str">
            <v>Jessica Da Rocha Lopes</v>
          </cell>
          <cell r="B2616">
            <v>37013254</v>
          </cell>
          <cell r="C2616">
            <v>20053593</v>
          </cell>
          <cell r="D2616">
            <v>45111</v>
          </cell>
        </row>
        <row r="2617">
          <cell r="A2617" t="str">
            <v>Lucas Gabriel Dos Santos Vieira</v>
          </cell>
          <cell r="B2617">
            <v>37013340</v>
          </cell>
          <cell r="C2617">
            <v>20053634</v>
          </cell>
          <cell r="D2617">
            <v>45111</v>
          </cell>
        </row>
        <row r="2618">
          <cell r="A2618" t="str">
            <v>Isabela Maciano Barbosa</v>
          </cell>
          <cell r="B2618">
            <v>37013287</v>
          </cell>
          <cell r="C2618">
            <v>20053649</v>
          </cell>
          <cell r="D2618">
            <v>45111</v>
          </cell>
        </row>
        <row r="2619">
          <cell r="A2619" t="str">
            <v>Romerson Jose Simao</v>
          </cell>
          <cell r="B2619">
            <v>37007717</v>
          </cell>
          <cell r="C2619">
            <v>20025794</v>
          </cell>
          <cell r="D2619">
            <v>44690</v>
          </cell>
        </row>
        <row r="2620">
          <cell r="A2620" t="str">
            <v>Eline Barroso Mesquita</v>
          </cell>
          <cell r="B2620">
            <v>37013341</v>
          </cell>
          <cell r="C2620">
            <v>20053679</v>
          </cell>
          <cell r="D2620">
            <v>45111</v>
          </cell>
        </row>
        <row r="2621">
          <cell r="A2621" t="str">
            <v>Fabio Pinheiro Ney</v>
          </cell>
          <cell r="B2621">
            <v>37013323</v>
          </cell>
          <cell r="C2621">
            <v>20053685</v>
          </cell>
          <cell r="D2621">
            <v>45111</v>
          </cell>
        </row>
        <row r="2622">
          <cell r="A2622" t="str">
            <v>Ivan Cascardi de Oliveira</v>
          </cell>
          <cell r="B2622">
            <v>37013332</v>
          </cell>
          <cell r="C2622">
            <v>20053696</v>
          </cell>
          <cell r="D2622">
            <v>45111</v>
          </cell>
        </row>
        <row r="2623">
          <cell r="A2623" t="str">
            <v>Alexandre Socorro Silva</v>
          </cell>
          <cell r="B2623">
            <v>37013395</v>
          </cell>
          <cell r="C2623">
            <v>20054506</v>
          </cell>
          <cell r="D2623">
            <v>45118</v>
          </cell>
        </row>
        <row r="2624">
          <cell r="A2624" t="str">
            <v>Elisangela Da Silva Nunes</v>
          </cell>
          <cell r="B2624">
            <v>37013397</v>
          </cell>
          <cell r="C2624">
            <v>20054508</v>
          </cell>
          <cell r="D2624">
            <v>45118</v>
          </cell>
        </row>
        <row r="2625">
          <cell r="A2625" t="str">
            <v>Lais Carretero</v>
          </cell>
          <cell r="B2625">
            <v>37013435</v>
          </cell>
          <cell r="C2625">
            <v>20054505</v>
          </cell>
          <cell r="D2625">
            <v>45118</v>
          </cell>
        </row>
        <row r="2626">
          <cell r="A2626" t="str">
            <v>Mariana Cristina Ribeiro</v>
          </cell>
          <cell r="B2626">
            <v>37004296</v>
          </cell>
          <cell r="C2626">
            <v>20008241</v>
          </cell>
          <cell r="D2626">
            <v>43864</v>
          </cell>
        </row>
        <row r="2627">
          <cell r="A2627" t="str">
            <v>Jessica Hosama De Freitas</v>
          </cell>
          <cell r="B2627">
            <v>37009097</v>
          </cell>
          <cell r="C2627">
            <v>20031417</v>
          </cell>
          <cell r="D2627">
            <v>44788</v>
          </cell>
        </row>
        <row r="2628">
          <cell r="A2628" t="str">
            <v>Juliana Simionato Bueno</v>
          </cell>
          <cell r="B2628">
            <v>37005126</v>
          </cell>
          <cell r="C2628">
            <v>20011594</v>
          </cell>
          <cell r="D2628">
            <v>44200</v>
          </cell>
        </row>
        <row r="2629">
          <cell r="A2629" t="str">
            <v>Laio Bahia De Oliveira</v>
          </cell>
          <cell r="B2629">
            <v>37003567</v>
          </cell>
          <cell r="C2629">
            <v>20009459</v>
          </cell>
          <cell r="D2629">
            <v>43696</v>
          </cell>
        </row>
        <row r="2630">
          <cell r="A2630" t="str">
            <v>Anderson Aparecido De Oliveira</v>
          </cell>
          <cell r="B2630">
            <v>37003218</v>
          </cell>
          <cell r="C2630">
            <v>20008596</v>
          </cell>
          <cell r="D2630">
            <v>43619</v>
          </cell>
        </row>
        <row r="2631">
          <cell r="A2631" t="str">
            <v>Lana Monique Bezerra Costa</v>
          </cell>
          <cell r="B2631">
            <v>37013654</v>
          </cell>
          <cell r="C2631">
            <v>20056153</v>
          </cell>
          <cell r="D2631">
            <v>45139</v>
          </cell>
        </row>
        <row r="2632">
          <cell r="A2632" t="str">
            <v>Nayane Prado Camargo</v>
          </cell>
          <cell r="B2632">
            <v>37013673</v>
          </cell>
          <cell r="C2632">
            <v>20056236</v>
          </cell>
          <cell r="D2632">
            <v>45125</v>
          </cell>
        </row>
        <row r="2633">
          <cell r="A2633" t="str">
            <v>Joao Edson Cavalcante</v>
          </cell>
          <cell r="B2633">
            <v>37013778</v>
          </cell>
          <cell r="C2633">
            <v>20056429</v>
          </cell>
          <cell r="D2633">
            <v>45139</v>
          </cell>
        </row>
        <row r="2634">
          <cell r="A2634" t="str">
            <v>MARIANA CAMPANHOLI</v>
          </cell>
          <cell r="B2634">
            <v>37013907</v>
          </cell>
          <cell r="C2634">
            <v>20057185</v>
          </cell>
          <cell r="D2634">
            <v>45154</v>
          </cell>
        </row>
        <row r="2635">
          <cell r="A2635" t="str">
            <v>RAFAEL ROMUALDO DA SILVA</v>
          </cell>
          <cell r="B2635">
            <v>37013933</v>
          </cell>
          <cell r="C2635">
            <v>20057227</v>
          </cell>
          <cell r="D2635">
            <v>45154</v>
          </cell>
        </row>
        <row r="2636">
          <cell r="A2636" t="str">
            <v>Victor Mendes</v>
          </cell>
          <cell r="B2636">
            <v>37006107</v>
          </cell>
          <cell r="C2636">
            <v>20016879</v>
          </cell>
          <cell r="D2636">
            <v>44412</v>
          </cell>
        </row>
        <row r="2637">
          <cell r="A2637" t="str">
            <v>Caio Cesar Galli</v>
          </cell>
          <cell r="B2637">
            <v>37013982</v>
          </cell>
          <cell r="C2637">
            <v>20057464</v>
          </cell>
          <cell r="D2637">
            <v>45153</v>
          </cell>
        </row>
        <row r="2638">
          <cell r="A2638" t="str">
            <v>Vitor Barbosa Venancio</v>
          </cell>
          <cell r="B2638">
            <v>37014124</v>
          </cell>
          <cell r="C2638">
            <v>20057888</v>
          </cell>
          <cell r="D2638">
            <v>45160</v>
          </cell>
        </row>
        <row r="2639">
          <cell r="A2639" t="str">
            <v>Beatriz Pinheiro da Cruz</v>
          </cell>
          <cell r="B2639">
            <v>37014125</v>
          </cell>
          <cell r="C2639">
            <v>20057889</v>
          </cell>
          <cell r="D2639">
            <v>45160</v>
          </cell>
        </row>
        <row r="2640">
          <cell r="A2640" t="str">
            <v>Lais Calciolari Ferrarezi Rosa</v>
          </cell>
          <cell r="B2640">
            <v>37014160</v>
          </cell>
          <cell r="C2640">
            <v>20057961</v>
          </cell>
          <cell r="D2640">
            <v>45174</v>
          </cell>
        </row>
        <row r="2641">
          <cell r="A2641" t="str">
            <v>Mateus De Arruda</v>
          </cell>
          <cell r="B2641">
            <v>37014185</v>
          </cell>
          <cell r="C2641">
            <v>20057984</v>
          </cell>
          <cell r="D2641">
            <v>45160</v>
          </cell>
        </row>
        <row r="2642">
          <cell r="A2642" t="str">
            <v>Jaqueline Caroline Peterneli</v>
          </cell>
          <cell r="B2642">
            <v>37014406</v>
          </cell>
          <cell r="C2642">
            <v>20058558</v>
          </cell>
          <cell r="D2642">
            <v>45174</v>
          </cell>
        </row>
        <row r="2643">
          <cell r="A2643" t="str">
            <v>Claudio Vieira Pomin</v>
          </cell>
          <cell r="B2643">
            <v>37014505</v>
          </cell>
          <cell r="C2643">
            <v>20059022</v>
          </cell>
          <cell r="D2643">
            <v>45181</v>
          </cell>
        </row>
        <row r="2644">
          <cell r="A2644" t="str">
            <v>Ketlen Rosilda Duarte</v>
          </cell>
          <cell r="B2644">
            <v>37014517</v>
          </cell>
          <cell r="C2644">
            <v>20059043</v>
          </cell>
          <cell r="D2644">
            <v>45181</v>
          </cell>
        </row>
        <row r="2645">
          <cell r="A2645" t="str">
            <v>Nathalia Machado Azevedo</v>
          </cell>
          <cell r="B2645">
            <v>37006865</v>
          </cell>
          <cell r="C2645">
            <v>20019482</v>
          </cell>
          <cell r="D2645">
            <v>44536</v>
          </cell>
        </row>
        <row r="2646">
          <cell r="A2646" t="str">
            <v>Paula Cristina Nunes Pereira</v>
          </cell>
          <cell r="B2646">
            <v>37006363</v>
          </cell>
          <cell r="C2646">
            <v>20017090</v>
          </cell>
          <cell r="D2646">
            <v>44447</v>
          </cell>
        </row>
        <row r="2647">
          <cell r="A2647" t="str">
            <v>Natalia Carvalho Lauris</v>
          </cell>
          <cell r="B2647">
            <v>37014661</v>
          </cell>
          <cell r="C2647">
            <v>20059400</v>
          </cell>
          <cell r="D2647">
            <v>45188</v>
          </cell>
        </row>
        <row r="2648">
          <cell r="A2648" t="str">
            <v>Amanda Wanderley de Lima Souza</v>
          </cell>
          <cell r="B2648">
            <v>37014687</v>
          </cell>
          <cell r="C2648">
            <v>20059446</v>
          </cell>
          <cell r="D2648">
            <v>45188</v>
          </cell>
        </row>
        <row r="2649">
          <cell r="A2649" t="str">
            <v>Marcos Domingos Da Cruz</v>
          </cell>
          <cell r="B2649">
            <v>37014699</v>
          </cell>
          <cell r="C2649">
            <v>20059460</v>
          </cell>
          <cell r="D2649">
            <v>45188</v>
          </cell>
        </row>
        <row r="2650">
          <cell r="A2650" t="str">
            <v>Ricardo Peri Martins</v>
          </cell>
          <cell r="B2650" t="e">
            <v>#N/A</v>
          </cell>
          <cell r="C2650">
            <v>20059538</v>
          </cell>
          <cell r="D2650" t="e">
            <v>#N/A</v>
          </cell>
        </row>
        <row r="2651">
          <cell r="A2651" t="str">
            <v>Joao Paulo Kruger</v>
          </cell>
          <cell r="B2651">
            <v>37005379</v>
          </cell>
          <cell r="C2651">
            <v>20015581</v>
          </cell>
          <cell r="D2651">
            <v>44244</v>
          </cell>
        </row>
        <row r="2652">
          <cell r="A2652" t="str">
            <v>Emelyn Bielma Goncalves</v>
          </cell>
          <cell r="B2652">
            <v>37010527</v>
          </cell>
          <cell r="C2652">
            <v>20040233</v>
          </cell>
          <cell r="D2652">
            <v>44914</v>
          </cell>
        </row>
        <row r="2653">
          <cell r="A2653" t="str">
            <v>Renan Bosqui Aita</v>
          </cell>
          <cell r="B2653">
            <v>37007237</v>
          </cell>
          <cell r="C2653">
            <v>20023613</v>
          </cell>
          <cell r="D2653">
            <v>44627</v>
          </cell>
        </row>
        <row r="2654">
          <cell r="A2654" t="str">
            <v>Livia Roma</v>
          </cell>
          <cell r="B2654">
            <v>37009282</v>
          </cell>
          <cell r="C2654">
            <v>20032974</v>
          </cell>
          <cell r="D2654">
            <v>44809</v>
          </cell>
        </row>
        <row r="2655">
          <cell r="A2655" t="str">
            <v>Diego Arnon Tomazela</v>
          </cell>
          <cell r="B2655">
            <v>37009456</v>
          </cell>
          <cell r="C2655">
            <v>20034028</v>
          </cell>
          <cell r="D2655">
            <v>44823</v>
          </cell>
        </row>
        <row r="2656">
          <cell r="A2656" t="str">
            <v>Andreia Rodrigues Pereira</v>
          </cell>
          <cell r="B2656">
            <v>37004895</v>
          </cell>
          <cell r="C2656">
            <v>20008138</v>
          </cell>
          <cell r="D2656">
            <v>44095</v>
          </cell>
        </row>
        <row r="2657">
          <cell r="A2657" t="str">
            <v>Glenda Martins Goncalves</v>
          </cell>
          <cell r="B2657">
            <v>37001024</v>
          </cell>
          <cell r="C2657">
            <v>20009193</v>
          </cell>
          <cell r="D2657">
            <v>41134</v>
          </cell>
        </row>
        <row r="2658">
          <cell r="A2658" t="str">
            <v>Vitor Pinheiro Afonso</v>
          </cell>
          <cell r="B2658">
            <v>37006649</v>
          </cell>
          <cell r="C2658">
            <v>20018738</v>
          </cell>
          <cell r="D2658">
            <v>44490</v>
          </cell>
        </row>
        <row r="2659">
          <cell r="A2659" t="str">
            <v>Ane Gabriele Ribeiro Gomes</v>
          </cell>
          <cell r="B2659">
            <v>37006682</v>
          </cell>
          <cell r="C2659">
            <v>20018758</v>
          </cell>
          <cell r="D2659">
            <v>44503</v>
          </cell>
        </row>
        <row r="2660">
          <cell r="A2660" t="str">
            <v>Everton Aparecido Cantizani</v>
          </cell>
          <cell r="B2660">
            <v>37014940</v>
          </cell>
          <cell r="C2660">
            <v>20060546</v>
          </cell>
          <cell r="D2660">
            <v>45216</v>
          </cell>
        </row>
        <row r="2661">
          <cell r="A2661" t="str">
            <v>Ana Laura Ereno Goncalves</v>
          </cell>
          <cell r="B2661">
            <v>37014975</v>
          </cell>
          <cell r="C2661">
            <v>20060696</v>
          </cell>
          <cell r="D2661">
            <v>45216</v>
          </cell>
        </row>
        <row r="2662">
          <cell r="A2662" t="str">
            <v>Ranniery Santos de Alencar</v>
          </cell>
          <cell r="B2662">
            <v>37015049</v>
          </cell>
          <cell r="C2662">
            <v>20060853</v>
          </cell>
          <cell r="D2662">
            <v>45216</v>
          </cell>
        </row>
        <row r="2663">
          <cell r="A2663" t="str">
            <v>Larissa Luana Custodio Felix</v>
          </cell>
          <cell r="B2663">
            <v>37015055</v>
          </cell>
          <cell r="C2663">
            <v>20060876</v>
          </cell>
          <cell r="D2663">
            <v>45216</v>
          </cell>
        </row>
        <row r="2664">
          <cell r="A2664" t="str">
            <v>Ana Paula Lopes Silva Pacheco</v>
          </cell>
          <cell r="B2664">
            <v>37015137</v>
          </cell>
          <cell r="C2664">
            <v>20061363</v>
          </cell>
          <cell r="D2664">
            <v>45237</v>
          </cell>
        </row>
        <row r="2665">
          <cell r="A2665" t="str">
            <v>Joao Vitor Barreto Guilherme</v>
          </cell>
          <cell r="B2665">
            <v>37007657</v>
          </cell>
          <cell r="C2665">
            <v>20025684</v>
          </cell>
          <cell r="D2665">
            <v>44683</v>
          </cell>
        </row>
        <row r="2666">
          <cell r="A2666" t="str">
            <v>Patricia Aparecida Bearari Rocha</v>
          </cell>
          <cell r="B2666">
            <v>37004909</v>
          </cell>
          <cell r="C2666">
            <v>20008142</v>
          </cell>
          <cell r="D2666">
            <v>44095</v>
          </cell>
        </row>
        <row r="2667">
          <cell r="A2667" t="str">
            <v>Alef Braz Da Silva</v>
          </cell>
          <cell r="B2667">
            <v>37004450</v>
          </cell>
          <cell r="C2667">
            <v>20008051</v>
          </cell>
          <cell r="D2667">
            <v>43899</v>
          </cell>
        </row>
        <row r="2668">
          <cell r="A2668" t="str">
            <v>Rafael Paracoli Biliassi</v>
          </cell>
          <cell r="B2668">
            <v>37009383</v>
          </cell>
          <cell r="C2668">
            <v>20033394</v>
          </cell>
          <cell r="D2668">
            <v>44816</v>
          </cell>
        </row>
        <row r="2669">
          <cell r="A2669" t="str">
            <v>Ieda Barreto Goncalves</v>
          </cell>
          <cell r="B2669">
            <v>37003090</v>
          </cell>
          <cell r="C2669">
            <v>20009261</v>
          </cell>
          <cell r="D2669">
            <v>43570</v>
          </cell>
        </row>
        <row r="2670">
          <cell r="A2670" t="str">
            <v>Tassia Prado Da Cunha</v>
          </cell>
          <cell r="B2670">
            <v>37015346</v>
          </cell>
          <cell r="C2670">
            <v>20062355</v>
          </cell>
          <cell r="D2670">
            <v>45265</v>
          </cell>
        </row>
        <row r="2671">
          <cell r="A2671" t="str">
            <v>Maria Eduarda Xavier</v>
          </cell>
          <cell r="B2671">
            <v>37015397</v>
          </cell>
          <cell r="C2671">
            <v>20062406</v>
          </cell>
          <cell r="D2671">
            <v>45251</v>
          </cell>
        </row>
        <row r="2672">
          <cell r="A2672" t="str">
            <v>Luis Felipe Martins Macome</v>
          </cell>
          <cell r="B2672">
            <v>37011589</v>
          </cell>
          <cell r="C2672">
            <v>20044535</v>
          </cell>
          <cell r="D2672">
            <v>44991</v>
          </cell>
        </row>
        <row r="2673">
          <cell r="A2673" t="str">
            <v>Larissa Da Silva Barbosa</v>
          </cell>
          <cell r="B2673">
            <v>37007662</v>
          </cell>
          <cell r="C2673">
            <v>20025695</v>
          </cell>
          <cell r="D2673">
            <v>44683</v>
          </cell>
        </row>
        <row r="2674">
          <cell r="A2674" t="str">
            <v>Felipe Augusto De Brito</v>
          </cell>
          <cell r="B2674">
            <v>37005552</v>
          </cell>
          <cell r="C2674">
            <v>20015593</v>
          </cell>
          <cell r="D2674">
            <v>44291</v>
          </cell>
        </row>
        <row r="2675">
          <cell r="A2675" t="str">
            <v>Andre Jorel Pavan</v>
          </cell>
          <cell r="B2675">
            <v>37007805</v>
          </cell>
          <cell r="C2675">
            <v>20026009</v>
          </cell>
          <cell r="D2675">
            <v>44704</v>
          </cell>
        </row>
        <row r="2676">
          <cell r="A2676" t="str">
            <v>Leandro Rodrigo De Oliveira</v>
          </cell>
          <cell r="B2676">
            <v>37005566</v>
          </cell>
          <cell r="C2676">
            <v>20013592</v>
          </cell>
          <cell r="D2676">
            <v>44298</v>
          </cell>
        </row>
        <row r="2677">
          <cell r="A2677" t="str">
            <v>Larissa Luchesi</v>
          </cell>
          <cell r="B2677">
            <v>37015511</v>
          </cell>
          <cell r="C2677">
            <v>20062767</v>
          </cell>
          <cell r="D2677">
            <v>45265</v>
          </cell>
        </row>
        <row r="2678">
          <cell r="A2678" t="str">
            <v>Julia Helena Ferreira Petrini</v>
          </cell>
          <cell r="B2678">
            <v>37015519</v>
          </cell>
          <cell r="C2678">
            <v>20049699</v>
          </cell>
          <cell r="D2678">
            <v>45265</v>
          </cell>
        </row>
        <row r="2679">
          <cell r="A2679" t="str">
            <v>Gabriel de Lima Alves Cortez</v>
          </cell>
          <cell r="B2679">
            <v>37015536</v>
          </cell>
          <cell r="C2679">
            <v>20062815</v>
          </cell>
          <cell r="D2679">
            <v>45272</v>
          </cell>
        </row>
        <row r="2680">
          <cell r="A2680" t="str">
            <v>Stefani Vasconcellos Correa</v>
          </cell>
          <cell r="B2680">
            <v>37015624</v>
          </cell>
          <cell r="C2680">
            <v>20062945</v>
          </cell>
          <cell r="D2680">
            <v>45272</v>
          </cell>
        </row>
        <row r="2681">
          <cell r="A2681" t="str">
            <v>Barbara De Fatima Alves De Souza</v>
          </cell>
          <cell r="B2681">
            <v>37015556</v>
          </cell>
          <cell r="C2681">
            <v>20062942</v>
          </cell>
          <cell r="D2681">
            <v>45272</v>
          </cell>
        </row>
        <row r="2682">
          <cell r="A2682" t="str">
            <v>Fernanda Lucas</v>
          </cell>
          <cell r="B2682">
            <v>37015605</v>
          </cell>
          <cell r="C2682">
            <v>20063003</v>
          </cell>
          <cell r="D2682">
            <v>45272</v>
          </cell>
        </row>
        <row r="2683">
          <cell r="A2683" t="str">
            <v>Erika Leticia Altafim Gusmao</v>
          </cell>
          <cell r="B2683">
            <v>37002074</v>
          </cell>
          <cell r="C2683">
            <v>20009015</v>
          </cell>
          <cell r="D2683">
            <v>43059</v>
          </cell>
        </row>
        <row r="2684">
          <cell r="A2684" t="str">
            <v>Geise De Fatima Svissero Silva</v>
          </cell>
          <cell r="B2684">
            <v>37005683</v>
          </cell>
          <cell r="C2684">
            <v>20013975</v>
          </cell>
          <cell r="D2684">
            <v>44333</v>
          </cell>
        </row>
        <row r="2685">
          <cell r="A2685" t="str">
            <v>Edgard Francisco Lavras Filho</v>
          </cell>
          <cell r="B2685">
            <v>37010580</v>
          </cell>
          <cell r="C2685">
            <v>20040495</v>
          </cell>
          <cell r="D2685">
            <v>44930</v>
          </cell>
        </row>
        <row r="2686">
          <cell r="A2686" t="str">
            <v>Claudio Heleno Rodrigues</v>
          </cell>
          <cell r="B2686">
            <v>37015869</v>
          </cell>
          <cell r="C2686">
            <v>20063553</v>
          </cell>
          <cell r="D2686">
            <v>45300</v>
          </cell>
        </row>
        <row r="2687">
          <cell r="A2687" t="str">
            <v>Andreia Aparecida Martins Castro</v>
          </cell>
          <cell r="B2687">
            <v>37015950</v>
          </cell>
          <cell r="C2687">
            <v>20063676</v>
          </cell>
          <cell r="D2687">
            <v>45300</v>
          </cell>
        </row>
        <row r="2688">
          <cell r="A2688" t="str">
            <v>Victor Wheber Fernandes Silva</v>
          </cell>
          <cell r="B2688">
            <v>37015946</v>
          </cell>
          <cell r="C2688">
            <v>20063672</v>
          </cell>
          <cell r="D2688">
            <v>45300</v>
          </cell>
        </row>
        <row r="2689">
          <cell r="A2689" t="str">
            <v>Nattani Lima Bento</v>
          </cell>
          <cell r="B2689">
            <v>37016024</v>
          </cell>
          <cell r="C2689">
            <v>20063704</v>
          </cell>
          <cell r="D2689">
            <v>45300</v>
          </cell>
        </row>
        <row r="2690">
          <cell r="A2690" t="str">
            <v>Carlos Henrique Quadrado</v>
          </cell>
          <cell r="B2690">
            <v>37006710</v>
          </cell>
          <cell r="C2690">
            <v>20018972</v>
          </cell>
          <cell r="D2690">
            <v>44508</v>
          </cell>
        </row>
        <row r="2691">
          <cell r="A2691" t="str">
            <v>Lidiane Tomaz Dos Santos</v>
          </cell>
          <cell r="B2691">
            <v>37004286</v>
          </cell>
          <cell r="C2691">
            <v>20009494</v>
          </cell>
          <cell r="D2691">
            <v>43864</v>
          </cell>
        </row>
        <row r="2692">
          <cell r="A2692" t="str">
            <v>Adauto Marcondes Freire Neto</v>
          </cell>
          <cell r="B2692">
            <v>37004116</v>
          </cell>
          <cell r="C2692">
            <v>20008026</v>
          </cell>
          <cell r="D2692">
            <v>43843</v>
          </cell>
        </row>
        <row r="2693">
          <cell r="A2693" t="str">
            <v>Douglas Felipe de Santana Andrade</v>
          </cell>
          <cell r="B2693">
            <v>37016237</v>
          </cell>
          <cell r="C2693">
            <v>20063921</v>
          </cell>
          <cell r="D2693">
            <v>45307</v>
          </cell>
        </row>
        <row r="2694">
          <cell r="A2694" t="str">
            <v>Talyta Miranda Magalhaes Mendonca</v>
          </cell>
          <cell r="B2694">
            <v>37016254</v>
          </cell>
          <cell r="C2694">
            <v>20063925</v>
          </cell>
          <cell r="D2694">
            <v>45300</v>
          </cell>
        </row>
        <row r="2695">
          <cell r="A2695" t="str">
            <v>Letícia De Sa Pereira Silva Alves</v>
          </cell>
          <cell r="B2695">
            <v>37016220</v>
          </cell>
          <cell r="C2695">
            <v>20049695</v>
          </cell>
          <cell r="D2695">
            <v>45307</v>
          </cell>
        </row>
        <row r="2696">
          <cell r="A2696" t="str">
            <v>Andre Alves Borges</v>
          </cell>
          <cell r="B2696">
            <v>37016264</v>
          </cell>
          <cell r="C2696">
            <v>20063946</v>
          </cell>
          <cell r="D2696">
            <v>45307</v>
          </cell>
        </row>
        <row r="2697">
          <cell r="A2697" t="str">
            <v>Thiago Rozante</v>
          </cell>
          <cell r="B2697">
            <v>37016257</v>
          </cell>
          <cell r="C2697">
            <v>20063939</v>
          </cell>
          <cell r="D2697">
            <v>45307</v>
          </cell>
        </row>
        <row r="2698">
          <cell r="A2698" t="str">
            <v>Fabio Henrique Lucas Da Costa</v>
          </cell>
          <cell r="B2698">
            <v>37010706</v>
          </cell>
          <cell r="C2698">
            <v>12004530</v>
          </cell>
          <cell r="D2698">
            <v>44930</v>
          </cell>
        </row>
        <row r="2699">
          <cell r="A2699" t="str">
            <v>Andrea De Souza Ribeiro</v>
          </cell>
          <cell r="B2699">
            <v>37007212</v>
          </cell>
          <cell r="C2699">
            <v>20023012</v>
          </cell>
          <cell r="D2699">
            <v>44622</v>
          </cell>
        </row>
        <row r="2700">
          <cell r="A2700" t="str">
            <v>Monique Leandro De Paula</v>
          </cell>
          <cell r="B2700">
            <v>37016425</v>
          </cell>
          <cell r="C2700">
            <v>20064044</v>
          </cell>
          <cell r="D2700">
            <v>45314</v>
          </cell>
        </row>
        <row r="2701">
          <cell r="A2701" t="str">
            <v>Ana Flavia Souza Fonseca</v>
          </cell>
          <cell r="B2701">
            <v>37016366</v>
          </cell>
          <cell r="C2701">
            <v>20049666</v>
          </cell>
          <cell r="D2701">
            <v>45314</v>
          </cell>
        </row>
        <row r="2702">
          <cell r="A2702" t="str">
            <v>Daniel Albuquerque Cavalcante</v>
          </cell>
          <cell r="B2702">
            <v>37016434</v>
          </cell>
          <cell r="C2702">
            <v>20064173</v>
          </cell>
          <cell r="D2702">
            <v>45328</v>
          </cell>
        </row>
        <row r="2703">
          <cell r="A2703" t="str">
            <v>Fabiana Delalibera</v>
          </cell>
          <cell r="B2703">
            <v>37016455</v>
          </cell>
          <cell r="C2703">
            <v>20064328</v>
          </cell>
          <cell r="D2703">
            <v>45328</v>
          </cell>
        </row>
        <row r="2704">
          <cell r="A2704" t="str">
            <v>Juliana Augusta Spinelli Da Silva Teles</v>
          </cell>
          <cell r="B2704">
            <v>37002429</v>
          </cell>
          <cell r="C2704">
            <v>20009426</v>
          </cell>
          <cell r="D2704">
            <v>43346</v>
          </cell>
        </row>
        <row r="2705">
          <cell r="A2705" t="str">
            <v>Bruna De Fatima Dos Santos</v>
          </cell>
          <cell r="B2705">
            <v>37016486</v>
          </cell>
          <cell r="C2705">
            <v>20064468</v>
          </cell>
          <cell r="D2705">
            <v>45328</v>
          </cell>
        </row>
        <row r="2706">
          <cell r="A2706" t="str">
            <v>Francieli Altoe Celestino</v>
          </cell>
          <cell r="B2706">
            <v>37016537</v>
          </cell>
          <cell r="C2706">
            <v>20064531</v>
          </cell>
          <cell r="D2706">
            <v>45328</v>
          </cell>
        </row>
        <row r="2707">
          <cell r="A2707" t="str">
            <v>Chintan Patel</v>
          </cell>
          <cell r="B2707">
            <v>37004586</v>
          </cell>
          <cell r="C2707">
            <v>20001455</v>
          </cell>
          <cell r="D2707">
            <v>44001</v>
          </cell>
        </row>
        <row r="2708">
          <cell r="A2708" t="str">
            <v>Juliana De Fatima Rio</v>
          </cell>
          <cell r="B2708">
            <v>37016550</v>
          </cell>
          <cell r="C2708">
            <v>20064544</v>
          </cell>
          <cell r="D2708">
            <v>45328</v>
          </cell>
        </row>
        <row r="2709">
          <cell r="A2709" t="str">
            <v>Brenda De Moraes Silva</v>
          </cell>
          <cell r="B2709">
            <v>37016588</v>
          </cell>
          <cell r="C2709">
            <v>20049686</v>
          </cell>
          <cell r="D2709">
            <v>45328</v>
          </cell>
        </row>
        <row r="2710">
          <cell r="A2710" t="str">
            <v>Mirielly Cristina Gil Da Silva Nunes</v>
          </cell>
          <cell r="B2710">
            <v>37007458</v>
          </cell>
          <cell r="C2710">
            <v>20008085</v>
          </cell>
          <cell r="D2710">
            <v>44669</v>
          </cell>
        </row>
        <row r="2711">
          <cell r="A2711" t="str">
            <v>Evelyn Chaves Silva</v>
          </cell>
          <cell r="B2711">
            <v>37001540</v>
          </cell>
          <cell r="C2711">
            <v>15007291</v>
          </cell>
          <cell r="D2711">
            <v>42208</v>
          </cell>
        </row>
        <row r="2712">
          <cell r="A2712" t="str">
            <v>Jose Adilson Cabral Junior</v>
          </cell>
          <cell r="B2712">
            <v>37016619</v>
          </cell>
          <cell r="C2712">
            <v>20064714</v>
          </cell>
          <cell r="D2712">
            <v>45356</v>
          </cell>
        </row>
        <row r="2713">
          <cell r="A2713" t="str">
            <v>Victor Felipe Marques</v>
          </cell>
          <cell r="B2713">
            <v>37016627</v>
          </cell>
          <cell r="C2713">
            <v>20064722</v>
          </cell>
          <cell r="D2713">
            <v>45342</v>
          </cell>
        </row>
        <row r="2714">
          <cell r="A2714" t="str">
            <v>Nelson Freitas De Abreu</v>
          </cell>
          <cell r="B2714">
            <v>37016625</v>
          </cell>
          <cell r="C2714">
            <v>20064720</v>
          </cell>
          <cell r="D2714">
            <v>45342</v>
          </cell>
        </row>
        <row r="2715">
          <cell r="A2715" t="str">
            <v>Ederson Jose Bento</v>
          </cell>
          <cell r="B2715">
            <v>37016649</v>
          </cell>
          <cell r="C2715">
            <v>20064750</v>
          </cell>
          <cell r="D2715">
            <v>45342</v>
          </cell>
        </row>
        <row r="2716">
          <cell r="A2716" t="str">
            <v>Lucas Fernando Campos</v>
          </cell>
          <cell r="B2716">
            <v>37016660</v>
          </cell>
          <cell r="C2716">
            <v>20064761</v>
          </cell>
          <cell r="D2716">
            <v>45342</v>
          </cell>
        </row>
        <row r="2717">
          <cell r="A2717" t="str">
            <v>Helton Soares Franzotti</v>
          </cell>
          <cell r="B2717">
            <v>37016667</v>
          </cell>
          <cell r="C2717">
            <v>20064768</v>
          </cell>
          <cell r="D2717">
            <v>45342</v>
          </cell>
        </row>
        <row r="2718">
          <cell r="A2718" t="str">
            <v>Leonardo Augusto Leoncio Pacheco</v>
          </cell>
          <cell r="B2718">
            <v>37016665</v>
          </cell>
          <cell r="C2718">
            <v>20064766</v>
          </cell>
          <cell r="D2718">
            <v>45342</v>
          </cell>
        </row>
        <row r="2719">
          <cell r="A2719" t="str">
            <v>Carlos Roberto Lombardi</v>
          </cell>
          <cell r="B2719">
            <v>37016674</v>
          </cell>
          <cell r="C2719">
            <v>20064819</v>
          </cell>
          <cell r="D2719">
            <v>45342</v>
          </cell>
        </row>
        <row r="2720">
          <cell r="A2720" t="str">
            <v>Isabella Ceragioli Damaceno</v>
          </cell>
          <cell r="B2720">
            <v>37005320</v>
          </cell>
          <cell r="C2720">
            <v>20014618</v>
          </cell>
          <cell r="D2720">
            <v>44228</v>
          </cell>
        </row>
        <row r="2721">
          <cell r="A2721" t="str">
            <v>Anne Caroline Caetano Morais</v>
          </cell>
          <cell r="B2721">
            <v>37003081</v>
          </cell>
          <cell r="C2721">
            <v>20008641</v>
          </cell>
          <cell r="D2721">
            <v>43570</v>
          </cell>
        </row>
        <row r="2722">
          <cell r="A2722" t="str">
            <v>Gustavo Pavão Barjud</v>
          </cell>
          <cell r="B2722">
            <v>37016705</v>
          </cell>
          <cell r="C2722">
            <v>20064899</v>
          </cell>
          <cell r="D2722">
            <v>45356</v>
          </cell>
        </row>
        <row r="2723">
          <cell r="A2723" t="str">
            <v>Kaio Cesar Martins Dos Santos</v>
          </cell>
          <cell r="B2723">
            <v>37016712</v>
          </cell>
          <cell r="C2723">
            <v>20064906</v>
          </cell>
          <cell r="D2723">
            <v>45356</v>
          </cell>
        </row>
        <row r="2724">
          <cell r="A2724" t="str">
            <v>Bruno Fernandes Dos Santos</v>
          </cell>
          <cell r="B2724">
            <v>37016700</v>
          </cell>
          <cell r="C2724">
            <v>20049672</v>
          </cell>
          <cell r="D2724">
            <v>45356</v>
          </cell>
        </row>
        <row r="2725">
          <cell r="A2725" t="str">
            <v>Igor Renan Pimenta Soares</v>
          </cell>
          <cell r="B2725">
            <v>37016729</v>
          </cell>
          <cell r="C2725">
            <v>20064923</v>
          </cell>
          <cell r="D2725">
            <v>45356</v>
          </cell>
        </row>
        <row r="2726">
          <cell r="A2726" t="str">
            <v>Virgilio De Lima Candido</v>
          </cell>
          <cell r="B2726">
            <v>37016735</v>
          </cell>
          <cell r="C2726">
            <v>20065181</v>
          </cell>
          <cell r="D2726">
            <v>45356</v>
          </cell>
        </row>
        <row r="2727">
          <cell r="A2727" t="str">
            <v>Jeferson Bermude Vendruscolo</v>
          </cell>
          <cell r="B2727">
            <v>37016807</v>
          </cell>
          <cell r="C2727">
            <v>20065306</v>
          </cell>
          <cell r="D2727">
            <v>45356</v>
          </cell>
        </row>
        <row r="2728">
          <cell r="A2728" t="str">
            <v>Caio Vinicius Bernardes</v>
          </cell>
          <cell r="B2728">
            <v>37016821</v>
          </cell>
          <cell r="C2728">
            <v>20065320</v>
          </cell>
          <cell r="D2728">
            <v>45356</v>
          </cell>
        </row>
        <row r="2729">
          <cell r="A2729" t="str">
            <v>Andreia Cristina Levorato Sega</v>
          </cell>
          <cell r="B2729">
            <v>37016828</v>
          </cell>
          <cell r="C2729">
            <v>20065391</v>
          </cell>
          <cell r="D2729">
            <v>45363</v>
          </cell>
        </row>
        <row r="2730">
          <cell r="A2730" t="str">
            <v>Lucia Goulart Gil Choi</v>
          </cell>
          <cell r="B2730">
            <v>37007975</v>
          </cell>
          <cell r="C2730">
            <v>20026593</v>
          </cell>
          <cell r="D2730">
            <v>44713</v>
          </cell>
        </row>
        <row r="2731">
          <cell r="A2731" t="str">
            <v>Gabriela Rossi Paulino</v>
          </cell>
          <cell r="B2731">
            <v>37009028</v>
          </cell>
          <cell r="C2731">
            <v>20030997</v>
          </cell>
          <cell r="D2731">
            <v>44781</v>
          </cell>
        </row>
        <row r="2732">
          <cell r="A2732" t="str">
            <v>Guilherme Amorim Bezerra</v>
          </cell>
          <cell r="B2732">
            <v>37007419</v>
          </cell>
          <cell r="C2732">
            <v>20025458</v>
          </cell>
          <cell r="D2732">
            <v>44662</v>
          </cell>
        </row>
        <row r="2733">
          <cell r="A2733" t="str">
            <v>Dayvid Guerini</v>
          </cell>
          <cell r="B2733">
            <v>37016881</v>
          </cell>
          <cell r="C2733">
            <v>20065477</v>
          </cell>
          <cell r="D2733">
            <v>45363</v>
          </cell>
        </row>
        <row r="2734">
          <cell r="A2734" t="str">
            <v>Maria Paula Cannever Velho</v>
          </cell>
          <cell r="B2734">
            <v>37011334</v>
          </cell>
          <cell r="C2734">
            <v>20042771</v>
          </cell>
          <cell r="D2734">
            <v>44970</v>
          </cell>
        </row>
        <row r="2735">
          <cell r="A2735" t="str">
            <v>Fernanda Dos Santos Oliveira</v>
          </cell>
          <cell r="B2735">
            <v>37002881</v>
          </cell>
          <cell r="C2735">
            <v>20009080</v>
          </cell>
          <cell r="D2735">
            <v>43500</v>
          </cell>
        </row>
        <row r="2736">
          <cell r="A2736" t="str">
            <v>Izabeli Vitória Holanda da Silva</v>
          </cell>
          <cell r="B2736">
            <v>37017027</v>
          </cell>
          <cell r="C2736">
            <v>20065863</v>
          </cell>
          <cell r="D2736">
            <v>45370</v>
          </cell>
        </row>
        <row r="2737">
          <cell r="A2737" t="str">
            <v>Paulo Eliel Medina</v>
          </cell>
          <cell r="B2737">
            <v>37016922</v>
          </cell>
          <cell r="C2737">
            <v>20065872</v>
          </cell>
          <cell r="D2737">
            <v>45370</v>
          </cell>
        </row>
        <row r="2738">
          <cell r="A2738" t="str">
            <v>Ana Beatriz Jacoia De Oliveira</v>
          </cell>
          <cell r="B2738">
            <v>37017028</v>
          </cell>
          <cell r="C2738">
            <v>20065912</v>
          </cell>
          <cell r="D2738">
            <v>45370</v>
          </cell>
        </row>
        <row r="2739">
          <cell r="A2739" t="str">
            <v>Joao Paulo Herdeiro De Oliveira</v>
          </cell>
          <cell r="B2739">
            <v>37016974</v>
          </cell>
          <cell r="C2739">
            <v>20065925</v>
          </cell>
          <cell r="D2739">
            <v>45370</v>
          </cell>
        </row>
        <row r="2740">
          <cell r="A2740" t="str">
            <v>Aline Maria Borin</v>
          </cell>
          <cell r="B2740">
            <v>37017029</v>
          </cell>
          <cell r="C2740">
            <v>20065926</v>
          </cell>
          <cell r="D2740">
            <v>45370</v>
          </cell>
        </row>
        <row r="2741">
          <cell r="A2741" t="str">
            <v>Flavia Valentin Rodrigues</v>
          </cell>
          <cell r="B2741">
            <v>37016981</v>
          </cell>
          <cell r="C2741">
            <v>20065932</v>
          </cell>
          <cell r="D2741">
            <v>45370</v>
          </cell>
        </row>
        <row r="2742">
          <cell r="A2742" t="str">
            <v>Victor Gabriel Jorgino Flauzino</v>
          </cell>
          <cell r="B2742">
            <v>37016997</v>
          </cell>
          <cell r="C2742">
            <v>20065948</v>
          </cell>
          <cell r="D2742">
            <v>45370</v>
          </cell>
        </row>
        <row r="2743">
          <cell r="A2743" t="str">
            <v>Sabrina Santana Paulo</v>
          </cell>
          <cell r="B2743">
            <v>37017008</v>
          </cell>
          <cell r="C2743">
            <v>20065959</v>
          </cell>
          <cell r="D2743">
            <v>45370</v>
          </cell>
        </row>
        <row r="2744">
          <cell r="A2744" t="str">
            <v>Iriana Stella Prado Araujo</v>
          </cell>
          <cell r="B2744">
            <v>37011087</v>
          </cell>
          <cell r="C2744">
            <v>20042159</v>
          </cell>
          <cell r="D2744">
            <v>44970</v>
          </cell>
        </row>
        <row r="2745">
          <cell r="A2745" t="str">
            <v>Caroline Yachel Dos Santos</v>
          </cell>
          <cell r="B2745">
            <v>37017044</v>
          </cell>
          <cell r="C2745">
            <v>20066688</v>
          </cell>
          <cell r="D2745">
            <v>45384</v>
          </cell>
        </row>
        <row r="2746">
          <cell r="A2746" t="str">
            <v>Flavio Augusto Ferreira Dos Santos</v>
          </cell>
          <cell r="B2746">
            <v>37005129</v>
          </cell>
          <cell r="C2746">
            <v>20011597</v>
          </cell>
          <cell r="D2746">
            <v>44200</v>
          </cell>
        </row>
        <row r="2747">
          <cell r="A2747" t="str">
            <v>Elisa Berna</v>
          </cell>
          <cell r="B2747">
            <v>37017062</v>
          </cell>
          <cell r="C2747">
            <v>20066830</v>
          </cell>
          <cell r="D2747">
            <v>45384</v>
          </cell>
        </row>
        <row r="2748">
          <cell r="A2748" t="str">
            <v>Priscila Trindade da Silva</v>
          </cell>
          <cell r="B2748">
            <v>37017057</v>
          </cell>
          <cell r="C2748">
            <v>20066825</v>
          </cell>
          <cell r="D2748">
            <v>45384</v>
          </cell>
        </row>
        <row r="2749">
          <cell r="A2749" t="str">
            <v>Rosangela Pereira de Almeida</v>
          </cell>
          <cell r="B2749">
            <v>37017078</v>
          </cell>
          <cell r="C2749">
            <v>20067072</v>
          </cell>
          <cell r="D2749">
            <v>45384</v>
          </cell>
        </row>
        <row r="2750">
          <cell r="A2750" t="str">
            <v>Ingrid Oliveira Romanow</v>
          </cell>
          <cell r="B2750">
            <v>37010239</v>
          </cell>
          <cell r="C2750">
            <v>20038850</v>
          </cell>
          <cell r="D2750">
            <v>44900</v>
          </cell>
        </row>
        <row r="2751">
          <cell r="A2751" t="str">
            <v>Janaina Paula Costa de Oliveira</v>
          </cell>
          <cell r="B2751">
            <v>37013994</v>
          </cell>
          <cell r="C2751">
            <v>20057483</v>
          </cell>
          <cell r="D2751">
            <v>45153</v>
          </cell>
        </row>
        <row r="2752">
          <cell r="A2752" t="str">
            <v>Fabio Silva Nogueira</v>
          </cell>
          <cell r="B2752">
            <v>37007939</v>
          </cell>
          <cell r="C2752">
            <v>20026054</v>
          </cell>
          <cell r="D2752">
            <v>44713</v>
          </cell>
        </row>
        <row r="2753">
          <cell r="A2753" t="str">
            <v>Carlos Eduardo Da Silva</v>
          </cell>
          <cell r="B2753">
            <v>37013166</v>
          </cell>
          <cell r="C2753">
            <v>20053293</v>
          </cell>
          <cell r="D2753">
            <v>45111</v>
          </cell>
        </row>
        <row r="2754">
          <cell r="A2754" t="str">
            <v>MARCIA MARIA BARBOSA</v>
          </cell>
          <cell r="B2754">
            <v>37017287</v>
          </cell>
          <cell r="C2754">
            <v>20068675</v>
          </cell>
          <cell r="D2754">
            <v>45398</v>
          </cell>
        </row>
        <row r="2755">
          <cell r="A2755" t="str">
            <v>Filipe Gimenes de Souza</v>
          </cell>
          <cell r="B2755">
            <v>37017275</v>
          </cell>
          <cell r="C2755">
            <v>20068661</v>
          </cell>
          <cell r="D2755">
            <v>45398</v>
          </cell>
        </row>
        <row r="2756">
          <cell r="A2756" t="str">
            <v>Camila Anezio</v>
          </cell>
          <cell r="B2756">
            <v>37005137</v>
          </cell>
          <cell r="C2756">
            <v>20011602</v>
          </cell>
          <cell r="D2756">
            <v>44207</v>
          </cell>
        </row>
        <row r="2757">
          <cell r="A2757" t="str">
            <v>Marcio Fernando De Oliveira</v>
          </cell>
          <cell r="B2757">
            <v>37000342</v>
          </cell>
          <cell r="C2757">
            <v>20009609</v>
          </cell>
          <cell r="D2757">
            <v>37270</v>
          </cell>
        </row>
        <row r="2758">
          <cell r="A2758" t="str">
            <v>Andreia Batista De Almeida Abreu</v>
          </cell>
          <cell r="B2758">
            <v>37005607</v>
          </cell>
          <cell r="C2758">
            <v>20015598</v>
          </cell>
          <cell r="D2758">
            <v>44305</v>
          </cell>
        </row>
        <row r="2759">
          <cell r="A2759" t="str">
            <v>Vitor Ferreira Rodrigues</v>
          </cell>
          <cell r="B2759">
            <v>37003574</v>
          </cell>
          <cell r="C2759">
            <v>20010017</v>
          </cell>
          <cell r="D2759">
            <v>43696</v>
          </cell>
        </row>
        <row r="2760">
          <cell r="A2760" t="str">
            <v>Daniel Ferreira De Magalhaes</v>
          </cell>
          <cell r="B2760">
            <v>37001515</v>
          </cell>
          <cell r="C2760">
            <v>20008858</v>
          </cell>
          <cell r="D2760">
            <v>42116</v>
          </cell>
        </row>
        <row r="2761">
          <cell r="A2761" t="str">
            <v>Lara De Oliveira Rossi</v>
          </cell>
          <cell r="B2761">
            <v>37007447</v>
          </cell>
          <cell r="C2761">
            <v>20025496</v>
          </cell>
          <cell r="D2761">
            <v>44662</v>
          </cell>
        </row>
        <row r="2762">
          <cell r="A2762" t="str">
            <v>Nayara Nicole Pereira</v>
          </cell>
          <cell r="B2762">
            <v>37010638</v>
          </cell>
          <cell r="C2762">
            <v>20040591</v>
          </cell>
          <cell r="D2762">
            <v>44930</v>
          </cell>
        </row>
        <row r="2763">
          <cell r="A2763" t="str">
            <v>Bianca Vitoria Cordeiro Donda</v>
          </cell>
          <cell r="B2763">
            <v>37012151</v>
          </cell>
          <cell r="C2763">
            <v>20048379</v>
          </cell>
          <cell r="D2763">
            <v>45034</v>
          </cell>
        </row>
        <row r="2764">
          <cell r="A2764" t="str">
            <v>Lucas Rafael Da Silva</v>
          </cell>
          <cell r="B2764">
            <v>37007945</v>
          </cell>
          <cell r="C2764">
            <v>20025924</v>
          </cell>
          <cell r="D2764">
            <v>44713</v>
          </cell>
        </row>
        <row r="2765">
          <cell r="A2765" t="str">
            <v>Amanda Lemos Miguel</v>
          </cell>
          <cell r="B2765">
            <v>37003193</v>
          </cell>
          <cell r="C2765">
            <v>20008570</v>
          </cell>
          <cell r="D2765">
            <v>43605</v>
          </cell>
        </row>
        <row r="2766">
          <cell r="A2766" t="str">
            <v>Lucas Martins Barbosa</v>
          </cell>
          <cell r="B2766">
            <v>37009476</v>
          </cell>
          <cell r="C2766">
            <v>20034174</v>
          </cell>
          <cell r="D2766">
            <v>44823</v>
          </cell>
        </row>
        <row r="2767">
          <cell r="A2767" t="str">
            <v>Jorge Herberton Benedetti</v>
          </cell>
          <cell r="B2767">
            <v>37000082</v>
          </cell>
          <cell r="C2767">
            <v>20009366</v>
          </cell>
          <cell r="D2767">
            <v>33535</v>
          </cell>
        </row>
        <row r="2768">
          <cell r="A2768" t="str">
            <v>Fabio Rodrigues Da Silva</v>
          </cell>
          <cell r="B2768">
            <v>37004271</v>
          </cell>
          <cell r="C2768">
            <v>20009059</v>
          </cell>
          <cell r="D2768">
            <v>43864</v>
          </cell>
        </row>
        <row r="2769">
          <cell r="A2769" t="str">
            <v>Ana Laura Damasceno Cavalheiro</v>
          </cell>
          <cell r="B2769">
            <v>37010054</v>
          </cell>
          <cell r="C2769">
            <v>20038159</v>
          </cell>
          <cell r="D2769">
            <v>44881</v>
          </cell>
        </row>
        <row r="2770">
          <cell r="A2770" t="str">
            <v>Jose Augusto De Oliveira</v>
          </cell>
          <cell r="B2770">
            <v>37014439</v>
          </cell>
          <cell r="C2770">
            <v>20058838</v>
          </cell>
          <cell r="D2770">
            <v>45181</v>
          </cell>
        </row>
        <row r="2771">
          <cell r="A2771" t="str">
            <v>Leticia Pereira Dos Santos Gomes</v>
          </cell>
          <cell r="B2771">
            <v>37006848</v>
          </cell>
          <cell r="C2771">
            <v>20020027</v>
          </cell>
          <cell r="D2771">
            <v>44536</v>
          </cell>
        </row>
        <row r="2772">
          <cell r="A2772" t="str">
            <v>Larissa Boso</v>
          </cell>
          <cell r="B2772">
            <v>37004759</v>
          </cell>
          <cell r="C2772">
            <v>20008041</v>
          </cell>
          <cell r="D2772">
            <v>44060</v>
          </cell>
        </row>
        <row r="2773">
          <cell r="A2773" t="str">
            <v>Caroline Nalhiati</v>
          </cell>
          <cell r="B2773">
            <v>37008041</v>
          </cell>
          <cell r="C2773">
            <v>20026060</v>
          </cell>
          <cell r="D2773">
            <v>44713</v>
          </cell>
        </row>
        <row r="2774">
          <cell r="A2774" t="str">
            <v>Danilo Oliveira Da Silva</v>
          </cell>
          <cell r="B2774">
            <v>37009196</v>
          </cell>
          <cell r="C2774">
            <v>20032249</v>
          </cell>
          <cell r="D2774">
            <v>44795</v>
          </cell>
        </row>
        <row r="2775">
          <cell r="A2775" t="str">
            <v>Tiago Antonio Zan</v>
          </cell>
          <cell r="B2775">
            <v>37009204</v>
          </cell>
          <cell r="C2775">
            <v>20031854</v>
          </cell>
          <cell r="D2775">
            <v>44795</v>
          </cell>
        </row>
        <row r="2776">
          <cell r="A2776" t="str">
            <v>Marina Marcolino Jordan</v>
          </cell>
          <cell r="B2776">
            <v>37001001</v>
          </cell>
          <cell r="C2776">
            <v>20009656</v>
          </cell>
          <cell r="D2776">
            <v>41015</v>
          </cell>
        </row>
        <row r="2777">
          <cell r="A2777" t="str">
            <v>Marcela Grandinetti Marques</v>
          </cell>
          <cell r="B2777">
            <v>37003921</v>
          </cell>
          <cell r="C2777">
            <v>20009585</v>
          </cell>
          <cell r="D2777">
            <v>43773</v>
          </cell>
        </row>
        <row r="2778">
          <cell r="A2778" t="str">
            <v>Paola Sitta Lemes</v>
          </cell>
          <cell r="B2778">
            <v>37014292</v>
          </cell>
          <cell r="C2778">
            <v>20058371</v>
          </cell>
          <cell r="D2778">
            <v>45174</v>
          </cell>
        </row>
        <row r="2779">
          <cell r="A2779" t="str">
            <v>Marcos Dionicio De Moraes</v>
          </cell>
          <cell r="B2779">
            <v>37003036</v>
          </cell>
          <cell r="C2779">
            <v>20009633</v>
          </cell>
          <cell r="D2779">
            <v>43542</v>
          </cell>
        </row>
        <row r="2780">
          <cell r="A2780" t="str">
            <v>Camila Silva Medeiros Coleone</v>
          </cell>
          <cell r="B2780">
            <v>37000651</v>
          </cell>
          <cell r="C2780">
            <v>20008745</v>
          </cell>
          <cell r="D2780">
            <v>39601</v>
          </cell>
        </row>
        <row r="2781">
          <cell r="A2781" t="str">
            <v>Thais Tanaka</v>
          </cell>
          <cell r="B2781">
            <v>37010041</v>
          </cell>
          <cell r="C2781">
            <v>20037946</v>
          </cell>
          <cell r="D2781">
            <v>44886</v>
          </cell>
        </row>
        <row r="2782">
          <cell r="A2782" t="str">
            <v>Daniel Paschoal Cepollina</v>
          </cell>
          <cell r="B2782">
            <v>37005950</v>
          </cell>
          <cell r="C2782">
            <v>20015644</v>
          </cell>
          <cell r="D2782">
            <v>44382</v>
          </cell>
        </row>
        <row r="2783">
          <cell r="A2783" t="str">
            <v>Rogerio Gomes Cesario</v>
          </cell>
          <cell r="B2783">
            <v>37003925</v>
          </cell>
          <cell r="C2783">
            <v>20009881</v>
          </cell>
          <cell r="D2783">
            <v>43773</v>
          </cell>
        </row>
        <row r="2784">
          <cell r="A2784" t="str">
            <v>Adriano Bezerra Dos Santos</v>
          </cell>
          <cell r="B2784">
            <v>37006298</v>
          </cell>
          <cell r="C2784">
            <v>20017927</v>
          </cell>
          <cell r="D2784">
            <v>44440</v>
          </cell>
        </row>
        <row r="2785">
          <cell r="A2785" t="str">
            <v>Arthur Vieira Machado</v>
          </cell>
          <cell r="B2785">
            <v>37003315</v>
          </cell>
          <cell r="C2785">
            <v>20008688</v>
          </cell>
          <cell r="D2785">
            <v>43647</v>
          </cell>
        </row>
        <row r="2786">
          <cell r="A2786" t="str">
            <v>Joao Victor Oliveira Silva</v>
          </cell>
          <cell r="B2786">
            <v>37003366</v>
          </cell>
          <cell r="C2786">
            <v>20009351</v>
          </cell>
          <cell r="D2786">
            <v>43647</v>
          </cell>
        </row>
        <row r="2787">
          <cell r="A2787" t="str">
            <v>Elma Beserra Da Silva</v>
          </cell>
          <cell r="B2787">
            <v>37003334</v>
          </cell>
          <cell r="C2787">
            <v>20008994</v>
          </cell>
          <cell r="D2787">
            <v>43647</v>
          </cell>
        </row>
        <row r="2788">
          <cell r="A2788" t="str">
            <v>Felipe Pinheiro</v>
          </cell>
          <cell r="B2788">
            <v>37003336</v>
          </cell>
          <cell r="C2788">
            <v>20009076</v>
          </cell>
          <cell r="D2788">
            <v>43647</v>
          </cell>
        </row>
        <row r="2789">
          <cell r="A2789" t="str">
            <v>Jessica Carolina Vieira Martins</v>
          </cell>
          <cell r="B2789">
            <v>37014287</v>
          </cell>
          <cell r="C2789">
            <v>20058366</v>
          </cell>
          <cell r="D2789">
            <v>45174</v>
          </cell>
        </row>
        <row r="2790">
          <cell r="A2790" t="str">
            <v>Rogerio Caversan</v>
          </cell>
          <cell r="B2790">
            <v>37000432</v>
          </cell>
          <cell r="C2790">
            <v>20009879</v>
          </cell>
          <cell r="D2790">
            <v>38397</v>
          </cell>
        </row>
        <row r="2791">
          <cell r="A2791" t="str">
            <v>Joao Matheus Bento</v>
          </cell>
          <cell r="B2791">
            <v>37003364</v>
          </cell>
          <cell r="C2791">
            <v>20009338</v>
          </cell>
          <cell r="D2791">
            <v>43647</v>
          </cell>
        </row>
        <row r="2792">
          <cell r="A2792" t="str">
            <v>Lucas Gabriel De Souza</v>
          </cell>
          <cell r="B2792">
            <v>37003376</v>
          </cell>
          <cell r="C2792">
            <v>20009514</v>
          </cell>
          <cell r="D2792">
            <v>43647</v>
          </cell>
        </row>
        <row r="2793">
          <cell r="A2793" t="str">
            <v>Silas Gutierrez Ribeiro</v>
          </cell>
          <cell r="B2793">
            <v>37004540</v>
          </cell>
          <cell r="C2793">
            <v>20008315</v>
          </cell>
          <cell r="D2793">
            <v>43934</v>
          </cell>
        </row>
        <row r="2794">
          <cell r="A2794" t="str">
            <v>Bruno Gustavo Barbosa</v>
          </cell>
          <cell r="B2794">
            <v>37000470</v>
          </cell>
          <cell r="C2794">
            <v>20008719</v>
          </cell>
          <cell r="D2794">
            <v>38901</v>
          </cell>
        </row>
        <row r="2795">
          <cell r="A2795" t="str">
            <v>Fernanda Lima Cavalcante Elidio</v>
          </cell>
          <cell r="B2795">
            <v>37014294</v>
          </cell>
          <cell r="C2795">
            <v>20058373</v>
          </cell>
          <cell r="D2795">
            <v>45174</v>
          </cell>
        </row>
        <row r="2796">
          <cell r="A2796" t="str">
            <v>Raphael Ballone</v>
          </cell>
          <cell r="B2796">
            <v>37009831</v>
          </cell>
          <cell r="C2796">
            <v>20035364</v>
          </cell>
          <cell r="D2796">
            <v>44872</v>
          </cell>
        </row>
        <row r="2797">
          <cell r="A2797" t="str">
            <v>Patricia Meduneckas Braz</v>
          </cell>
          <cell r="B2797">
            <v>37005128</v>
          </cell>
          <cell r="C2797">
            <v>20011596</v>
          </cell>
          <cell r="D2797">
            <v>44200</v>
          </cell>
        </row>
        <row r="2798">
          <cell r="A2798" t="str">
            <v>Felipe Cyrieco Silva</v>
          </cell>
          <cell r="B2798">
            <v>37007930</v>
          </cell>
          <cell r="C2798">
            <v>20026056</v>
          </cell>
          <cell r="D2798">
            <v>44713</v>
          </cell>
        </row>
        <row r="2799">
          <cell r="A2799" t="str">
            <v>Edilson Martins Guimarães</v>
          </cell>
          <cell r="B2799">
            <v>37017353</v>
          </cell>
          <cell r="C2799">
            <v>20069477</v>
          </cell>
          <cell r="D2799">
            <v>45419</v>
          </cell>
        </row>
        <row r="2800">
          <cell r="A2800" t="str">
            <v>MARCIO RODRIGO PERDONA</v>
          </cell>
          <cell r="B2800">
            <v>37017344</v>
          </cell>
          <cell r="C2800">
            <v>20069468</v>
          </cell>
          <cell r="D2800">
            <v>45419</v>
          </cell>
        </row>
        <row r="2801">
          <cell r="A2801" t="str">
            <v>MARCO AURELIO DOS SANTOS</v>
          </cell>
          <cell r="B2801">
            <v>37017345</v>
          </cell>
          <cell r="C2801">
            <v>20069469</v>
          </cell>
          <cell r="D2801">
            <v>45419</v>
          </cell>
        </row>
        <row r="2802">
          <cell r="A2802" t="str">
            <v>Renato Silva Dantas</v>
          </cell>
          <cell r="B2802">
            <v>37017349</v>
          </cell>
          <cell r="C2802">
            <v>20069473</v>
          </cell>
          <cell r="D2802">
            <v>45419</v>
          </cell>
        </row>
        <row r="2803">
          <cell r="A2803" t="str">
            <v>Luiz Gustavo De Almeida Campos</v>
          </cell>
          <cell r="B2803">
            <v>37017368</v>
          </cell>
          <cell r="C2803">
            <v>20069492</v>
          </cell>
          <cell r="D2803">
            <v>45419</v>
          </cell>
        </row>
        <row r="2804">
          <cell r="A2804" t="str">
            <v>LEANDRO ROBERTO MOIO Elenira Martinucho MOIO</v>
          </cell>
          <cell r="B2804">
            <v>37017392</v>
          </cell>
          <cell r="C2804">
            <v>20069537</v>
          </cell>
          <cell r="D2804">
            <v>45419</v>
          </cell>
        </row>
        <row r="2805">
          <cell r="A2805" t="str">
            <v>Jorge Augusto Pereira</v>
          </cell>
          <cell r="B2805">
            <v>37017409</v>
          </cell>
          <cell r="C2805">
            <v>20069554</v>
          </cell>
          <cell r="D2805">
            <v>45419</v>
          </cell>
        </row>
        <row r="2806">
          <cell r="A2806" t="str">
            <v>Edenilson Paludeto</v>
          </cell>
          <cell r="B2806">
            <v>37017411</v>
          </cell>
          <cell r="C2806">
            <v>20069556</v>
          </cell>
          <cell r="D2806">
            <v>45419</v>
          </cell>
        </row>
        <row r="2807">
          <cell r="A2807" t="str">
            <v>Mario Luiz Dos Santos Junior</v>
          </cell>
          <cell r="B2807">
            <v>37017416</v>
          </cell>
          <cell r="C2807">
            <v>20069561</v>
          </cell>
          <cell r="D2807">
            <v>45419</v>
          </cell>
        </row>
        <row r="2808">
          <cell r="A2808" t="str">
            <v>Rogerio Pedro Felicio</v>
          </cell>
          <cell r="B2808">
            <v>37017422</v>
          </cell>
          <cell r="C2808">
            <v>20069567</v>
          </cell>
          <cell r="D2808">
            <v>45419</v>
          </cell>
        </row>
        <row r="2809">
          <cell r="A2809" t="str">
            <v>José Milton da Conceição</v>
          </cell>
          <cell r="B2809">
            <v>37017424</v>
          </cell>
          <cell r="C2809">
            <v>20069569</v>
          </cell>
          <cell r="D2809">
            <v>45419</v>
          </cell>
        </row>
        <row r="2810">
          <cell r="A2810" t="str">
            <v>Luciano Benedito de Oliveira</v>
          </cell>
          <cell r="B2810">
            <v>37017461</v>
          </cell>
          <cell r="C2810">
            <v>20069604</v>
          </cell>
          <cell r="D2810">
            <v>45419</v>
          </cell>
        </row>
        <row r="2811">
          <cell r="A2811" t="str">
            <v>Lucas Souza Moreira</v>
          </cell>
          <cell r="B2811">
            <v>37017471</v>
          </cell>
          <cell r="C2811">
            <v>20069614</v>
          </cell>
          <cell r="D2811">
            <v>45419</v>
          </cell>
        </row>
        <row r="2812">
          <cell r="A2812" t="str">
            <v>Fabiana Santos Aparecida dos Santos</v>
          </cell>
          <cell r="B2812">
            <v>37017492</v>
          </cell>
          <cell r="C2812">
            <v>20069636</v>
          </cell>
          <cell r="D2812">
            <v>45419</v>
          </cell>
        </row>
        <row r="2813">
          <cell r="A2813" t="str">
            <v>CLÁUDIA ANGELICA DA SILVA PORTO</v>
          </cell>
          <cell r="B2813">
            <v>37017493</v>
          </cell>
          <cell r="C2813">
            <v>20069637</v>
          </cell>
          <cell r="D2813">
            <v>45419</v>
          </cell>
        </row>
        <row r="2814">
          <cell r="A2814" t="str">
            <v>Mariana Carvalho Tavares</v>
          </cell>
          <cell r="B2814">
            <v>37017496</v>
          </cell>
          <cell r="C2814">
            <v>20069640</v>
          </cell>
          <cell r="D2814">
            <v>45419</v>
          </cell>
        </row>
        <row r="2815">
          <cell r="A2815" t="str">
            <v>Cristiano Evangelista Junior</v>
          </cell>
          <cell r="B2815">
            <v>37017508</v>
          </cell>
          <cell r="C2815">
            <v>20069652</v>
          </cell>
          <cell r="D2815">
            <v>45419</v>
          </cell>
        </row>
        <row r="2816">
          <cell r="A2816" t="str">
            <v>Luan Fernandes Fernandes</v>
          </cell>
          <cell r="B2816">
            <v>37017506</v>
          </cell>
          <cell r="C2816">
            <v>20069650</v>
          </cell>
          <cell r="D2816">
            <v>45419</v>
          </cell>
        </row>
        <row r="2817">
          <cell r="A2817" t="str">
            <v>Diogenes Gilberto Medeiros Junior</v>
          </cell>
          <cell r="B2817">
            <v>37017527</v>
          </cell>
          <cell r="C2817">
            <v>20069676</v>
          </cell>
          <cell r="D2817">
            <v>45419</v>
          </cell>
        </row>
        <row r="2818">
          <cell r="A2818" t="str">
            <v>Maira Rabelo de Morais Pereira</v>
          </cell>
          <cell r="B2818">
            <v>37014856</v>
          </cell>
          <cell r="C2818">
            <v>20060406</v>
          </cell>
          <cell r="D2818">
            <v>45209</v>
          </cell>
        </row>
        <row r="2819">
          <cell r="A2819" t="str">
            <v>Rebeca Suelen dos Santos</v>
          </cell>
          <cell r="B2819">
            <v>37005821</v>
          </cell>
          <cell r="C2819">
            <v>20015611</v>
          </cell>
          <cell r="D2819">
            <v>44354</v>
          </cell>
        </row>
        <row r="2820">
          <cell r="A2820" t="str">
            <v>Natalia Venanzoni Ferreira Correa</v>
          </cell>
          <cell r="B2820">
            <v>37009649</v>
          </cell>
          <cell r="C2820">
            <v>20035718</v>
          </cell>
          <cell r="D2820">
            <v>44844</v>
          </cell>
        </row>
        <row r="2821">
          <cell r="A2821" t="str">
            <v>Cintia Maria De Oliveira Pereira</v>
          </cell>
          <cell r="B2821">
            <v>37014866</v>
          </cell>
          <cell r="C2821">
            <v>20060447</v>
          </cell>
          <cell r="D2821">
            <v>45209</v>
          </cell>
        </row>
        <row r="2822">
          <cell r="A2822" t="str">
            <v>Helber Machado Santana</v>
          </cell>
          <cell r="B2822">
            <v>37014451</v>
          </cell>
          <cell r="C2822">
            <v>20058850</v>
          </cell>
          <cell r="D2822">
            <v>45181</v>
          </cell>
        </row>
        <row r="2823">
          <cell r="A2823" t="str">
            <v>Liliana De Oliveira</v>
          </cell>
          <cell r="B2823">
            <v>37014859</v>
          </cell>
          <cell r="C2823">
            <v>20060409</v>
          </cell>
          <cell r="D2823">
            <v>45209</v>
          </cell>
        </row>
        <row r="2824">
          <cell r="A2824" t="str">
            <v>Rodolfo Bueno</v>
          </cell>
          <cell r="B2824">
            <v>37014531</v>
          </cell>
          <cell r="C2824">
            <v>20059057</v>
          </cell>
          <cell r="D2824">
            <v>45181</v>
          </cell>
        </row>
        <row r="2825">
          <cell r="A2825" t="str">
            <v>Fernanda Aparecida De Paula Rosa Igiano</v>
          </cell>
          <cell r="B2825">
            <v>37005243</v>
          </cell>
          <cell r="C2825">
            <v>20011074</v>
          </cell>
          <cell r="D2825">
            <v>44138</v>
          </cell>
        </row>
        <row r="2826">
          <cell r="A2826" t="str">
            <v>Jonathan Farias Oliveira</v>
          </cell>
          <cell r="B2826">
            <v>37006612</v>
          </cell>
          <cell r="C2826">
            <v>20018178</v>
          </cell>
          <cell r="D2826">
            <v>44487</v>
          </cell>
        </row>
        <row r="2827">
          <cell r="A2827" t="str">
            <v>Cassio Leandro Viana Avanci</v>
          </cell>
          <cell r="B2827">
            <v>37007426</v>
          </cell>
          <cell r="C2827">
            <v>20025470</v>
          </cell>
          <cell r="D2827">
            <v>44662</v>
          </cell>
        </row>
        <row r="2828">
          <cell r="A2828" t="str">
            <v>João Paulo de Faria Guarnieri</v>
          </cell>
          <cell r="B2828">
            <v>37017567</v>
          </cell>
          <cell r="C2828">
            <v>20069946</v>
          </cell>
          <cell r="D2828">
            <v>45426</v>
          </cell>
        </row>
        <row r="2829">
          <cell r="A2829" t="str">
            <v>Andrea De Oliveira Oliveira</v>
          </cell>
          <cell r="B2829">
            <v>37017575</v>
          </cell>
          <cell r="C2829">
            <v>20069954</v>
          </cell>
          <cell r="D2829">
            <v>45433</v>
          </cell>
        </row>
        <row r="2830">
          <cell r="A2830" t="str">
            <v>Nathalia Zuccolotto Viana</v>
          </cell>
          <cell r="B2830">
            <v>37009774</v>
          </cell>
          <cell r="C2830">
            <v>20036486</v>
          </cell>
          <cell r="D2830">
            <v>44851</v>
          </cell>
        </row>
        <row r="2831">
          <cell r="A2831" t="str">
            <v>Maria Eduarda Queiroz De Sa</v>
          </cell>
          <cell r="B2831">
            <v>37009772</v>
          </cell>
          <cell r="C2831">
            <v>20036493</v>
          </cell>
          <cell r="D2831">
            <v>44851</v>
          </cell>
        </row>
        <row r="2832">
          <cell r="A2832" t="str">
            <v>Maria Carolina De Mira Borrelli</v>
          </cell>
          <cell r="B2832">
            <v>37005775</v>
          </cell>
          <cell r="C2832">
            <v>20015605</v>
          </cell>
          <cell r="D2832">
            <v>44348</v>
          </cell>
        </row>
        <row r="2833">
          <cell r="A2833" t="str">
            <v>Pedro Carvalheiro De Menezes</v>
          </cell>
          <cell r="B2833">
            <v>37009767</v>
          </cell>
          <cell r="C2833">
            <v>20036495</v>
          </cell>
          <cell r="D2833">
            <v>44851</v>
          </cell>
        </row>
        <row r="2834">
          <cell r="A2834" t="str">
            <v>Marina Santeli De Paula</v>
          </cell>
          <cell r="B2834">
            <v>37017617</v>
          </cell>
          <cell r="C2834">
            <v>20070033</v>
          </cell>
          <cell r="D2834">
            <v>45426</v>
          </cell>
        </row>
        <row r="2835">
          <cell r="A2835" t="str">
            <v>Vitor Macedo Souza Tavares</v>
          </cell>
          <cell r="B2835">
            <v>37009764</v>
          </cell>
          <cell r="C2835">
            <v>20036494</v>
          </cell>
          <cell r="D2835">
            <v>44851</v>
          </cell>
        </row>
        <row r="2836">
          <cell r="A2836" t="str">
            <v>Lucas De Oliveira Argolo</v>
          </cell>
          <cell r="B2836">
            <v>37009766</v>
          </cell>
          <cell r="C2836">
            <v>20036497</v>
          </cell>
          <cell r="D2836">
            <v>44851</v>
          </cell>
        </row>
        <row r="2837">
          <cell r="A2837" t="str">
            <v>Carlos Eduardo Gomes Maximo Viscovicce</v>
          </cell>
          <cell r="B2837">
            <v>37017641</v>
          </cell>
          <cell r="C2837">
            <v>20070251</v>
          </cell>
          <cell r="D2837">
            <v>45433</v>
          </cell>
        </row>
        <row r="2838">
          <cell r="A2838" t="str">
            <v>Deivid Gomes Gomes</v>
          </cell>
          <cell r="B2838">
            <v>37017642</v>
          </cell>
          <cell r="C2838">
            <v>20070252</v>
          </cell>
          <cell r="D2838">
            <v>45433</v>
          </cell>
        </row>
        <row r="2839">
          <cell r="A2839" t="str">
            <v>Nathan Meni Furtado</v>
          </cell>
          <cell r="B2839">
            <v>37009758</v>
          </cell>
          <cell r="C2839">
            <v>20036472</v>
          </cell>
          <cell r="D2839">
            <v>44851</v>
          </cell>
        </row>
        <row r="2840">
          <cell r="A2840" t="str">
            <v>Samuel Vitor vernier chagas Vernier Vernier</v>
          </cell>
          <cell r="B2840">
            <v>37017695</v>
          </cell>
          <cell r="C2840">
            <v>20070321</v>
          </cell>
          <cell r="D2840">
            <v>45433</v>
          </cell>
        </row>
        <row r="2841">
          <cell r="A2841" t="str">
            <v>Marcos Vinicios dos Santos Silva</v>
          </cell>
          <cell r="B2841">
            <v>37017748</v>
          </cell>
          <cell r="C2841">
            <v>20049700</v>
          </cell>
          <cell r="D2841">
            <v>45426</v>
          </cell>
        </row>
        <row r="2842">
          <cell r="A2842" t="str">
            <v>ketelin Vitória Da Silva Alves</v>
          </cell>
          <cell r="B2842">
            <v>37900834</v>
          </cell>
          <cell r="C2842">
            <v>20070413</v>
          </cell>
          <cell r="D2842">
            <v>45433</v>
          </cell>
        </row>
        <row r="2843">
          <cell r="A2843" t="str">
            <v>Antonio Almeida Neto</v>
          </cell>
          <cell r="B2843">
            <v>37017822</v>
          </cell>
          <cell r="C2843">
            <v>20070729</v>
          </cell>
          <cell r="D2843">
            <v>45433</v>
          </cell>
        </row>
        <row r="2844">
          <cell r="A2844" t="str">
            <v>Camila Freitas Marighetti</v>
          </cell>
          <cell r="B2844">
            <v>37017840</v>
          </cell>
          <cell r="C2844">
            <v>20070812</v>
          </cell>
          <cell r="D2844">
            <v>45447</v>
          </cell>
        </row>
        <row r="2845">
          <cell r="A2845" t="str">
            <v>Maria Eduarda Pimentel Cardoso</v>
          </cell>
          <cell r="B2845">
            <v>37017846</v>
          </cell>
          <cell r="C2845">
            <v>20070853</v>
          </cell>
          <cell r="D2845">
            <v>45447</v>
          </cell>
        </row>
        <row r="2846">
          <cell r="A2846" t="str">
            <v>Rodrigo Dos Reis</v>
          </cell>
          <cell r="B2846">
            <v>37017897</v>
          </cell>
          <cell r="C2846">
            <v>20070944</v>
          </cell>
          <cell r="D2846">
            <v>45447</v>
          </cell>
        </row>
        <row r="2847">
          <cell r="A2847" t="str">
            <v>Gabriel Prado Carvalho</v>
          </cell>
          <cell r="B2847">
            <v>37017899</v>
          </cell>
          <cell r="C2847">
            <v>20070946</v>
          </cell>
          <cell r="D2847">
            <v>45447</v>
          </cell>
        </row>
        <row r="2848">
          <cell r="A2848" t="str">
            <v>Luis Felipe Da Silva Reis</v>
          </cell>
          <cell r="B2848">
            <v>37006892</v>
          </cell>
          <cell r="C2848">
            <v>20021299</v>
          </cell>
          <cell r="D2848">
            <v>44550</v>
          </cell>
        </row>
        <row r="2849">
          <cell r="A2849" t="str">
            <v>Diego Afonso Morales</v>
          </cell>
          <cell r="B2849">
            <v>37017918</v>
          </cell>
          <cell r="C2849">
            <v>20070965</v>
          </cell>
          <cell r="D2849">
            <v>45447</v>
          </cell>
        </row>
        <row r="2850">
          <cell r="A2850" t="str">
            <v>Mateus de Almeida Martin</v>
          </cell>
          <cell r="B2850">
            <v>37017923</v>
          </cell>
          <cell r="C2850">
            <v>20070970</v>
          </cell>
          <cell r="D2850">
            <v>45447</v>
          </cell>
        </row>
        <row r="2851">
          <cell r="A2851" t="str">
            <v>Isabel Cristina Campachi Longato</v>
          </cell>
          <cell r="B2851">
            <v>37008033</v>
          </cell>
          <cell r="C2851">
            <v>20025981</v>
          </cell>
          <cell r="D2851">
            <v>44713</v>
          </cell>
        </row>
        <row r="2852">
          <cell r="A2852" t="str">
            <v>Fabio Muramatsu Joao</v>
          </cell>
          <cell r="B2852">
            <v>37017971</v>
          </cell>
          <cell r="C2852">
            <v>20071239</v>
          </cell>
          <cell r="D2852">
            <v>45447</v>
          </cell>
        </row>
        <row r="2853">
          <cell r="A2853" t="str">
            <v>Fabio Antonio Vieira</v>
          </cell>
          <cell r="B2853">
            <v>37012302</v>
          </cell>
          <cell r="C2853">
            <v>20049260</v>
          </cell>
          <cell r="D2853">
            <v>45048</v>
          </cell>
        </row>
        <row r="2854">
          <cell r="A2854" t="str">
            <v>Patrick Marcelino Silva</v>
          </cell>
          <cell r="B2854">
            <v>37017988</v>
          </cell>
          <cell r="C2854">
            <v>20071331</v>
          </cell>
          <cell r="D2854">
            <v>45447</v>
          </cell>
        </row>
        <row r="2855">
          <cell r="A2855" t="str">
            <v>Carlos Alberto Rizzo Hoeller</v>
          </cell>
          <cell r="B2855">
            <v>37017989</v>
          </cell>
          <cell r="C2855">
            <v>20071345</v>
          </cell>
          <cell r="D2855">
            <v>45447</v>
          </cell>
        </row>
        <row r="2856">
          <cell r="A2856" t="str">
            <v>Isabela Caroline Berlato Soares Andrade</v>
          </cell>
          <cell r="B2856">
            <v>37008739</v>
          </cell>
          <cell r="C2856">
            <v>20032349</v>
          </cell>
          <cell r="D2856">
            <v>44774</v>
          </cell>
        </row>
        <row r="2857">
          <cell r="A2857" t="str">
            <v>Karina Belli</v>
          </cell>
          <cell r="B2857">
            <v>37018044</v>
          </cell>
          <cell r="C2857">
            <v>20071437</v>
          </cell>
          <cell r="D2857">
            <v>45454</v>
          </cell>
        </row>
        <row r="2858">
          <cell r="A2858" t="str">
            <v>Joao Batista De Oliveira</v>
          </cell>
          <cell r="B2858">
            <v>37014738</v>
          </cell>
          <cell r="C2858">
            <v>20059822</v>
          </cell>
          <cell r="D2858">
            <v>45202</v>
          </cell>
        </row>
        <row r="2859">
          <cell r="A2859" t="str">
            <v>Daniela Dos Santos Dias</v>
          </cell>
          <cell r="B2859">
            <v>37014599</v>
          </cell>
          <cell r="C2859">
            <v>20059187</v>
          </cell>
          <cell r="D2859">
            <v>45188</v>
          </cell>
        </row>
        <row r="2860">
          <cell r="A2860" t="str">
            <v>Thiago Barbosa de Lima</v>
          </cell>
          <cell r="B2860">
            <v>37014470</v>
          </cell>
          <cell r="C2860">
            <v>20058884</v>
          </cell>
          <cell r="D2860">
            <v>45181</v>
          </cell>
        </row>
        <row r="2861">
          <cell r="A2861" t="str">
            <v>Erik Andrade da Silva</v>
          </cell>
          <cell r="B2861">
            <v>37014849</v>
          </cell>
          <cell r="C2861">
            <v>20060399</v>
          </cell>
          <cell r="D2861">
            <v>45209</v>
          </cell>
        </row>
        <row r="2862">
          <cell r="A2862" t="str">
            <v>Fernanda Sbeghi Rodrigues da Silva</v>
          </cell>
          <cell r="B2862">
            <v>37017417</v>
          </cell>
          <cell r="C2862">
            <v>20069562</v>
          </cell>
          <cell r="D2862">
            <v>45419</v>
          </cell>
        </row>
        <row r="2863">
          <cell r="A2863" t="str">
            <v>Miliana Ribeiro</v>
          </cell>
          <cell r="B2863">
            <v>37014405</v>
          </cell>
          <cell r="C2863">
            <v>20058557</v>
          </cell>
          <cell r="D2863">
            <v>45174</v>
          </cell>
        </row>
        <row r="2864">
          <cell r="A2864" t="str">
            <v>Juliana Aparecida Florentino</v>
          </cell>
          <cell r="B2864">
            <v>37009315</v>
          </cell>
          <cell r="C2864">
            <v>20033044</v>
          </cell>
          <cell r="D2864">
            <v>44809</v>
          </cell>
        </row>
        <row r="2865">
          <cell r="A2865" t="str">
            <v>Priscila Diegoli</v>
          </cell>
          <cell r="B2865">
            <v>37001941</v>
          </cell>
          <cell r="C2865">
            <v>20009790</v>
          </cell>
          <cell r="D2865">
            <v>42835</v>
          </cell>
        </row>
        <row r="2866">
          <cell r="A2866" t="str">
            <v>Giovanna Carolina Penteado Pavan Nogueir</v>
          </cell>
          <cell r="B2866">
            <v>37006414</v>
          </cell>
          <cell r="C2866">
            <v>20018106</v>
          </cell>
          <cell r="D2866">
            <v>44455</v>
          </cell>
        </row>
        <row r="2867">
          <cell r="A2867" t="str">
            <v>Maciel Abilio</v>
          </cell>
          <cell r="B2867">
            <v>37018176</v>
          </cell>
          <cell r="C2867">
            <v>20072325</v>
          </cell>
          <cell r="D2867">
            <v>45461</v>
          </cell>
        </row>
        <row r="2868">
          <cell r="A2868" t="str">
            <v>Luiz Otávio Machado Moretto</v>
          </cell>
          <cell r="B2868">
            <v>37018175</v>
          </cell>
          <cell r="C2868">
            <v>20072324</v>
          </cell>
          <cell r="D2868">
            <v>45461</v>
          </cell>
        </row>
        <row r="2869">
          <cell r="A2869" t="str">
            <v>Jonas Belmont Da Silva</v>
          </cell>
          <cell r="B2869">
            <v>37018234</v>
          </cell>
          <cell r="C2869">
            <v>20072514</v>
          </cell>
          <cell r="D2869">
            <v>45461</v>
          </cell>
        </row>
        <row r="2870">
          <cell r="A2870" t="str">
            <v>Mariana De Oliveira</v>
          </cell>
          <cell r="B2870">
            <v>37013769</v>
          </cell>
          <cell r="C2870">
            <v>20056337</v>
          </cell>
          <cell r="D2870">
            <v>45139</v>
          </cell>
        </row>
        <row r="2871">
          <cell r="A2871" t="str">
            <v>Igor Gilioli</v>
          </cell>
          <cell r="B2871">
            <v>37018265</v>
          </cell>
          <cell r="C2871">
            <v>20049656</v>
          </cell>
          <cell r="D2871">
            <v>45475</v>
          </cell>
        </row>
        <row r="2872">
          <cell r="A2872" t="str">
            <v>MARISTELA SOARES FRAGA</v>
          </cell>
          <cell r="B2872">
            <v>37018268</v>
          </cell>
          <cell r="C2872">
            <v>20072795</v>
          </cell>
          <cell r="D2872">
            <v>45475</v>
          </cell>
        </row>
        <row r="2873">
          <cell r="A2873" t="str">
            <v>Victor Hugo Cavalcante De Freitas</v>
          </cell>
          <cell r="B2873">
            <v>37018276</v>
          </cell>
          <cell r="C2873">
            <v>20072825</v>
          </cell>
          <cell r="D2873">
            <v>45489</v>
          </cell>
        </row>
        <row r="2874">
          <cell r="A2874" t="str">
            <v>Luiza Rossi</v>
          </cell>
          <cell r="B2874">
            <v>37005349</v>
          </cell>
          <cell r="C2874">
            <v>20014461</v>
          </cell>
          <cell r="D2874">
            <v>44235</v>
          </cell>
        </row>
        <row r="2875">
          <cell r="A2875" t="str">
            <v>Luiz Ricardo dos Santos Marques</v>
          </cell>
          <cell r="B2875">
            <v>37018161</v>
          </cell>
          <cell r="C2875">
            <v>20072310</v>
          </cell>
          <cell r="D2875">
            <v>45461</v>
          </cell>
        </row>
        <row r="2876">
          <cell r="A2876" t="str">
            <v>Matheus Fernando Paula de Souza</v>
          </cell>
          <cell r="B2876">
            <v>37018319</v>
          </cell>
          <cell r="C2876">
            <v>20073103</v>
          </cell>
          <cell r="D2876">
            <v>45475</v>
          </cell>
        </row>
        <row r="2877">
          <cell r="A2877" t="str">
            <v>Wellington Martins de Lima</v>
          </cell>
          <cell r="B2877">
            <v>37018340</v>
          </cell>
          <cell r="C2877">
            <v>20073124</v>
          </cell>
          <cell r="D2877">
            <v>45475</v>
          </cell>
        </row>
        <row r="2878">
          <cell r="A2878" t="str">
            <v>Rhayra Da Silva Paiva Branco</v>
          </cell>
          <cell r="B2878">
            <v>37018367</v>
          </cell>
          <cell r="C2878">
            <v>20073151</v>
          </cell>
          <cell r="D2878">
            <v>45475</v>
          </cell>
        </row>
        <row r="2879">
          <cell r="A2879" t="str">
            <v>Elon Andrade Targas</v>
          </cell>
          <cell r="B2879">
            <v>37014749</v>
          </cell>
          <cell r="C2879">
            <v>20059916</v>
          </cell>
          <cell r="D2879">
            <v>45202</v>
          </cell>
        </row>
        <row r="2880">
          <cell r="A2880" t="str">
            <v>Joao Pedro Babeto Marqui</v>
          </cell>
          <cell r="B2880" t="e">
            <v>#N/A</v>
          </cell>
          <cell r="C2880">
            <v>20049708</v>
          </cell>
          <cell r="D2880" t="e">
            <v>#N/A</v>
          </cell>
        </row>
        <row r="2881">
          <cell r="A2881" t="str">
            <v>Helder Felisbino Felisbino</v>
          </cell>
          <cell r="B2881">
            <v>37018465</v>
          </cell>
          <cell r="C2881">
            <v>20073661</v>
          </cell>
          <cell r="D2881">
            <v>45483</v>
          </cell>
        </row>
        <row r="2882">
          <cell r="A2882" t="str">
            <v>Felipe Veloso Veloso</v>
          </cell>
          <cell r="B2882">
            <v>37018474</v>
          </cell>
          <cell r="C2882">
            <v>20073670</v>
          </cell>
          <cell r="D2882">
            <v>45483</v>
          </cell>
        </row>
        <row r="2883">
          <cell r="A2883" t="str">
            <v>Leonardo Rabelo Beltramin</v>
          </cell>
          <cell r="B2883">
            <v>37018481</v>
          </cell>
          <cell r="C2883">
            <v>20073677</v>
          </cell>
          <cell r="D2883">
            <v>45483</v>
          </cell>
        </row>
        <row r="2884">
          <cell r="A2884" t="str">
            <v>Felipe Campos Borsari</v>
          </cell>
          <cell r="B2884">
            <v>37018424</v>
          </cell>
          <cell r="C2884">
            <v>20049721</v>
          </cell>
          <cell r="D2884">
            <v>45483</v>
          </cell>
        </row>
        <row r="2885">
          <cell r="A2885" t="str">
            <v>Bruno Prado de Carvalho</v>
          </cell>
          <cell r="B2885">
            <v>37018514</v>
          </cell>
          <cell r="C2885">
            <v>20073871</v>
          </cell>
          <cell r="D2885">
            <v>45483</v>
          </cell>
        </row>
        <row r="2886">
          <cell r="A2886" t="str">
            <v>André Luis Sanita dos Santos</v>
          </cell>
          <cell r="B2886">
            <v>37018531</v>
          </cell>
          <cell r="C2886">
            <v>20073888</v>
          </cell>
          <cell r="D2886">
            <v>45483</v>
          </cell>
        </row>
        <row r="2887">
          <cell r="A2887" t="str">
            <v>Natalia Martins Azevedo</v>
          </cell>
          <cell r="B2887">
            <v>37007258</v>
          </cell>
          <cell r="C2887">
            <v>20025424</v>
          </cell>
          <cell r="D2887">
            <v>44627</v>
          </cell>
        </row>
        <row r="2888">
          <cell r="A2888" t="str">
            <v>Thamirys Santos de Moraes</v>
          </cell>
          <cell r="B2888">
            <v>37014307</v>
          </cell>
          <cell r="C2888">
            <v>20058408</v>
          </cell>
          <cell r="D2888">
            <v>45174</v>
          </cell>
        </row>
        <row r="2889">
          <cell r="A2889" t="str">
            <v>Rosangela Moreira Da Silva</v>
          </cell>
          <cell r="B2889">
            <v>37004849</v>
          </cell>
          <cell r="C2889">
            <v>20008413</v>
          </cell>
          <cell r="D2889">
            <v>44082</v>
          </cell>
        </row>
        <row r="2890">
          <cell r="A2890" t="str">
            <v>Michele Saito</v>
          </cell>
          <cell r="B2890">
            <v>37018572</v>
          </cell>
          <cell r="C2890">
            <v>20074122</v>
          </cell>
          <cell r="D2890">
            <v>45489</v>
          </cell>
        </row>
        <row r="2891">
          <cell r="A2891" t="str">
            <v>Ana Paula Obrzut Bortoloto</v>
          </cell>
          <cell r="B2891">
            <v>37018577</v>
          </cell>
          <cell r="C2891">
            <v>20074131</v>
          </cell>
          <cell r="D2891">
            <v>45489</v>
          </cell>
        </row>
        <row r="2892">
          <cell r="A2892" t="str">
            <v>Emanuelle Pasqualinotto De Oliveira</v>
          </cell>
          <cell r="B2892">
            <v>37018583</v>
          </cell>
          <cell r="C2892">
            <v>20057342</v>
          </cell>
          <cell r="D2892">
            <v>45489</v>
          </cell>
        </row>
        <row r="2893">
          <cell r="A2893" t="str">
            <v>Richard Rodrigues Leandro</v>
          </cell>
          <cell r="B2893">
            <v>37018635</v>
          </cell>
          <cell r="C2893">
            <v>20074425</v>
          </cell>
          <cell r="D2893">
            <v>45489</v>
          </cell>
        </row>
        <row r="2894">
          <cell r="A2894" t="str">
            <v>Daniel Dreher Silveira</v>
          </cell>
          <cell r="B2894">
            <v>37004121</v>
          </cell>
          <cell r="C2894">
            <v>20008166</v>
          </cell>
          <cell r="D2894">
            <v>43843</v>
          </cell>
        </row>
        <row r="2895">
          <cell r="A2895" t="str">
            <v>Alex Sandro Jacobis</v>
          </cell>
          <cell r="B2895">
            <v>37015002</v>
          </cell>
          <cell r="C2895">
            <v>20060749</v>
          </cell>
          <cell r="D2895">
            <v>45216</v>
          </cell>
        </row>
        <row r="2896">
          <cell r="A2896" t="str">
            <v>Matheus Rodrigues Eulalio</v>
          </cell>
          <cell r="B2896">
            <v>37001622</v>
          </cell>
          <cell r="C2896">
            <v>20009681</v>
          </cell>
          <cell r="D2896">
            <v>42415</v>
          </cell>
        </row>
        <row r="2897">
          <cell r="A2897" t="str">
            <v>Nicole Giansante Nogueira</v>
          </cell>
          <cell r="B2897">
            <v>37010254</v>
          </cell>
          <cell r="C2897">
            <v>20038983</v>
          </cell>
          <cell r="D2897">
            <v>44900</v>
          </cell>
        </row>
        <row r="2898">
          <cell r="A2898" t="str">
            <v>Valderes da Silva Sobrinho</v>
          </cell>
          <cell r="B2898">
            <v>37018719</v>
          </cell>
          <cell r="C2898">
            <v>20074905</v>
          </cell>
          <cell r="D2898">
            <v>45510</v>
          </cell>
        </row>
        <row r="2899">
          <cell r="A2899" t="str">
            <v>Priscila Da Rocha Lopes</v>
          </cell>
          <cell r="B2899">
            <v>37018720</v>
          </cell>
          <cell r="C2899">
            <v>20074906</v>
          </cell>
          <cell r="D2899">
            <v>45510</v>
          </cell>
        </row>
        <row r="2900">
          <cell r="A2900" t="str">
            <v>Elias Da Silva</v>
          </cell>
          <cell r="B2900">
            <v>37018763</v>
          </cell>
          <cell r="C2900">
            <v>20075049</v>
          </cell>
          <cell r="D2900">
            <v>45510</v>
          </cell>
        </row>
        <row r="2901">
          <cell r="A2901" t="str">
            <v>Lucas Fernando dos Santos</v>
          </cell>
          <cell r="B2901">
            <v>37018759</v>
          </cell>
          <cell r="C2901">
            <v>20075045</v>
          </cell>
          <cell r="D2901">
            <v>45510</v>
          </cell>
        </row>
        <row r="2902">
          <cell r="A2902" t="str">
            <v>JOSUE PEDRO DOS SANTOS BORGES</v>
          </cell>
          <cell r="B2902">
            <v>37018832</v>
          </cell>
          <cell r="C2902">
            <v>20075127</v>
          </cell>
          <cell r="D2902">
            <v>45510</v>
          </cell>
        </row>
        <row r="2903">
          <cell r="A2903" t="str">
            <v>Tan Lee Ling</v>
          </cell>
          <cell r="B2903">
            <v>37008732</v>
          </cell>
          <cell r="C2903">
            <v>20016214</v>
          </cell>
          <cell r="D2903">
            <v>44760</v>
          </cell>
        </row>
        <row r="2904">
          <cell r="A2904" t="str">
            <v>Joao Victor Pereira</v>
          </cell>
          <cell r="B2904">
            <v>37007733</v>
          </cell>
          <cell r="C2904">
            <v>20025815</v>
          </cell>
          <cell r="D2904">
            <v>44697</v>
          </cell>
        </row>
        <row r="2905">
          <cell r="A2905" t="str">
            <v>Andre Luiz Pracidio de Araujo</v>
          </cell>
          <cell r="B2905">
            <v>37018862</v>
          </cell>
          <cell r="C2905">
            <v>20075475</v>
          </cell>
          <cell r="D2905">
            <v>45517</v>
          </cell>
        </row>
        <row r="2906">
          <cell r="A2906" t="str">
            <v>Maylon Oliveira Pinto</v>
          </cell>
          <cell r="B2906">
            <v>37012575</v>
          </cell>
          <cell r="C2906">
            <v>20050807</v>
          </cell>
          <cell r="D2906">
            <v>45069</v>
          </cell>
        </row>
        <row r="2907">
          <cell r="A2907" t="str">
            <v>REINNER SILVA TOLENTINO</v>
          </cell>
          <cell r="B2907">
            <v>37011912</v>
          </cell>
          <cell r="C2907">
            <v>20046717</v>
          </cell>
          <cell r="D2907">
            <v>45019</v>
          </cell>
        </row>
        <row r="2908">
          <cell r="A2908" t="str">
            <v>Eduardo Da Silva Lima</v>
          </cell>
          <cell r="B2908">
            <v>37004605</v>
          </cell>
          <cell r="C2908">
            <v>20008965</v>
          </cell>
          <cell r="D2908">
            <v>44018</v>
          </cell>
        </row>
        <row r="2909">
          <cell r="A2909" t="str">
            <v>Rodolfo de Oliveira Girotto</v>
          </cell>
          <cell r="B2909">
            <v>37018917</v>
          </cell>
          <cell r="C2909">
            <v>20076051</v>
          </cell>
          <cell r="D2909">
            <v>45524</v>
          </cell>
        </row>
        <row r="2910">
          <cell r="A2910" t="str">
            <v>Carlos Henrique Canolla</v>
          </cell>
          <cell r="B2910">
            <v>37018976</v>
          </cell>
          <cell r="C2910">
            <v>20076195</v>
          </cell>
          <cell r="D2910">
            <v>45524</v>
          </cell>
        </row>
        <row r="2911">
          <cell r="A2911" t="str">
            <v>Marcelo Augusto De Souza</v>
          </cell>
          <cell r="B2911">
            <v>37018980</v>
          </cell>
          <cell r="C2911">
            <v>20076199</v>
          </cell>
          <cell r="D2911">
            <v>45524</v>
          </cell>
        </row>
        <row r="2912">
          <cell r="A2912" t="str">
            <v>Diandrey da Silva Rodrigues Borgo</v>
          </cell>
          <cell r="B2912">
            <v>37019065</v>
          </cell>
          <cell r="C2912">
            <v>20076918</v>
          </cell>
          <cell r="D2912">
            <v>45538</v>
          </cell>
        </row>
        <row r="2913">
          <cell r="A2913" t="str">
            <v>Douglas Tadeu Candido da Silva Silva</v>
          </cell>
          <cell r="B2913">
            <v>37019059</v>
          </cell>
          <cell r="C2913">
            <v>20076912</v>
          </cell>
          <cell r="D2913">
            <v>45538</v>
          </cell>
        </row>
        <row r="2914">
          <cell r="A2914" t="str">
            <v>Everton Aparecido de Leliz</v>
          </cell>
          <cell r="B2914">
            <v>37019060</v>
          </cell>
          <cell r="C2914">
            <v>20076913</v>
          </cell>
          <cell r="D2914">
            <v>45538</v>
          </cell>
        </row>
        <row r="2915">
          <cell r="A2915" t="str">
            <v>Renato da Silva</v>
          </cell>
          <cell r="B2915">
            <v>37019077</v>
          </cell>
          <cell r="C2915">
            <v>20076930</v>
          </cell>
          <cell r="D2915">
            <v>45552</v>
          </cell>
        </row>
        <row r="2916">
          <cell r="A2916" t="str">
            <v>Silvan Dos Santos Pinto</v>
          </cell>
          <cell r="B2916">
            <v>37009984</v>
          </cell>
          <cell r="C2916">
            <v>20037442</v>
          </cell>
          <cell r="D2916">
            <v>44872</v>
          </cell>
        </row>
        <row r="2917">
          <cell r="A2917" t="str">
            <v>Ana Paula De Oliveira Neutzling Schneid</v>
          </cell>
          <cell r="B2917">
            <v>37008766</v>
          </cell>
          <cell r="C2917">
            <v>20032413</v>
          </cell>
          <cell r="D2917">
            <v>44774</v>
          </cell>
        </row>
        <row r="2918">
          <cell r="A2918" t="str">
            <v>Carla Carolina Prestes Fabro da Silva</v>
          </cell>
          <cell r="B2918">
            <v>37015308</v>
          </cell>
          <cell r="C2918">
            <v>20062077</v>
          </cell>
          <cell r="D2918">
            <v>45243</v>
          </cell>
        </row>
        <row r="2919">
          <cell r="A2919" t="str">
            <v>Lorena Prado Sian</v>
          </cell>
          <cell r="B2919">
            <v>37019122</v>
          </cell>
          <cell r="C2919">
            <v>20057224</v>
          </cell>
          <cell r="D2919">
            <v>45538</v>
          </cell>
        </row>
        <row r="2920">
          <cell r="A2920" t="str">
            <v>Igor Thiago Pereira</v>
          </cell>
          <cell r="B2920">
            <v>37019145</v>
          </cell>
          <cell r="C2920">
            <v>20077352</v>
          </cell>
          <cell r="D2920">
            <v>45545</v>
          </cell>
        </row>
        <row r="2921">
          <cell r="A2921" t="str">
            <v>Renan Adriano dos Santos</v>
          </cell>
          <cell r="B2921">
            <v>37019170</v>
          </cell>
          <cell r="C2921">
            <v>20077377</v>
          </cell>
          <cell r="D2921">
            <v>45545</v>
          </cell>
        </row>
        <row r="2922">
          <cell r="A2922" t="str">
            <v>Elaine Cristina De Almeida Neves</v>
          </cell>
          <cell r="B2922">
            <v>37004076</v>
          </cell>
          <cell r="C2922">
            <v>20008974</v>
          </cell>
          <cell r="D2922">
            <v>43836</v>
          </cell>
        </row>
        <row r="2923">
          <cell r="A2923" t="str">
            <v>Elvis Gonçalves Do Bem</v>
          </cell>
          <cell r="B2923">
            <v>37019268</v>
          </cell>
          <cell r="C2923">
            <v>20077950</v>
          </cell>
          <cell r="D2923">
            <v>45552</v>
          </cell>
        </row>
        <row r="2924">
          <cell r="A2924" t="str">
            <v>Alessandro Lima</v>
          </cell>
          <cell r="B2924">
            <v>37019287</v>
          </cell>
          <cell r="C2924">
            <v>20077969</v>
          </cell>
          <cell r="D2924">
            <v>45552</v>
          </cell>
        </row>
        <row r="2925">
          <cell r="A2925" t="str">
            <v>Douglas Dos Santos Leandro</v>
          </cell>
          <cell r="B2925">
            <v>37019301</v>
          </cell>
          <cell r="C2925">
            <v>20077996</v>
          </cell>
          <cell r="D2925">
            <v>45552</v>
          </cell>
        </row>
        <row r="2926">
          <cell r="A2926" t="str">
            <v>Viviane Farias dos Santos</v>
          </cell>
          <cell r="B2926">
            <v>37019315</v>
          </cell>
          <cell r="C2926">
            <v>20078010</v>
          </cell>
          <cell r="D2926">
            <v>45552</v>
          </cell>
        </row>
        <row r="2927">
          <cell r="A2927" t="str">
            <v>Aparecido Antonio Cordeiro</v>
          </cell>
          <cell r="B2927">
            <v>37000352</v>
          </cell>
          <cell r="C2927">
            <v>20008673</v>
          </cell>
          <cell r="D2927">
            <v>37508</v>
          </cell>
        </row>
        <row r="2928">
          <cell r="A2928" t="str">
            <v>João Vitor Peixoto Cunha</v>
          </cell>
          <cell r="B2928">
            <v>37900917</v>
          </cell>
          <cell r="C2928">
            <v>20078067</v>
          </cell>
          <cell r="D2928">
            <v>45552</v>
          </cell>
        </row>
        <row r="2929">
          <cell r="A2929" t="str">
            <v>Ivaldo Ivanildo Silva</v>
          </cell>
          <cell r="B2929">
            <v>37900919</v>
          </cell>
          <cell r="C2929">
            <v>20078069</v>
          </cell>
          <cell r="D2929">
            <v>45552</v>
          </cell>
        </row>
        <row r="2930">
          <cell r="A2930" t="str">
            <v>Goh Wee Chee</v>
          </cell>
          <cell r="B2930">
            <v>37008733</v>
          </cell>
          <cell r="C2930">
            <v>10053118</v>
          </cell>
          <cell r="D2930">
            <v>44760</v>
          </cell>
        </row>
        <row r="2931">
          <cell r="A2931" t="str">
            <v>Jose Vitor Marques de Souza</v>
          </cell>
          <cell r="B2931">
            <v>37900916</v>
          </cell>
          <cell r="C2931">
            <v>20078066</v>
          </cell>
          <cell r="D2931">
            <v>45552</v>
          </cell>
        </row>
        <row r="2932">
          <cell r="A2932" t="str">
            <v>Jamily Malaquias De Oliveira</v>
          </cell>
          <cell r="B2932">
            <v>37900918</v>
          </cell>
          <cell r="C2932">
            <v>20078068</v>
          </cell>
          <cell r="D2932">
            <v>45552</v>
          </cell>
        </row>
        <row r="2933">
          <cell r="A2933" t="str">
            <v>Marcos Felipe Angelici Dos Santos</v>
          </cell>
          <cell r="B2933">
            <v>37900920</v>
          </cell>
          <cell r="C2933">
            <v>20078099</v>
          </cell>
          <cell r="D2933">
            <v>45552</v>
          </cell>
        </row>
        <row r="2934">
          <cell r="A2934" t="str">
            <v>Luiz Gustavo Zoccante</v>
          </cell>
          <cell r="B2934">
            <v>37900922</v>
          </cell>
          <cell r="C2934">
            <v>20078102</v>
          </cell>
          <cell r="D2934">
            <v>45552</v>
          </cell>
        </row>
        <row r="2935">
          <cell r="A2935" t="str">
            <v>Matheus Da Silva Machado</v>
          </cell>
          <cell r="B2935">
            <v>37900923</v>
          </cell>
          <cell r="C2935">
            <v>20078104</v>
          </cell>
          <cell r="D2935">
            <v>45552</v>
          </cell>
        </row>
        <row r="2936">
          <cell r="A2936" t="str">
            <v>Maria Clara de Biazi Mendes da Silva</v>
          </cell>
          <cell r="B2936">
            <v>37900924</v>
          </cell>
          <cell r="C2936">
            <v>20078105</v>
          </cell>
          <cell r="D2936">
            <v>45552</v>
          </cell>
        </row>
        <row r="2937">
          <cell r="A2937" t="str">
            <v>Kayna Rafael Da Silva</v>
          </cell>
          <cell r="B2937">
            <v>37900928</v>
          </cell>
          <cell r="C2937">
            <v>20078111</v>
          </cell>
          <cell r="D2937">
            <v>45552</v>
          </cell>
        </row>
        <row r="2938">
          <cell r="A2938" t="str">
            <v>Kelvin Morramed Leal Silvestre</v>
          </cell>
          <cell r="B2938">
            <v>37900929</v>
          </cell>
          <cell r="C2938">
            <v>20078113</v>
          </cell>
          <cell r="D2938">
            <v>45552</v>
          </cell>
        </row>
        <row r="2939">
          <cell r="A2939" t="str">
            <v>Kemilly Vitória Vitória Da Silva Ribeiro</v>
          </cell>
          <cell r="B2939">
            <v>37900931</v>
          </cell>
          <cell r="C2939">
            <v>20078115</v>
          </cell>
          <cell r="D2939">
            <v>45552</v>
          </cell>
        </row>
        <row r="2940">
          <cell r="A2940" t="str">
            <v>Raiane Santana Silva</v>
          </cell>
          <cell r="B2940">
            <v>37900933</v>
          </cell>
          <cell r="C2940">
            <v>20078117</v>
          </cell>
          <cell r="D2940">
            <v>45552</v>
          </cell>
        </row>
        <row r="2941">
          <cell r="A2941" t="str">
            <v>Fernando Costa Pereira</v>
          </cell>
          <cell r="B2941">
            <v>37900925</v>
          </cell>
          <cell r="C2941">
            <v>20078106</v>
          </cell>
          <cell r="D2941">
            <v>45552</v>
          </cell>
        </row>
        <row r="2942">
          <cell r="A2942" t="str">
            <v>Adriele Cristina Bastos</v>
          </cell>
          <cell r="B2942">
            <v>37019332</v>
          </cell>
          <cell r="C2942">
            <v>20078107</v>
          </cell>
          <cell r="D2942">
            <v>45552</v>
          </cell>
        </row>
        <row r="2943">
          <cell r="A2943" t="str">
            <v>Kaike Roseli Aparecida Da Silva Celestino</v>
          </cell>
          <cell r="B2943">
            <v>37900927</v>
          </cell>
          <cell r="C2943">
            <v>20078109</v>
          </cell>
          <cell r="D2943">
            <v>45552</v>
          </cell>
        </row>
        <row r="2944">
          <cell r="A2944" t="str">
            <v>Lea Fernanda Ferreira</v>
          </cell>
          <cell r="B2944">
            <v>37900930</v>
          </cell>
          <cell r="C2944">
            <v>20078114</v>
          </cell>
          <cell r="D2944" t="str">
            <v>00/01/1900</v>
          </cell>
        </row>
        <row r="2945">
          <cell r="A2945" t="str">
            <v>Rafaela Pereira Gomes</v>
          </cell>
          <cell r="B2945">
            <v>37900937</v>
          </cell>
          <cell r="C2945">
            <v>20078121</v>
          </cell>
          <cell r="D2945">
            <v>45552</v>
          </cell>
        </row>
        <row r="2946">
          <cell r="A2946" t="str">
            <v>Stephan Lima Albuquerque</v>
          </cell>
          <cell r="B2946">
            <v>37900938</v>
          </cell>
          <cell r="C2946">
            <v>20078122</v>
          </cell>
          <cell r="D2946" t="str">
            <v>00/01/1900</v>
          </cell>
        </row>
        <row r="2947">
          <cell r="A2947" t="str">
            <v>Sara Reis de Souza</v>
          </cell>
          <cell r="B2947">
            <v>37900940</v>
          </cell>
          <cell r="C2947">
            <v>20078124</v>
          </cell>
          <cell r="D2947">
            <v>45552</v>
          </cell>
        </row>
        <row r="2948">
          <cell r="A2948" t="str">
            <v>Cíntia Raquel Do Nascimento Dionizio</v>
          </cell>
          <cell r="B2948">
            <v>37900942</v>
          </cell>
          <cell r="C2948">
            <v>20078147</v>
          </cell>
          <cell r="D2948" t="str">
            <v>00/01/1900</v>
          </cell>
        </row>
        <row r="2949">
          <cell r="A2949" t="str">
            <v>Bruna Paula Da Silva</v>
          </cell>
          <cell r="B2949">
            <v>37005570</v>
          </cell>
          <cell r="C2949">
            <v>20015596</v>
          </cell>
          <cell r="D2949">
            <v>44298</v>
          </cell>
        </row>
        <row r="2950">
          <cell r="A2950" t="str">
            <v>Taylor Rafael Da Silva</v>
          </cell>
          <cell r="B2950">
            <v>37900943</v>
          </cell>
          <cell r="C2950">
            <v>20078148</v>
          </cell>
          <cell r="D2950">
            <v>45552</v>
          </cell>
        </row>
        <row r="2951">
          <cell r="A2951" t="str">
            <v>Giovana Micheli De Godoi</v>
          </cell>
          <cell r="B2951">
            <v>37900948</v>
          </cell>
          <cell r="C2951">
            <v>20078154</v>
          </cell>
          <cell r="D2951" t="str">
            <v>00/01/1900</v>
          </cell>
        </row>
        <row r="2952">
          <cell r="A2952" t="str">
            <v>Caroline Silva De Oliveira</v>
          </cell>
          <cell r="B2952">
            <v>37900944</v>
          </cell>
          <cell r="C2952">
            <v>20078149</v>
          </cell>
          <cell r="D2952" t="str">
            <v>00/01/1900</v>
          </cell>
        </row>
        <row r="2953">
          <cell r="A2953" t="str">
            <v>Jefferson Gois Da Silva Dias</v>
          </cell>
          <cell r="B2953">
            <v>37900947</v>
          </cell>
          <cell r="C2953">
            <v>20078153</v>
          </cell>
          <cell r="D2953">
            <v>45552</v>
          </cell>
        </row>
        <row r="2954">
          <cell r="A2954" t="str">
            <v>Beatriz Silva Da Cruz</v>
          </cell>
          <cell r="B2954">
            <v>37900949</v>
          </cell>
          <cell r="C2954">
            <v>20078155</v>
          </cell>
          <cell r="D2954">
            <v>45552</v>
          </cell>
        </row>
        <row r="2955">
          <cell r="A2955" t="str">
            <v>Eduarda Andrade</v>
          </cell>
          <cell r="B2955">
            <v>37900951</v>
          </cell>
          <cell r="C2955">
            <v>20078158</v>
          </cell>
          <cell r="D2955">
            <v>45552</v>
          </cell>
        </row>
        <row r="2956">
          <cell r="A2956" t="str">
            <v>Ednally Júllya De França Silva</v>
          </cell>
          <cell r="B2956">
            <v>37900953</v>
          </cell>
          <cell r="C2956">
            <v>20078160</v>
          </cell>
          <cell r="D2956">
            <v>45552</v>
          </cell>
        </row>
        <row r="2957">
          <cell r="A2957" t="str">
            <v>Gabriel Salgado Buona</v>
          </cell>
          <cell r="B2957">
            <v>37900955</v>
          </cell>
          <cell r="C2957">
            <v>20078162</v>
          </cell>
          <cell r="D2957" t="str">
            <v>00/01/1900</v>
          </cell>
        </row>
        <row r="2958">
          <cell r="A2958" t="str">
            <v>Daniel Da Silva Pontes</v>
          </cell>
          <cell r="B2958">
            <v>37900956</v>
          </cell>
          <cell r="C2958">
            <v>20078163</v>
          </cell>
          <cell r="D2958">
            <v>45552</v>
          </cell>
        </row>
        <row r="2959">
          <cell r="A2959" t="str">
            <v>Natalia Fernanda Baptista</v>
          </cell>
          <cell r="B2959">
            <v>37900958</v>
          </cell>
          <cell r="C2959">
            <v>20078191</v>
          </cell>
          <cell r="D2959" t="str">
            <v>00/01/1900</v>
          </cell>
        </row>
        <row r="2960">
          <cell r="A2960" t="str">
            <v>Isis Afonso Medeiros</v>
          </cell>
          <cell r="B2960">
            <v>37900960</v>
          </cell>
          <cell r="C2960">
            <v>20078193</v>
          </cell>
          <cell r="D2960">
            <v>45552</v>
          </cell>
        </row>
        <row r="2961">
          <cell r="A2961" t="str">
            <v>Izaque Euzebio Pire Da Rosa</v>
          </cell>
          <cell r="B2961">
            <v>37900961</v>
          </cell>
          <cell r="C2961">
            <v>20078194</v>
          </cell>
          <cell r="D2961">
            <v>45552</v>
          </cell>
        </row>
        <row r="2962">
          <cell r="A2962" t="str">
            <v>Filipe Henrique Pedroso</v>
          </cell>
          <cell r="B2962">
            <v>37900957</v>
          </cell>
          <cell r="C2962">
            <v>20078190</v>
          </cell>
          <cell r="D2962">
            <v>45552</v>
          </cell>
        </row>
        <row r="2963">
          <cell r="A2963" t="str">
            <v>Isadora Pereira</v>
          </cell>
          <cell r="B2963">
            <v>37900959</v>
          </cell>
          <cell r="C2963">
            <v>20078192</v>
          </cell>
          <cell r="D2963">
            <v>45552</v>
          </cell>
        </row>
        <row r="2964">
          <cell r="A2964" t="str">
            <v>Ruan Vitor Jesus Santana</v>
          </cell>
          <cell r="B2964">
            <v>37900962</v>
          </cell>
          <cell r="C2964">
            <v>20078195</v>
          </cell>
          <cell r="D2964" t="str">
            <v>00/01/1900</v>
          </cell>
        </row>
        <row r="2965">
          <cell r="A2965" t="str">
            <v>Fabiano Sant Anna de Oliveira</v>
          </cell>
          <cell r="B2965">
            <v>37019382</v>
          </cell>
          <cell r="C2965">
            <v>20078363</v>
          </cell>
          <cell r="D2965">
            <v>45566</v>
          </cell>
        </row>
        <row r="2966">
          <cell r="A2966" t="str">
            <v>Mabia Estefula Da Silva</v>
          </cell>
          <cell r="B2966">
            <v>37019387</v>
          </cell>
          <cell r="C2966">
            <v>20078368</v>
          </cell>
          <cell r="D2966">
            <v>45566</v>
          </cell>
        </row>
        <row r="2967">
          <cell r="A2967" t="str">
            <v>Rodolfo Augusto Felicio</v>
          </cell>
          <cell r="B2967">
            <v>37019393</v>
          </cell>
          <cell r="C2967">
            <v>20078374</v>
          </cell>
          <cell r="D2967">
            <v>45566</v>
          </cell>
        </row>
        <row r="2968">
          <cell r="A2968" t="str">
            <v>Danielle Campos Saggiorato</v>
          </cell>
          <cell r="B2968">
            <v>37019390</v>
          </cell>
          <cell r="C2968">
            <v>20078371</v>
          </cell>
          <cell r="D2968">
            <v>45566</v>
          </cell>
        </row>
        <row r="2969">
          <cell r="A2969" t="str">
            <v>Matheus Ferreira Dionizio</v>
          </cell>
          <cell r="B2969">
            <v>37019412</v>
          </cell>
          <cell r="C2969">
            <v>20078396</v>
          </cell>
          <cell r="D2969">
            <v>45566</v>
          </cell>
        </row>
        <row r="2970">
          <cell r="A2970" t="str">
            <v>Jessica Cristina dos Santos Araujo</v>
          </cell>
          <cell r="B2970">
            <v>37019407</v>
          </cell>
          <cell r="C2970">
            <v>20078391</v>
          </cell>
          <cell r="D2970">
            <v>45566</v>
          </cell>
        </row>
        <row r="2971">
          <cell r="A2971" t="str">
            <v>Monique ramos Marli Yung</v>
          </cell>
          <cell r="B2971">
            <v>37019431</v>
          </cell>
          <cell r="C2971">
            <v>20078415</v>
          </cell>
          <cell r="D2971">
            <v>45566</v>
          </cell>
        </row>
        <row r="2972">
          <cell r="A2972" t="str">
            <v>Marlon assis Petryky</v>
          </cell>
          <cell r="B2972">
            <v>37019462</v>
          </cell>
          <cell r="C2972">
            <v>20060855</v>
          </cell>
          <cell r="D2972">
            <v>45566</v>
          </cell>
        </row>
        <row r="2973">
          <cell r="A2973" t="str">
            <v>Juliana De Souza</v>
          </cell>
          <cell r="B2973">
            <v>37009445</v>
          </cell>
          <cell r="C2973">
            <v>20034041</v>
          </cell>
          <cell r="D2973">
            <v>44823</v>
          </cell>
        </row>
        <row r="2974">
          <cell r="A2974" t="str">
            <v>Beatriz Sandrim Ferreira</v>
          </cell>
          <cell r="B2974">
            <v>37007756</v>
          </cell>
          <cell r="C2974">
            <v>20026168</v>
          </cell>
          <cell r="D2974">
            <v>44704</v>
          </cell>
        </row>
        <row r="2975">
          <cell r="A2975" t="str">
            <v>Rodolfo Marques Vieira</v>
          </cell>
          <cell r="B2975">
            <v>37009465</v>
          </cell>
          <cell r="C2975">
            <v>20034180</v>
          </cell>
          <cell r="D2975">
            <v>44823</v>
          </cell>
        </row>
        <row r="2976">
          <cell r="A2976" t="str">
            <v>Andre Dos Santos Stoppa</v>
          </cell>
          <cell r="B2976">
            <v>37003471</v>
          </cell>
          <cell r="C2976">
            <v>20008617</v>
          </cell>
          <cell r="D2976">
            <v>43668</v>
          </cell>
        </row>
        <row r="2977">
          <cell r="A2977" t="str">
            <v>Melissa Prado Sian</v>
          </cell>
          <cell r="B2977" t="e">
            <v>#N/A</v>
          </cell>
          <cell r="C2977">
            <v>20078750</v>
          </cell>
          <cell r="D2977" t="e">
            <v>#N/A</v>
          </cell>
        </row>
        <row r="2978">
          <cell r="A2978" t="str">
            <v>Bianca Germano Bolonha</v>
          </cell>
          <cell r="B2978" t="e">
            <v>#N/A</v>
          </cell>
          <cell r="C2978">
            <v>20078752</v>
          </cell>
          <cell r="D2978" t="e">
            <v>#N/A</v>
          </cell>
        </row>
        <row r="2979">
          <cell r="A2979" t="str">
            <v>Isabela Russe De Oliveira</v>
          </cell>
          <cell r="B2979" t="e">
            <v>#N/A</v>
          </cell>
          <cell r="C2979">
            <v>20079330</v>
          </cell>
          <cell r="D2979" t="e">
            <v>#N/A</v>
          </cell>
        </row>
        <row r="2980">
          <cell r="A2980" t="str">
            <v>Matheus Julio Dos Santos De Souza</v>
          </cell>
          <cell r="B2980" t="e">
            <v>#N/A</v>
          </cell>
          <cell r="C2980">
            <v>20079335</v>
          </cell>
          <cell r="D2980" t="e">
            <v>#N/A</v>
          </cell>
        </row>
        <row r="2981">
          <cell r="A2981" t="str">
            <v>Kellen Amanda Barbosa Evaristo</v>
          </cell>
          <cell r="B2981">
            <v>37009813</v>
          </cell>
          <cell r="C2981">
            <v>20037084</v>
          </cell>
          <cell r="D2981">
            <v>44872</v>
          </cell>
        </row>
        <row r="2982">
          <cell r="A2982" t="str">
            <v>Gabriel Vinicius Dos Santos</v>
          </cell>
          <cell r="B2982" t="e">
            <v>#N/A</v>
          </cell>
          <cell r="C2982">
            <v>20079342</v>
          </cell>
          <cell r="D2982" t="e">
            <v>#N/A</v>
          </cell>
        </row>
        <row r="2983">
          <cell r="A2983" t="str">
            <v>Guilherme Henrique Capucho</v>
          </cell>
          <cell r="B2983" t="e">
            <v>#N/A</v>
          </cell>
          <cell r="C2983">
            <v>20079344</v>
          </cell>
          <cell r="D2983" t="e">
            <v>#N/A</v>
          </cell>
        </row>
        <row r="2984">
          <cell r="A2984" t="str">
            <v>Kaua Rodrigues Marciano</v>
          </cell>
          <cell r="B2984" t="e">
            <v>#N/A</v>
          </cell>
          <cell r="C2984">
            <v>20079345</v>
          </cell>
          <cell r="D2984" t="e">
            <v>#N/A</v>
          </cell>
        </row>
        <row r="2985">
          <cell r="A2985" t="str">
            <v>Lucas Fernandes Bortoloto</v>
          </cell>
          <cell r="B2985" t="e">
            <v>#N/A</v>
          </cell>
          <cell r="C2985">
            <v>20079348</v>
          </cell>
          <cell r="D2985" t="e">
            <v>#N/A</v>
          </cell>
        </row>
        <row r="2986">
          <cell r="A2986" t="str">
            <v>Chellidy Mayanni Dos Santos de Lima</v>
          </cell>
          <cell r="B2986" t="e">
            <v>#N/A</v>
          </cell>
          <cell r="C2986">
            <v>20079372</v>
          </cell>
          <cell r="D2986" t="e">
            <v>#N/A</v>
          </cell>
        </row>
        <row r="2987">
          <cell r="A2987" t="str">
            <v>Felipe Santos Barbosa</v>
          </cell>
          <cell r="B2987" t="e">
            <v>#N/A</v>
          </cell>
          <cell r="C2987">
            <v>20079371</v>
          </cell>
          <cell r="D2987" t="e">
            <v>#N/A</v>
          </cell>
        </row>
        <row r="2988">
          <cell r="A2988" t="str">
            <v>Rafaela Aparecida Da Silva</v>
          </cell>
          <cell r="B2988">
            <v>37009311</v>
          </cell>
          <cell r="C2988">
            <v>20009809</v>
          </cell>
          <cell r="D2988">
            <v>44809</v>
          </cell>
        </row>
        <row r="2989">
          <cell r="A2989" t="str">
            <v>Marcos Antonio balera Ribeiro Garcia Junior</v>
          </cell>
          <cell r="B2989" t="e">
            <v>#N/A</v>
          </cell>
          <cell r="C2989">
            <v>20079951</v>
          </cell>
          <cell r="D2989" t="e">
            <v>#N/A</v>
          </cell>
        </row>
        <row r="2990">
          <cell r="A2990" t="str">
            <v>Flavio Antunes de Oliveira</v>
          </cell>
          <cell r="B2990" t="e">
            <v>#N/A</v>
          </cell>
          <cell r="C2990">
            <v>20079970</v>
          </cell>
          <cell r="D2990" t="e">
            <v>#N/A</v>
          </cell>
        </row>
        <row r="2991">
          <cell r="A2991" t="str">
            <v>Robson Eduardo Barbosa da Silva Barbosa Da Silva</v>
          </cell>
          <cell r="B2991" t="e">
            <v>#N/A</v>
          </cell>
          <cell r="C2991">
            <v>20079983</v>
          </cell>
          <cell r="D2991" t="e">
            <v>#N/A</v>
          </cell>
        </row>
        <row r="2992">
          <cell r="A2992" t="str">
            <v>Mariane Duarte de Melo</v>
          </cell>
          <cell r="B2992" t="e">
            <v>#N/A</v>
          </cell>
          <cell r="C2992">
            <v>20079988</v>
          </cell>
          <cell r="D2992" t="e">
            <v>#N/A</v>
          </cell>
        </row>
        <row r="2993">
          <cell r="A2993" t="str">
            <v>Alex Roberto Damada</v>
          </cell>
          <cell r="B2993" t="e">
            <v>#N/A</v>
          </cell>
          <cell r="C2993">
            <v>20080006</v>
          </cell>
          <cell r="D2993" t="e">
            <v>#N/A</v>
          </cell>
        </row>
        <row r="2994">
          <cell r="A2994" t="str">
            <v>Fernando Lemes Rocha</v>
          </cell>
          <cell r="B2994">
            <v>37007163</v>
          </cell>
          <cell r="C2994">
            <v>20022966</v>
          </cell>
          <cell r="D2994">
            <v>44606</v>
          </cell>
        </row>
        <row r="2995">
          <cell r="A2995" t="str">
            <v>Douglas Santana Pereira Fernandes</v>
          </cell>
          <cell r="B2995">
            <v>37008998</v>
          </cell>
          <cell r="C2995">
            <v>20030989</v>
          </cell>
          <cell r="D2995">
            <v>44781</v>
          </cell>
        </row>
        <row r="2996">
          <cell r="A2996" t="str">
            <v>Mariana Xavier Campelo</v>
          </cell>
          <cell r="B2996">
            <v>37009112</v>
          </cell>
          <cell r="C2996">
            <v>20031102</v>
          </cell>
          <cell r="D2996">
            <v>44788</v>
          </cell>
        </row>
        <row r="2997">
          <cell r="A2997" t="str">
            <v>Thiago Genio De Almeida</v>
          </cell>
          <cell r="B2997">
            <v>37009041</v>
          </cell>
          <cell r="C2997">
            <v>20031128</v>
          </cell>
          <cell r="D2997">
            <v>44781</v>
          </cell>
        </row>
        <row r="2998">
          <cell r="A2998" t="str">
            <v>Rodrigo Moreira Do Pinho</v>
          </cell>
          <cell r="B2998">
            <v>37009077</v>
          </cell>
          <cell r="C2998">
            <v>20031427</v>
          </cell>
          <cell r="D2998">
            <v>44788</v>
          </cell>
        </row>
        <row r="2999">
          <cell r="A2999" t="str">
            <v>Deborah Goncalves Fernandes Costa</v>
          </cell>
          <cell r="B2999">
            <v>37009336</v>
          </cell>
          <cell r="C2999">
            <v>20032985</v>
          </cell>
          <cell r="D2999">
            <v>44809</v>
          </cell>
        </row>
        <row r="3000">
          <cell r="A3000" t="str">
            <v>Fabricio Silvio Espirito Santo Tauyl</v>
          </cell>
          <cell r="B3000">
            <v>37009481</v>
          </cell>
          <cell r="C3000">
            <v>20034272</v>
          </cell>
          <cell r="D3000">
            <v>44823</v>
          </cell>
        </row>
        <row r="3001">
          <cell r="A3001" t="str">
            <v>Fernando Da Silva</v>
          </cell>
          <cell r="B3001">
            <v>37005842</v>
          </cell>
          <cell r="C3001">
            <v>20015619</v>
          </cell>
          <cell r="D3001">
            <v>44361</v>
          </cell>
        </row>
        <row r="3002">
          <cell r="A3002" t="str">
            <v>Thiago Barroso Cortez Pires</v>
          </cell>
          <cell r="B3002">
            <v>37010012</v>
          </cell>
          <cell r="C3002">
            <v>20037213</v>
          </cell>
          <cell r="D3002">
            <v>44872</v>
          </cell>
        </row>
        <row r="3003">
          <cell r="A3003" t="str">
            <v>Vanessa Aparecida Alves De Sousa</v>
          </cell>
          <cell r="B3003">
            <v>37010269</v>
          </cell>
          <cell r="C3003">
            <v>20038998</v>
          </cell>
          <cell r="D3003">
            <v>44900</v>
          </cell>
        </row>
        <row r="3004">
          <cell r="A3004" t="str">
            <v>Leonardo Borrelli</v>
          </cell>
          <cell r="B3004">
            <v>37010718</v>
          </cell>
          <cell r="C3004">
            <v>20040880</v>
          </cell>
          <cell r="D3004">
            <v>44935</v>
          </cell>
        </row>
        <row r="3005">
          <cell r="A3005" t="str">
            <v>Maria Carolina da Rosa</v>
          </cell>
          <cell r="B3005">
            <v>37012218</v>
          </cell>
          <cell r="C3005">
            <v>20048722</v>
          </cell>
          <cell r="D3005">
            <v>45034</v>
          </cell>
        </row>
        <row r="3006">
          <cell r="A3006" t="str">
            <v>Larissa Cardin</v>
          </cell>
          <cell r="B3006">
            <v>37013069</v>
          </cell>
          <cell r="C3006">
            <v>20052486</v>
          </cell>
          <cell r="D3006">
            <v>45097</v>
          </cell>
        </row>
        <row r="3007">
          <cell r="A3007" t="str">
            <v>Rafaela Capoani Ticianelli</v>
          </cell>
          <cell r="B3007">
            <v>37006962</v>
          </cell>
          <cell r="C3007">
            <v>20021015</v>
          </cell>
          <cell r="D3007">
            <v>44571</v>
          </cell>
        </row>
        <row r="3008">
          <cell r="A3008" t="str">
            <v>Ezequiel Nunes de Pontes</v>
          </cell>
          <cell r="B3008">
            <v>37016730</v>
          </cell>
          <cell r="C3008">
            <v>20064924</v>
          </cell>
          <cell r="D3008">
            <v>45356</v>
          </cell>
        </row>
        <row r="3009">
          <cell r="A3009" t="str">
            <v>Raiely Nunes Casimiro</v>
          </cell>
          <cell r="B3009">
            <v>37016854</v>
          </cell>
          <cell r="C3009">
            <v>20065433</v>
          </cell>
          <cell r="D3009">
            <v>45363</v>
          </cell>
        </row>
        <row r="3010">
          <cell r="A3010" t="str">
            <v>Isaac Julio De Oliveira</v>
          </cell>
          <cell r="B3010">
            <v>37010760</v>
          </cell>
          <cell r="C3010">
            <v>20040970</v>
          </cell>
          <cell r="D3010">
            <v>44935</v>
          </cell>
        </row>
        <row r="3011">
          <cell r="A3011" t="str">
            <v>Charles Victor Menezes dos Santos</v>
          </cell>
          <cell r="B3011">
            <v>37018459</v>
          </cell>
          <cell r="C3011">
            <v>20073655</v>
          </cell>
          <cell r="D3011">
            <v>45483</v>
          </cell>
        </row>
        <row r="3012">
          <cell r="A3012" t="str">
            <v>Michel Conceicao Dos Santos</v>
          </cell>
          <cell r="B3012">
            <v>37009034</v>
          </cell>
          <cell r="C3012">
            <v>20030983</v>
          </cell>
          <cell r="D3012">
            <v>44781</v>
          </cell>
        </row>
        <row r="3013">
          <cell r="A3013" t="str">
            <v>William Franca de Jesus</v>
          </cell>
          <cell r="B3013">
            <v>37018916</v>
          </cell>
          <cell r="C3013">
            <v>20076050</v>
          </cell>
          <cell r="D3013">
            <v>45524</v>
          </cell>
        </row>
        <row r="3014">
          <cell r="A3014" t="str">
            <v>Guilherme Viotto Andrade</v>
          </cell>
          <cell r="B3014">
            <v>37016485</v>
          </cell>
          <cell r="C3014">
            <v>20064467</v>
          </cell>
          <cell r="D3014">
            <v>45328</v>
          </cell>
        </row>
        <row r="3015">
          <cell r="A3015" t="str">
            <v>Ivonilde Barboza De Lima</v>
          </cell>
          <cell r="B3015">
            <v>37009047</v>
          </cell>
          <cell r="C3015">
            <v>20031106</v>
          </cell>
          <cell r="D3015">
            <v>44781</v>
          </cell>
        </row>
        <row r="3016">
          <cell r="A3016" t="str">
            <v>Andreza Cristina Amorim</v>
          </cell>
          <cell r="B3016">
            <v>37010886</v>
          </cell>
          <cell r="C3016">
            <v>20041285</v>
          </cell>
          <cell r="D3016">
            <v>44942</v>
          </cell>
        </row>
        <row r="3017">
          <cell r="A3017" t="str">
            <v>Nadia Mellem Sallum</v>
          </cell>
          <cell r="B3017">
            <v>37010903</v>
          </cell>
          <cell r="C3017">
            <v>20041302</v>
          </cell>
          <cell r="D3017">
            <v>44942</v>
          </cell>
        </row>
        <row r="3018">
          <cell r="A3018" t="str">
            <v>Lucas Sales Dos Santos</v>
          </cell>
          <cell r="B3018">
            <v>37007202</v>
          </cell>
          <cell r="C3018">
            <v>20023005</v>
          </cell>
          <cell r="D3018">
            <v>44609</v>
          </cell>
        </row>
        <row r="3019">
          <cell r="A3019" t="str">
            <v>Hugo Cesar Almeida Pereira Oliveira</v>
          </cell>
          <cell r="B3019">
            <v>37008847</v>
          </cell>
          <cell r="C3019">
            <v>20034921</v>
          </cell>
          <cell r="D3019">
            <v>44777</v>
          </cell>
        </row>
        <row r="3020">
          <cell r="A3020" t="str">
            <v>Coreli Minutoli de Azevedo</v>
          </cell>
          <cell r="B3020">
            <v>37011028</v>
          </cell>
          <cell r="C3020">
            <v>20041865</v>
          </cell>
          <cell r="D3020">
            <v>44963</v>
          </cell>
        </row>
        <row r="3021">
          <cell r="A3021" t="str">
            <v>Gislene Da Silva Oliveira</v>
          </cell>
          <cell r="B3021">
            <v>37012853</v>
          </cell>
          <cell r="C3021">
            <v>20051808</v>
          </cell>
          <cell r="D3021">
            <v>45083</v>
          </cell>
        </row>
        <row r="3022">
          <cell r="A3022" t="str">
            <v>Natalia Cristina Dias Lopes</v>
          </cell>
          <cell r="B3022">
            <v>37014620</v>
          </cell>
          <cell r="C3022">
            <v>20059359</v>
          </cell>
          <cell r="D3022">
            <v>45181</v>
          </cell>
        </row>
        <row r="3023">
          <cell r="A3023" t="str">
            <v>Renata Rodrigues Tavares Jesus</v>
          </cell>
          <cell r="B3023">
            <v>37015323</v>
          </cell>
          <cell r="C3023">
            <v>20062295</v>
          </cell>
          <cell r="D3023">
            <v>45238</v>
          </cell>
        </row>
        <row r="3024">
          <cell r="A3024" t="str">
            <v>Alejandra Meraz Velasco</v>
          </cell>
          <cell r="B3024">
            <v>37015491</v>
          </cell>
          <cell r="C3024">
            <v>20062742</v>
          </cell>
          <cell r="D3024">
            <v>45265</v>
          </cell>
        </row>
        <row r="3025">
          <cell r="A3025" t="str">
            <v>Jose Nedilo Antunes de Castro</v>
          </cell>
          <cell r="B3025">
            <v>37015528</v>
          </cell>
          <cell r="C3025">
            <v>20062807</v>
          </cell>
          <cell r="D3025">
            <v>45265</v>
          </cell>
        </row>
        <row r="3026">
          <cell r="A3026" t="str">
            <v>Rita Miuki Shimazaki Saito</v>
          </cell>
          <cell r="B3026">
            <v>37015628</v>
          </cell>
          <cell r="C3026">
            <v>20063035</v>
          </cell>
          <cell r="D3026">
            <v>45272</v>
          </cell>
        </row>
        <row r="3027">
          <cell r="A3027" t="str">
            <v>Kathleen Oliveira Mendonca</v>
          </cell>
          <cell r="B3027">
            <v>37016039</v>
          </cell>
          <cell r="C3027">
            <v>20063720</v>
          </cell>
          <cell r="D3027">
            <v>45300</v>
          </cell>
        </row>
        <row r="3028">
          <cell r="A3028" t="str">
            <v>Fabiana Ferreira Vieira</v>
          </cell>
          <cell r="B3028">
            <v>37016006</v>
          </cell>
          <cell r="C3028">
            <v>20049677</v>
          </cell>
          <cell r="D3028">
            <v>45293</v>
          </cell>
        </row>
        <row r="3029">
          <cell r="A3029" t="str">
            <v>Amanda Rodrigues Torneiro</v>
          </cell>
          <cell r="B3029">
            <v>37016265</v>
          </cell>
          <cell r="C3029">
            <v>20063947</v>
          </cell>
          <cell r="D3029">
            <v>45307</v>
          </cell>
        </row>
        <row r="3030">
          <cell r="A3030" t="str">
            <v>Bruna Maria dos Santos</v>
          </cell>
          <cell r="B3030">
            <v>37016362</v>
          </cell>
          <cell r="C3030">
            <v>20064109</v>
          </cell>
          <cell r="D3030">
            <v>45307</v>
          </cell>
        </row>
        <row r="3031">
          <cell r="A3031" t="str">
            <v>Fabio Regis Bruschi Vieira</v>
          </cell>
          <cell r="B3031">
            <v>37016542</v>
          </cell>
          <cell r="C3031">
            <v>20064536</v>
          </cell>
          <cell r="D3031">
            <v>45328</v>
          </cell>
        </row>
        <row r="3032">
          <cell r="A3032" t="str">
            <v>Flavia Eliza Jamelli Pereira da Silva</v>
          </cell>
          <cell r="B3032">
            <v>37016642</v>
          </cell>
          <cell r="C3032">
            <v>20064743</v>
          </cell>
          <cell r="D3032">
            <v>45342</v>
          </cell>
        </row>
        <row r="3033">
          <cell r="A3033" t="str">
            <v>Julia Bevilacqua Vieira Ribeiro Tavares</v>
          </cell>
          <cell r="B3033">
            <v>37009453</v>
          </cell>
          <cell r="C3033">
            <v>20034024</v>
          </cell>
          <cell r="D3033">
            <v>44823</v>
          </cell>
        </row>
        <row r="3034">
          <cell r="A3034" t="str">
            <v>Cristiane Colpas</v>
          </cell>
          <cell r="B3034">
            <v>37016717</v>
          </cell>
          <cell r="C3034">
            <v>20064911</v>
          </cell>
          <cell r="D3034">
            <v>45356</v>
          </cell>
        </row>
        <row r="3035">
          <cell r="A3035" t="str">
            <v>Euder Da Silva</v>
          </cell>
          <cell r="B3035">
            <v>37016935</v>
          </cell>
          <cell r="C3035">
            <v>20065886</v>
          </cell>
          <cell r="D3035">
            <v>45370</v>
          </cell>
        </row>
        <row r="3036">
          <cell r="A3036" t="str">
            <v>Nathalia Aldeia Teixeira</v>
          </cell>
          <cell r="B3036">
            <v>37017157</v>
          </cell>
          <cell r="C3036">
            <v>20067958</v>
          </cell>
          <cell r="D3036">
            <v>45391</v>
          </cell>
        </row>
        <row r="3037">
          <cell r="A3037" t="str">
            <v>Fernanda Machado Della Noce Lima</v>
          </cell>
          <cell r="B3037">
            <v>37017169</v>
          </cell>
          <cell r="C3037">
            <v>20067970</v>
          </cell>
          <cell r="D3037">
            <v>45391</v>
          </cell>
        </row>
        <row r="3038">
          <cell r="A3038" t="str">
            <v>Rodrigo de Jesus Gomes</v>
          </cell>
          <cell r="B3038">
            <v>37017228</v>
          </cell>
          <cell r="C3038">
            <v>20068464</v>
          </cell>
          <cell r="D3038">
            <v>45398</v>
          </cell>
        </row>
        <row r="3039">
          <cell r="A3039" t="str">
            <v>Alexandre Domingues</v>
          </cell>
          <cell r="B3039">
            <v>37017253</v>
          </cell>
          <cell r="C3039">
            <v>20068490</v>
          </cell>
          <cell r="D3039">
            <v>45398</v>
          </cell>
        </row>
        <row r="3040">
          <cell r="A3040" t="str">
            <v>Sueli Aparecida Soares da Silva</v>
          </cell>
          <cell r="B3040">
            <v>37017254</v>
          </cell>
          <cell r="C3040">
            <v>20068491</v>
          </cell>
          <cell r="D3040">
            <v>45398</v>
          </cell>
        </row>
        <row r="3041">
          <cell r="A3041" t="str">
            <v>Kiany Ewald Fernandes</v>
          </cell>
          <cell r="B3041">
            <v>37017273</v>
          </cell>
          <cell r="C3041">
            <v>20068595</v>
          </cell>
          <cell r="D3041">
            <v>45398</v>
          </cell>
        </row>
        <row r="3042">
          <cell r="A3042" t="str">
            <v>Nathalia Lopes Athia</v>
          </cell>
          <cell r="B3042">
            <v>37017336</v>
          </cell>
          <cell r="C3042">
            <v>20067956</v>
          </cell>
          <cell r="D3042">
            <v>45414</v>
          </cell>
        </row>
        <row r="3043">
          <cell r="A3043" t="str">
            <v>Rafael Henrique Da Silva</v>
          </cell>
          <cell r="B3043">
            <v>37017339</v>
          </cell>
          <cell r="C3043">
            <v>20069440</v>
          </cell>
          <cell r="D3043">
            <v>45414</v>
          </cell>
        </row>
        <row r="3044">
          <cell r="A3044" t="str">
            <v>Wilson Antonio de Matos</v>
          </cell>
          <cell r="B3044">
            <v>37017383</v>
          </cell>
          <cell r="C3044">
            <v>20069528</v>
          </cell>
          <cell r="D3044">
            <v>45419</v>
          </cell>
        </row>
        <row r="3045">
          <cell r="A3045" t="str">
            <v>Felipe Nascimento Dourado</v>
          </cell>
          <cell r="B3045">
            <v>37017394</v>
          </cell>
          <cell r="C3045">
            <v>20069539</v>
          </cell>
          <cell r="D3045">
            <v>45419</v>
          </cell>
        </row>
        <row r="3046">
          <cell r="A3046" t="str">
            <v>Paloma Borges de Lima</v>
          </cell>
          <cell r="B3046">
            <v>37017533</v>
          </cell>
          <cell r="C3046">
            <v>20069894</v>
          </cell>
          <cell r="D3046">
            <v>45419</v>
          </cell>
        </row>
        <row r="3047">
          <cell r="A3047" t="str">
            <v>Diego Dias Moura Souza</v>
          </cell>
          <cell r="B3047">
            <v>37017645</v>
          </cell>
          <cell r="C3047">
            <v>20070255</v>
          </cell>
          <cell r="D3047">
            <v>45433</v>
          </cell>
        </row>
        <row r="3048">
          <cell r="A3048" t="str">
            <v>Vivian Garcia Rufino</v>
          </cell>
          <cell r="B3048">
            <v>37017723</v>
          </cell>
          <cell r="C3048">
            <v>20070357</v>
          </cell>
          <cell r="D3048">
            <v>45433</v>
          </cell>
        </row>
        <row r="3049">
          <cell r="A3049" t="str">
            <v>Lohana de Souza Rodrigues</v>
          </cell>
          <cell r="B3049">
            <v>37017919</v>
          </cell>
          <cell r="C3049">
            <v>20070966</v>
          </cell>
          <cell r="D3049">
            <v>45447</v>
          </cell>
        </row>
        <row r="3050">
          <cell r="A3050" t="str">
            <v>Ygor Faria Rodrigues Barge</v>
          </cell>
          <cell r="B3050">
            <v>37017970</v>
          </cell>
          <cell r="C3050">
            <v>20071238</v>
          </cell>
          <cell r="D3050">
            <v>45447</v>
          </cell>
        </row>
        <row r="3051">
          <cell r="A3051" t="str">
            <v>William Teran Troelsen</v>
          </cell>
          <cell r="B3051">
            <v>37000946</v>
          </cell>
          <cell r="C3051">
            <v>15007925</v>
          </cell>
          <cell r="D3051">
            <v>40834</v>
          </cell>
        </row>
        <row r="3052">
          <cell r="A3052" t="str">
            <v>Michelle Belarmino Lima</v>
          </cell>
          <cell r="B3052">
            <v>37018264</v>
          </cell>
          <cell r="C3052">
            <v>20072774</v>
          </cell>
          <cell r="D3052">
            <v>45463</v>
          </cell>
        </row>
        <row r="3053">
          <cell r="A3053" t="str">
            <v>Maria Eugenia Mitiko Kaji Mafra</v>
          </cell>
          <cell r="B3053">
            <v>37018290</v>
          </cell>
          <cell r="C3053">
            <v>20072849</v>
          </cell>
          <cell r="D3053">
            <v>45475</v>
          </cell>
        </row>
        <row r="3054">
          <cell r="A3054" t="str">
            <v>Bruno Antonio Palmeira Sabara</v>
          </cell>
          <cell r="B3054">
            <v>37018606</v>
          </cell>
          <cell r="C3054">
            <v>20074184</v>
          </cell>
          <cell r="D3054">
            <v>45489</v>
          </cell>
        </row>
        <row r="3055">
          <cell r="A3055" t="str">
            <v>VINICIUS DIAS ALLEK</v>
          </cell>
          <cell r="B3055">
            <v>37018615</v>
          </cell>
          <cell r="C3055">
            <v>20074193</v>
          </cell>
          <cell r="D3055">
            <v>45489</v>
          </cell>
        </row>
        <row r="3056">
          <cell r="A3056" t="str">
            <v>Fernanda Buregio de Lima</v>
          </cell>
          <cell r="B3056">
            <v>37018624</v>
          </cell>
          <cell r="C3056">
            <v>20074202</v>
          </cell>
          <cell r="D3056">
            <v>45489</v>
          </cell>
        </row>
        <row r="3057">
          <cell r="A3057" t="str">
            <v>Francisco Rodrigo Da Silva Lidio</v>
          </cell>
          <cell r="B3057">
            <v>37018634</v>
          </cell>
          <cell r="C3057">
            <v>20074310</v>
          </cell>
          <cell r="D3057">
            <v>45489</v>
          </cell>
        </row>
        <row r="3058">
          <cell r="A3058" t="str">
            <v>Tairo Augusto Barcelos Teles</v>
          </cell>
          <cell r="B3058">
            <v>37018789</v>
          </cell>
          <cell r="C3058">
            <v>20075075</v>
          </cell>
          <cell r="D3058">
            <v>45510</v>
          </cell>
        </row>
        <row r="3059">
          <cell r="A3059" t="str">
            <v>Eduardo da Silva Rodrigues</v>
          </cell>
          <cell r="B3059">
            <v>37018834</v>
          </cell>
          <cell r="C3059">
            <v>20075129</v>
          </cell>
          <cell r="D3059">
            <v>45510</v>
          </cell>
        </row>
        <row r="3060">
          <cell r="A3060" t="str">
            <v>FILOMENA SIQUEIRA E SILVA KRAUEL SIQUEIRA E SILVA KRAUEL</v>
          </cell>
          <cell r="B3060">
            <v>37019131</v>
          </cell>
          <cell r="C3060">
            <v>20077315</v>
          </cell>
          <cell r="D3060">
            <v>45545</v>
          </cell>
        </row>
        <row r="3061">
          <cell r="A3061" t="str">
            <v>Rodrigo Nogueira de Queiroz</v>
          </cell>
          <cell r="B3061">
            <v>37019346</v>
          </cell>
          <cell r="C3061">
            <v>20078301</v>
          </cell>
          <cell r="D3061">
            <v>45566</v>
          </cell>
        </row>
        <row r="3062">
          <cell r="A3062" t="str">
            <v>Fabiana Simões Pereira</v>
          </cell>
          <cell r="B3062">
            <v>37019355</v>
          </cell>
          <cell r="C3062">
            <v>20078325</v>
          </cell>
          <cell r="D3062">
            <v>45566</v>
          </cell>
        </row>
        <row r="3063">
          <cell r="A3063" t="str">
            <v>Milena dos Santos Ferreira</v>
          </cell>
          <cell r="B3063">
            <v>37019383</v>
          </cell>
          <cell r="C3063">
            <v>20078364</v>
          </cell>
          <cell r="D3063">
            <v>45566</v>
          </cell>
        </row>
        <row r="3064">
          <cell r="A3064" t="str">
            <v>MATHEUS RODRIGUES MORAIS</v>
          </cell>
          <cell r="B3064" t="e">
            <v>#N/A</v>
          </cell>
          <cell r="C3064">
            <v>20079966</v>
          </cell>
          <cell r="D3064" t="e">
            <v>#N/A</v>
          </cell>
        </row>
        <row r="3065">
          <cell r="A3065" t="str">
            <v>Leandro Mariano De Oliveira</v>
          </cell>
          <cell r="B3065">
            <v>37005851</v>
          </cell>
          <cell r="C3065">
            <v>20014807</v>
          </cell>
          <cell r="D3065">
            <v>44361</v>
          </cell>
        </row>
        <row r="3066">
          <cell r="A3066" t="str">
            <v>Fabio Antonio Peleteiro</v>
          </cell>
          <cell r="B3066">
            <v>37015481</v>
          </cell>
          <cell r="C3066">
            <v>20063054</v>
          </cell>
          <cell r="D3066">
            <v>40000</v>
          </cell>
        </row>
        <row r="3067">
          <cell r="A3067" t="str">
            <v>Amauri de Jesus Sarzi</v>
          </cell>
          <cell r="B3067">
            <v>37015473</v>
          </cell>
          <cell r="C3067">
            <v>20063059</v>
          </cell>
          <cell r="D3067">
            <v>39608</v>
          </cell>
        </row>
        <row r="3068">
          <cell r="A3068" t="str">
            <v>Sergio Leonardo de Chico</v>
          </cell>
          <cell r="B3068">
            <v>37015475</v>
          </cell>
          <cell r="C3068">
            <v>20063069</v>
          </cell>
          <cell r="D3068">
            <v>43073</v>
          </cell>
        </row>
        <row r="3069">
          <cell r="A3069" t="str">
            <v>Luiz Guilherme de Aquino</v>
          </cell>
          <cell r="B3069">
            <v>37015478</v>
          </cell>
          <cell r="C3069">
            <v>20063077</v>
          </cell>
          <cell r="D3069">
            <v>44858</v>
          </cell>
        </row>
        <row r="3070">
          <cell r="A3070" t="str">
            <v>Eduardo Soares de Campos</v>
          </cell>
          <cell r="B3070">
            <v>37015480</v>
          </cell>
          <cell r="C3070">
            <v>20063085</v>
          </cell>
          <cell r="D3070">
            <v>44858</v>
          </cell>
        </row>
        <row r="3071">
          <cell r="A3071" t="str">
            <v>Daniel Henrique da Silva</v>
          </cell>
          <cell r="B3071">
            <v>37015482</v>
          </cell>
          <cell r="C3071">
            <v>20063095</v>
          </cell>
          <cell r="D3071">
            <v>44858</v>
          </cell>
        </row>
        <row r="3072">
          <cell r="A3072" t="str">
            <v>Andre Cristiano da Silva</v>
          </cell>
          <cell r="B3072">
            <v>37015477</v>
          </cell>
          <cell r="C3072">
            <v>20063103</v>
          </cell>
          <cell r="D3072">
            <v>44411</v>
          </cell>
        </row>
        <row r="3073">
          <cell r="A3073" t="str">
            <v>Alex Sandro Fernandes Pinto</v>
          </cell>
          <cell r="B3073">
            <v>37015474</v>
          </cell>
          <cell r="C3073">
            <v>20063111</v>
          </cell>
          <cell r="D3073">
            <v>37025</v>
          </cell>
        </row>
        <row r="3074">
          <cell r="A3074" t="str">
            <v>Sandra Rodrigues Andrade</v>
          </cell>
          <cell r="B3074">
            <v>37015479</v>
          </cell>
          <cell r="C3074">
            <v>20063126</v>
          </cell>
          <cell r="D3074">
            <v>44725</v>
          </cell>
        </row>
        <row r="3075">
          <cell r="A3075" t="str">
            <v>Fernanda Cochi De Paulo</v>
          </cell>
          <cell r="B3075">
            <v>37015548</v>
          </cell>
          <cell r="C3075">
            <v>20062934</v>
          </cell>
          <cell r="D3075">
            <v>45272</v>
          </cell>
        </row>
        <row r="3076">
          <cell r="A3076" t="str">
            <v>Ana Claudia Da Silva</v>
          </cell>
          <cell r="B3076">
            <v>37015560</v>
          </cell>
          <cell r="C3076">
            <v>20062946</v>
          </cell>
          <cell r="D3076">
            <v>45272</v>
          </cell>
        </row>
        <row r="3077">
          <cell r="A3077" t="str">
            <v>Jonatas Platero de França</v>
          </cell>
          <cell r="B3077">
            <v>37017202</v>
          </cell>
          <cell r="C3077">
            <v>20068020</v>
          </cell>
          <cell r="D3077">
            <v>45391</v>
          </cell>
        </row>
        <row r="3078">
          <cell r="A3078" t="str">
            <v>Tie Mendes Tavares</v>
          </cell>
          <cell r="B3078">
            <v>37005553</v>
          </cell>
          <cell r="C3078">
            <v>20013584</v>
          </cell>
          <cell r="D3078">
            <v>44291</v>
          </cell>
        </row>
        <row r="3079">
          <cell r="A3079" t="str">
            <v>Vitor Mendes Da Silva</v>
          </cell>
          <cell r="B3079">
            <v>37008697</v>
          </cell>
          <cell r="C3079">
            <v>20029225</v>
          </cell>
          <cell r="D3079">
            <v>44760</v>
          </cell>
        </row>
        <row r="3080">
          <cell r="A3080" t="str">
            <v>Crislaine Morilla Dias</v>
          </cell>
          <cell r="B3080">
            <v>37009417</v>
          </cell>
          <cell r="C3080">
            <v>20033732</v>
          </cell>
          <cell r="D3080">
            <v>44823</v>
          </cell>
        </row>
        <row r="3081">
          <cell r="A3081" t="str">
            <v>Lorrayne Dos Santos Novo</v>
          </cell>
          <cell r="B3081">
            <v>37009817</v>
          </cell>
          <cell r="C3081">
            <v>20037096</v>
          </cell>
          <cell r="D3081">
            <v>44872</v>
          </cell>
        </row>
        <row r="3082">
          <cell r="A3082" t="str">
            <v>Felipe Martins Eugenio</v>
          </cell>
          <cell r="B3082">
            <v>37010045</v>
          </cell>
          <cell r="C3082">
            <v>20037951</v>
          </cell>
          <cell r="D3082">
            <v>44881</v>
          </cell>
        </row>
        <row r="3083">
          <cell r="A3083" t="str">
            <v>Thamiris De Souza Kuriyama Barbosa</v>
          </cell>
          <cell r="B3083">
            <v>37010271</v>
          </cell>
          <cell r="C3083">
            <v>20039000</v>
          </cell>
          <cell r="D3083">
            <v>44900</v>
          </cell>
        </row>
        <row r="3084">
          <cell r="A3084" t="str">
            <v>Maria Rosa Soares</v>
          </cell>
          <cell r="B3084">
            <v>37010438</v>
          </cell>
          <cell r="C3084">
            <v>20039742</v>
          </cell>
          <cell r="D3084">
            <v>44907</v>
          </cell>
        </row>
        <row r="3085">
          <cell r="A3085" t="str">
            <v>Luiz Claudio Cardoso Mota</v>
          </cell>
          <cell r="B3085">
            <v>37011036</v>
          </cell>
          <cell r="C3085">
            <v>20042022</v>
          </cell>
          <cell r="D3085">
            <v>44963</v>
          </cell>
        </row>
        <row r="3086">
          <cell r="A3086" t="str">
            <v>Anderson Ricardo da Silva</v>
          </cell>
          <cell r="B3086">
            <v>37011076</v>
          </cell>
          <cell r="C3086">
            <v>20042142</v>
          </cell>
          <cell r="D3086">
            <v>44963</v>
          </cell>
        </row>
        <row r="3087">
          <cell r="A3087" t="str">
            <v>Jeyel Mendes de Sousa</v>
          </cell>
          <cell r="B3087">
            <v>37011353</v>
          </cell>
          <cell r="C3087">
            <v>20043201</v>
          </cell>
          <cell r="D3087">
            <v>44973</v>
          </cell>
        </row>
        <row r="3088">
          <cell r="A3088" t="str">
            <v>Rodrigo Rodrigues Guimaraes</v>
          </cell>
          <cell r="B3088">
            <v>37011402</v>
          </cell>
          <cell r="C3088">
            <v>20043883</v>
          </cell>
          <cell r="D3088">
            <v>44986</v>
          </cell>
        </row>
        <row r="3089">
          <cell r="A3089" t="str">
            <v>Jose Luiz Gava</v>
          </cell>
          <cell r="B3089">
            <v>37001850</v>
          </cell>
          <cell r="C3089">
            <v>20009403</v>
          </cell>
          <cell r="D3089">
            <v>42751</v>
          </cell>
        </row>
        <row r="3090">
          <cell r="A3090" t="str">
            <v>Alessandro Leal Alves</v>
          </cell>
          <cell r="B3090">
            <v>37011544</v>
          </cell>
          <cell r="C3090">
            <v>20044435</v>
          </cell>
          <cell r="D3090">
            <v>44991</v>
          </cell>
        </row>
        <row r="3091">
          <cell r="A3091" t="str">
            <v>Alcides de Souza Junior</v>
          </cell>
          <cell r="B3091">
            <v>37011620</v>
          </cell>
          <cell r="C3091">
            <v>20044651</v>
          </cell>
          <cell r="D3091">
            <v>44991</v>
          </cell>
        </row>
        <row r="3092">
          <cell r="A3092" t="str">
            <v>Karoline Candelaria Pulcherio</v>
          </cell>
          <cell r="B3092">
            <v>37011745</v>
          </cell>
          <cell r="C3092">
            <v>20045294</v>
          </cell>
          <cell r="D3092">
            <v>44998</v>
          </cell>
        </row>
        <row r="3093">
          <cell r="A3093" t="str">
            <v>Leticia Da Paschoa Manhaes</v>
          </cell>
          <cell r="B3093">
            <v>37011847</v>
          </cell>
          <cell r="C3093">
            <v>20045758</v>
          </cell>
          <cell r="D3093">
            <v>45005</v>
          </cell>
        </row>
        <row r="3094">
          <cell r="A3094" t="str">
            <v>Cleomar Pereira Lazaro</v>
          </cell>
          <cell r="B3094">
            <v>37011901</v>
          </cell>
          <cell r="C3094">
            <v>20046485</v>
          </cell>
          <cell r="D3094">
            <v>45005</v>
          </cell>
        </row>
        <row r="3095">
          <cell r="A3095" t="str">
            <v>Gabriela Duraes Cruz</v>
          </cell>
          <cell r="B3095">
            <v>37009346</v>
          </cell>
          <cell r="C3095">
            <v>20033043</v>
          </cell>
          <cell r="D3095">
            <v>44809</v>
          </cell>
        </row>
        <row r="3096">
          <cell r="A3096" t="str">
            <v>Durvalino Batista Godoi Neto</v>
          </cell>
          <cell r="B3096">
            <v>37012600</v>
          </cell>
          <cell r="C3096">
            <v>20051002</v>
          </cell>
          <cell r="D3096">
            <v>45069</v>
          </cell>
        </row>
        <row r="3097">
          <cell r="A3097" t="str">
            <v>Everton Coelho Da Silva</v>
          </cell>
          <cell r="B3097">
            <v>37009570</v>
          </cell>
          <cell r="C3097">
            <v>20035376</v>
          </cell>
          <cell r="D3097">
            <v>44837</v>
          </cell>
        </row>
        <row r="3098">
          <cell r="A3098" t="str">
            <v>Rodrigo Simetti</v>
          </cell>
          <cell r="B3098">
            <v>37012965</v>
          </cell>
          <cell r="C3098">
            <v>20052100</v>
          </cell>
          <cell r="D3098">
            <v>45090</v>
          </cell>
        </row>
        <row r="3099">
          <cell r="A3099" t="str">
            <v>Alberto Cabral de Almeida</v>
          </cell>
          <cell r="B3099">
            <v>37012969</v>
          </cell>
          <cell r="C3099">
            <v>20052154</v>
          </cell>
          <cell r="D3099">
            <v>45090</v>
          </cell>
        </row>
        <row r="3100">
          <cell r="A3100" t="str">
            <v>Aline Farias Martoni</v>
          </cell>
          <cell r="B3100">
            <v>37012971</v>
          </cell>
          <cell r="C3100">
            <v>20052156</v>
          </cell>
          <cell r="D3100">
            <v>45090</v>
          </cell>
        </row>
        <row r="3101">
          <cell r="A3101" t="str">
            <v>João Ramyller Sanderval de Oliveira Almeida</v>
          </cell>
          <cell r="B3101">
            <v>37013073</v>
          </cell>
          <cell r="C3101">
            <v>20052490</v>
          </cell>
          <cell r="D3101">
            <v>45097</v>
          </cell>
        </row>
        <row r="3102">
          <cell r="A3102" t="str">
            <v>Tiago Henrique Gobbo</v>
          </cell>
          <cell r="B3102">
            <v>37013081</v>
          </cell>
          <cell r="C3102">
            <v>20052498</v>
          </cell>
          <cell r="D3102">
            <v>45097</v>
          </cell>
        </row>
        <row r="3103">
          <cell r="A3103" t="str">
            <v>Juliana Barlatti Vieira</v>
          </cell>
          <cell r="B3103">
            <v>37009385</v>
          </cell>
          <cell r="C3103">
            <v>20033396</v>
          </cell>
          <cell r="D3103">
            <v>44816</v>
          </cell>
        </row>
        <row r="3104">
          <cell r="A3104" t="str">
            <v>Fabiola Mendes</v>
          </cell>
          <cell r="B3104">
            <v>37013221</v>
          </cell>
          <cell r="C3104">
            <v>20053542</v>
          </cell>
          <cell r="D3104">
            <v>45111</v>
          </cell>
        </row>
        <row r="3105">
          <cell r="A3105" t="str">
            <v>Marina Sbardella</v>
          </cell>
          <cell r="B3105">
            <v>37008070</v>
          </cell>
          <cell r="C3105">
            <v>20025990</v>
          </cell>
          <cell r="D3105">
            <v>44713</v>
          </cell>
        </row>
        <row r="3106">
          <cell r="A3106" t="str">
            <v>Frenno Moreno Gomes</v>
          </cell>
          <cell r="B3106">
            <v>37013307</v>
          </cell>
          <cell r="C3106">
            <v>20053669</v>
          </cell>
          <cell r="D3106">
            <v>45111</v>
          </cell>
        </row>
        <row r="3107">
          <cell r="A3107" t="str">
            <v>Ramao de Oliveira Pinto</v>
          </cell>
          <cell r="B3107">
            <v>37013359</v>
          </cell>
          <cell r="C3107">
            <v>20054016</v>
          </cell>
          <cell r="D3107">
            <v>45118</v>
          </cell>
        </row>
        <row r="3108">
          <cell r="A3108" t="str">
            <v>Wilson Borges Lima Filho</v>
          </cell>
          <cell r="B3108">
            <v>37013369</v>
          </cell>
          <cell r="C3108">
            <v>20054026</v>
          </cell>
          <cell r="D3108">
            <v>45118</v>
          </cell>
        </row>
        <row r="3109">
          <cell r="A3109" t="str">
            <v>Eliandro de Oliveira</v>
          </cell>
          <cell r="B3109">
            <v>37013390</v>
          </cell>
          <cell r="C3109">
            <v>20054501</v>
          </cell>
          <cell r="D3109">
            <v>45118</v>
          </cell>
        </row>
        <row r="3110">
          <cell r="A3110" t="str">
            <v>Aldeir Aparecido de Araujo</v>
          </cell>
          <cell r="B3110">
            <v>37013407</v>
          </cell>
          <cell r="C3110">
            <v>20054518</v>
          </cell>
          <cell r="D3110">
            <v>45118</v>
          </cell>
        </row>
        <row r="3111">
          <cell r="A3111" t="str">
            <v>Victor Wildemberg Fiedler</v>
          </cell>
          <cell r="B3111">
            <v>37013409</v>
          </cell>
          <cell r="C3111">
            <v>20054520</v>
          </cell>
          <cell r="D3111">
            <v>45111</v>
          </cell>
        </row>
        <row r="3112">
          <cell r="A3112" t="str">
            <v>Josmari dos Santos Silva</v>
          </cell>
          <cell r="B3112">
            <v>37013426</v>
          </cell>
          <cell r="C3112">
            <v>20054888</v>
          </cell>
          <cell r="D3112">
            <v>45118</v>
          </cell>
        </row>
        <row r="3113">
          <cell r="A3113" t="str">
            <v>Anjicledio Santos De Jesus</v>
          </cell>
          <cell r="B3113">
            <v>37005329</v>
          </cell>
          <cell r="C3113">
            <v>20015961</v>
          </cell>
          <cell r="D3113">
            <v>44228</v>
          </cell>
        </row>
        <row r="3114">
          <cell r="A3114" t="str">
            <v>Elbimar Ramos Pompilio</v>
          </cell>
          <cell r="B3114">
            <v>37009419</v>
          </cell>
          <cell r="C3114">
            <v>20033733</v>
          </cell>
          <cell r="D3114">
            <v>44823</v>
          </cell>
        </row>
        <row r="3115">
          <cell r="A3115" t="str">
            <v>Reinaldo Domingos Da Silva</v>
          </cell>
          <cell r="B3115">
            <v>37009863</v>
          </cell>
          <cell r="C3115">
            <v>20035993</v>
          </cell>
          <cell r="D3115">
            <v>44872</v>
          </cell>
        </row>
        <row r="3116">
          <cell r="A3116" t="str">
            <v>Carlos Divino Guimaraes Silva</v>
          </cell>
          <cell r="B3116">
            <v>37008792</v>
          </cell>
          <cell r="C3116">
            <v>20032300</v>
          </cell>
          <cell r="D3116">
            <v>44774</v>
          </cell>
        </row>
        <row r="3117">
          <cell r="A3117" t="str">
            <v>Ricardo Lima Da Silva Santos</v>
          </cell>
          <cell r="B3117">
            <v>37006928</v>
          </cell>
          <cell r="C3117">
            <v>20020997</v>
          </cell>
          <cell r="D3117">
            <v>44550</v>
          </cell>
        </row>
        <row r="3118">
          <cell r="A3118" t="str">
            <v>Elciano Dos Santos</v>
          </cell>
          <cell r="B3118">
            <v>37009695</v>
          </cell>
          <cell r="C3118">
            <v>20035884</v>
          </cell>
          <cell r="D3118">
            <v>44851</v>
          </cell>
        </row>
        <row r="3119">
          <cell r="A3119" t="str">
            <v>Uilhiam de Oliveira Cherri</v>
          </cell>
          <cell r="B3119">
            <v>37013632</v>
          </cell>
          <cell r="C3119">
            <v>20055374</v>
          </cell>
          <cell r="D3119">
            <v>45125</v>
          </cell>
        </row>
        <row r="3120">
          <cell r="A3120" t="str">
            <v>Paulo Allan Alves de Mello Pedroza</v>
          </cell>
          <cell r="B3120">
            <v>37013636</v>
          </cell>
          <cell r="C3120">
            <v>20055412</v>
          </cell>
          <cell r="D3120">
            <v>45125</v>
          </cell>
        </row>
        <row r="3121">
          <cell r="A3121" t="str">
            <v>Mario Cesar Gomes Ladeira</v>
          </cell>
          <cell r="B3121">
            <v>37004059</v>
          </cell>
          <cell r="C3121">
            <v>20004925</v>
          </cell>
          <cell r="D3121">
            <v>43836</v>
          </cell>
        </row>
        <row r="3122">
          <cell r="A3122" t="str">
            <v>Graciely Alves Garcia Magosso</v>
          </cell>
          <cell r="B3122">
            <v>37013662</v>
          </cell>
          <cell r="C3122">
            <v>20056206</v>
          </cell>
          <cell r="D3122">
            <v>45139</v>
          </cell>
        </row>
        <row r="3123">
          <cell r="A3123" t="str">
            <v>Cleury Freitas Silva</v>
          </cell>
          <cell r="B3123">
            <v>37013702</v>
          </cell>
          <cell r="C3123">
            <v>20056284</v>
          </cell>
          <cell r="D3123">
            <v>45139</v>
          </cell>
        </row>
        <row r="3124">
          <cell r="A3124" t="str">
            <v>Adriano Ferreira da Silva</v>
          </cell>
          <cell r="B3124">
            <v>37013738</v>
          </cell>
          <cell r="C3124">
            <v>20056333</v>
          </cell>
          <cell r="D3124">
            <v>45139</v>
          </cell>
        </row>
        <row r="3125">
          <cell r="A3125" t="str">
            <v>Lucas Paulo Silva</v>
          </cell>
          <cell r="B3125">
            <v>37013833</v>
          </cell>
          <cell r="C3125">
            <v>20056790</v>
          </cell>
          <cell r="D3125">
            <v>45146</v>
          </cell>
        </row>
        <row r="3126">
          <cell r="A3126" t="str">
            <v>Samuel Fernandes Pires Siqueira</v>
          </cell>
          <cell r="B3126">
            <v>37013913</v>
          </cell>
          <cell r="C3126">
            <v>20057191</v>
          </cell>
          <cell r="D3126">
            <v>45153</v>
          </cell>
        </row>
        <row r="3127">
          <cell r="A3127" t="str">
            <v>Phelipe Tadeu Oliveira Azevedo</v>
          </cell>
          <cell r="B3127">
            <v>37010020</v>
          </cell>
          <cell r="C3127">
            <v>20037925</v>
          </cell>
          <cell r="D3127">
            <v>44881</v>
          </cell>
        </row>
        <row r="3128">
          <cell r="A3128" t="str">
            <v>Henrique Cortezini</v>
          </cell>
          <cell r="B3128">
            <v>37014094</v>
          </cell>
          <cell r="C3128">
            <v>20057830</v>
          </cell>
          <cell r="D3128">
            <v>45160</v>
          </cell>
        </row>
        <row r="3129">
          <cell r="A3129" t="str">
            <v>Paulo Cesar Assis de Sousa</v>
          </cell>
          <cell r="B3129">
            <v>37009955</v>
          </cell>
          <cell r="C3129">
            <v>20037473</v>
          </cell>
          <cell r="D3129">
            <v>44872</v>
          </cell>
        </row>
        <row r="3130">
          <cell r="A3130" t="str">
            <v>Uisner Oliveira Costa</v>
          </cell>
          <cell r="B3130">
            <v>37014223</v>
          </cell>
          <cell r="C3130">
            <v>20058127</v>
          </cell>
          <cell r="D3130">
            <v>45174</v>
          </cell>
        </row>
        <row r="3131">
          <cell r="A3131" t="str">
            <v>Dienison Pereira</v>
          </cell>
          <cell r="B3131">
            <v>37009230</v>
          </cell>
          <cell r="C3131">
            <v>20032512</v>
          </cell>
          <cell r="D3131">
            <v>44809</v>
          </cell>
        </row>
        <row r="3132">
          <cell r="A3132" t="str">
            <v>Ana Claudia Valadao</v>
          </cell>
          <cell r="B3132">
            <v>37014808</v>
          </cell>
          <cell r="C3132">
            <v>20060072</v>
          </cell>
          <cell r="D3132">
            <v>45202</v>
          </cell>
        </row>
        <row r="3133">
          <cell r="A3133" t="str">
            <v>Gabriele Barbosa Queiroz</v>
          </cell>
          <cell r="B3133">
            <v>37009073</v>
          </cell>
          <cell r="C3133">
            <v>20031430</v>
          </cell>
          <cell r="D3133">
            <v>44788</v>
          </cell>
        </row>
        <row r="3134">
          <cell r="A3134" t="str">
            <v>Vitória Martins Gomes</v>
          </cell>
          <cell r="B3134">
            <v>37015003</v>
          </cell>
          <cell r="C3134">
            <v>20060750</v>
          </cell>
          <cell r="D3134" t="str">
            <v>00/01/1900</v>
          </cell>
        </row>
        <row r="3135">
          <cell r="A3135" t="str">
            <v>Thamires Rodrigues dos Santos</v>
          </cell>
          <cell r="B3135">
            <v>37015005</v>
          </cell>
          <cell r="C3135">
            <v>20060752</v>
          </cell>
          <cell r="D3135" t="str">
            <v>00/01/1900</v>
          </cell>
        </row>
        <row r="3136">
          <cell r="A3136" t="str">
            <v>Anna Karoline de Oliveira</v>
          </cell>
          <cell r="B3136">
            <v>37015023</v>
          </cell>
          <cell r="C3136">
            <v>20060827</v>
          </cell>
          <cell r="D3136" t="str">
            <v>00/01/1900</v>
          </cell>
        </row>
        <row r="3137">
          <cell r="A3137" t="str">
            <v>Maryana de Souza Almeida</v>
          </cell>
          <cell r="B3137">
            <v>37015039</v>
          </cell>
          <cell r="C3137">
            <v>20060843</v>
          </cell>
          <cell r="D3137" t="str">
            <v>00/01/1900</v>
          </cell>
        </row>
        <row r="3138">
          <cell r="A3138" t="str">
            <v>Nicolly Martins Hokama</v>
          </cell>
          <cell r="B3138">
            <v>37015043</v>
          </cell>
          <cell r="C3138">
            <v>20060847</v>
          </cell>
          <cell r="D3138" t="str">
            <v>00/01/1900</v>
          </cell>
        </row>
        <row r="3139">
          <cell r="A3139" t="str">
            <v>Juliberto Ferreira Sobrinho</v>
          </cell>
          <cell r="B3139">
            <v>37011312</v>
          </cell>
          <cell r="C3139">
            <v>20042727</v>
          </cell>
          <cell r="D3139">
            <v>44970</v>
          </cell>
        </row>
        <row r="3140">
          <cell r="A3140" t="str">
            <v>Aldo Nascimento Filho</v>
          </cell>
          <cell r="B3140">
            <v>37015170</v>
          </cell>
          <cell r="C3140">
            <v>20061486</v>
          </cell>
          <cell r="D3140">
            <v>45237</v>
          </cell>
        </row>
        <row r="3141">
          <cell r="A3141" t="str">
            <v>Samantha Fonseca Sawaeda</v>
          </cell>
          <cell r="B3141">
            <v>37010983</v>
          </cell>
          <cell r="C3141">
            <v>20001968</v>
          </cell>
          <cell r="D3141">
            <v>44958</v>
          </cell>
        </row>
        <row r="3142">
          <cell r="A3142" t="str">
            <v>Vitor Hugo Dos Santos Simplicio</v>
          </cell>
          <cell r="B3142">
            <v>37015269</v>
          </cell>
          <cell r="C3142">
            <v>20061981</v>
          </cell>
          <cell r="D3142">
            <v>45243</v>
          </cell>
        </row>
        <row r="3143">
          <cell r="A3143" t="str">
            <v>Carolina Jordan</v>
          </cell>
          <cell r="B3143">
            <v>37004262</v>
          </cell>
          <cell r="C3143">
            <v>20008769</v>
          </cell>
          <cell r="D3143">
            <v>43864</v>
          </cell>
        </row>
        <row r="3144">
          <cell r="A3144" t="str">
            <v>Ariany de Souza Costa</v>
          </cell>
          <cell r="B3144">
            <v>37016034</v>
          </cell>
          <cell r="C3144">
            <v>20063714</v>
          </cell>
          <cell r="D3144">
            <v>45300</v>
          </cell>
        </row>
        <row r="3145">
          <cell r="A3145" t="str">
            <v>Thiago Soares Vaiti</v>
          </cell>
          <cell r="B3145">
            <v>37016069</v>
          </cell>
          <cell r="C3145">
            <v>20063750</v>
          </cell>
          <cell r="D3145">
            <v>45300</v>
          </cell>
        </row>
        <row r="3146">
          <cell r="A3146" t="str">
            <v>Eduardo Cesar Garcez</v>
          </cell>
          <cell r="B3146">
            <v>37016438</v>
          </cell>
          <cell r="C3146">
            <v>20064182</v>
          </cell>
          <cell r="D3146">
            <v>45328</v>
          </cell>
        </row>
        <row r="3147">
          <cell r="A3147" t="str">
            <v>GUSTAVO GABRIEL PEREIRA DE LIMA</v>
          </cell>
          <cell r="B3147">
            <v>37016545</v>
          </cell>
          <cell r="C3147">
            <v>20064539</v>
          </cell>
          <cell r="D3147">
            <v>45327</v>
          </cell>
        </row>
        <row r="3148">
          <cell r="A3148" t="str">
            <v>Julia Correia Basso</v>
          </cell>
          <cell r="B3148">
            <v>37016559</v>
          </cell>
          <cell r="C3148">
            <v>20064553</v>
          </cell>
          <cell r="D3148">
            <v>45327</v>
          </cell>
        </row>
        <row r="3149">
          <cell r="A3149" t="str">
            <v>JEANE GABRIELE MELLO RODRIGUES</v>
          </cell>
          <cell r="B3149">
            <v>37016551</v>
          </cell>
          <cell r="C3149">
            <v>20064545</v>
          </cell>
          <cell r="D3149">
            <v>45327</v>
          </cell>
        </row>
        <row r="3150">
          <cell r="A3150" t="str">
            <v>Luiz Miguel Silva Machado</v>
          </cell>
          <cell r="B3150">
            <v>37016552</v>
          </cell>
          <cell r="C3150">
            <v>20064546</v>
          </cell>
          <cell r="D3150">
            <v>45327</v>
          </cell>
        </row>
        <row r="3151">
          <cell r="A3151" t="str">
            <v>Joao Gabriel Borges Marques</v>
          </cell>
          <cell r="B3151">
            <v>37016553</v>
          </cell>
          <cell r="C3151">
            <v>20064547</v>
          </cell>
          <cell r="D3151">
            <v>45327</v>
          </cell>
        </row>
        <row r="3152">
          <cell r="A3152" t="str">
            <v>TAISA OLIVEIRA MARIM</v>
          </cell>
          <cell r="B3152">
            <v>37016555</v>
          </cell>
          <cell r="C3152">
            <v>20064549</v>
          </cell>
          <cell r="D3152">
            <v>45327</v>
          </cell>
        </row>
        <row r="3153">
          <cell r="A3153" t="str">
            <v>Raphael Teodoro Caldas Zeferino</v>
          </cell>
          <cell r="B3153">
            <v>37016556</v>
          </cell>
          <cell r="C3153">
            <v>20064550</v>
          </cell>
          <cell r="D3153">
            <v>45327</v>
          </cell>
        </row>
        <row r="3154">
          <cell r="A3154" t="str">
            <v>Geisy Kethelyn de Deus Silva</v>
          </cell>
          <cell r="B3154">
            <v>37016557</v>
          </cell>
          <cell r="C3154">
            <v>20064551</v>
          </cell>
          <cell r="D3154">
            <v>45327</v>
          </cell>
        </row>
        <row r="3155">
          <cell r="A3155" t="str">
            <v>Ezequiel de Oliveira Carvalho</v>
          </cell>
          <cell r="B3155">
            <v>37016558</v>
          </cell>
          <cell r="C3155">
            <v>20064552</v>
          </cell>
          <cell r="D3155">
            <v>45327</v>
          </cell>
        </row>
        <row r="3156">
          <cell r="A3156" t="str">
            <v>Joao Paulo Donega dos Santos</v>
          </cell>
          <cell r="B3156">
            <v>37016561</v>
          </cell>
          <cell r="C3156">
            <v>20064555</v>
          </cell>
          <cell r="D3156">
            <v>45327</v>
          </cell>
        </row>
        <row r="3157">
          <cell r="A3157" t="str">
            <v>GABRIEL ANTUNES RAMOS DE LIMA</v>
          </cell>
          <cell r="B3157">
            <v>37016562</v>
          </cell>
          <cell r="C3157">
            <v>20064556</v>
          </cell>
          <cell r="D3157">
            <v>45327</v>
          </cell>
        </row>
        <row r="3158">
          <cell r="A3158" t="str">
            <v>RAUANE GABRIELE DA SILVA MACHADO</v>
          </cell>
          <cell r="B3158">
            <v>37016575</v>
          </cell>
          <cell r="C3158">
            <v>20064587</v>
          </cell>
          <cell r="D3158">
            <v>45327</v>
          </cell>
        </row>
        <row r="3159">
          <cell r="A3159" t="str">
            <v>MARINA SANTOS DA COSTA</v>
          </cell>
          <cell r="B3159">
            <v>37016576</v>
          </cell>
          <cell r="C3159">
            <v>20064588</v>
          </cell>
          <cell r="D3159">
            <v>45327</v>
          </cell>
        </row>
        <row r="3160">
          <cell r="A3160" t="str">
            <v>Tassia Aparecida Moura de Souza</v>
          </cell>
          <cell r="B3160">
            <v>37016573</v>
          </cell>
          <cell r="C3160">
            <v>20064585</v>
          </cell>
          <cell r="D3160">
            <v>45327</v>
          </cell>
        </row>
        <row r="3161">
          <cell r="A3161" t="str">
            <v>IZABELI GONZAGA BARBOSA</v>
          </cell>
          <cell r="B3161">
            <v>37016577</v>
          </cell>
          <cell r="C3161">
            <v>20064589</v>
          </cell>
          <cell r="D3161">
            <v>45327</v>
          </cell>
        </row>
        <row r="3162">
          <cell r="A3162" t="str">
            <v>IZABELE SOTTO DE OLIVEIRA</v>
          </cell>
          <cell r="B3162">
            <v>37016579</v>
          </cell>
          <cell r="C3162">
            <v>20064595</v>
          </cell>
          <cell r="D3162">
            <v>45327</v>
          </cell>
        </row>
        <row r="3163">
          <cell r="A3163" t="str">
            <v>Gerenil do Carmo Almeida</v>
          </cell>
          <cell r="B3163">
            <v>37016651</v>
          </cell>
          <cell r="C3163">
            <v>20064752</v>
          </cell>
          <cell r="D3163">
            <v>45342</v>
          </cell>
        </row>
        <row r="3164">
          <cell r="A3164" t="str">
            <v>Ronaldo Joaquim da Silva</v>
          </cell>
          <cell r="B3164">
            <v>37016650</v>
          </cell>
          <cell r="C3164">
            <v>20064751</v>
          </cell>
          <cell r="D3164">
            <v>45342</v>
          </cell>
        </row>
        <row r="3165">
          <cell r="A3165" t="str">
            <v>Denis da Silva Carvalho</v>
          </cell>
          <cell r="B3165">
            <v>37016653</v>
          </cell>
          <cell r="C3165">
            <v>20064754</v>
          </cell>
          <cell r="D3165">
            <v>45342</v>
          </cell>
        </row>
        <row r="3166">
          <cell r="A3166" t="str">
            <v>Daniel De Paula Silveira</v>
          </cell>
          <cell r="B3166">
            <v>37003065</v>
          </cell>
          <cell r="C3166">
            <v>20008856</v>
          </cell>
          <cell r="D3166">
            <v>43549</v>
          </cell>
        </row>
        <row r="3167">
          <cell r="A3167" t="str">
            <v>Marcio Felipe Barros Medeiros</v>
          </cell>
          <cell r="B3167">
            <v>37016706</v>
          </cell>
          <cell r="C3167">
            <v>20064900</v>
          </cell>
          <cell r="D3167">
            <v>45356</v>
          </cell>
        </row>
        <row r="3168">
          <cell r="A3168" t="str">
            <v>Karinne Pereira Baron</v>
          </cell>
          <cell r="B3168">
            <v>37016747</v>
          </cell>
          <cell r="C3168">
            <v>20065193</v>
          </cell>
          <cell r="D3168">
            <v>45356</v>
          </cell>
        </row>
        <row r="3169">
          <cell r="A3169" t="str">
            <v>LARISSA GABRIELE GONCALVES DA SILVA</v>
          </cell>
          <cell r="B3169">
            <v>37016768</v>
          </cell>
          <cell r="C3169">
            <v>20065262</v>
          </cell>
          <cell r="D3169">
            <v>45355</v>
          </cell>
        </row>
        <row r="3170">
          <cell r="A3170" t="str">
            <v>Lucas Daniel Carvalho de Mendonça de Araujo</v>
          </cell>
          <cell r="B3170">
            <v>37016816</v>
          </cell>
          <cell r="C3170">
            <v>20065315</v>
          </cell>
          <cell r="D3170">
            <v>45355</v>
          </cell>
        </row>
        <row r="3171">
          <cell r="A3171" t="str">
            <v>Tiago Antonio Rocha</v>
          </cell>
          <cell r="B3171">
            <v>37003714</v>
          </cell>
          <cell r="C3171">
            <v>20009962</v>
          </cell>
          <cell r="D3171">
            <v>43740</v>
          </cell>
        </row>
        <row r="3172">
          <cell r="A3172" t="str">
            <v>Jaqueline de Aguiar Rodrigues</v>
          </cell>
          <cell r="B3172">
            <v>37012219</v>
          </cell>
          <cell r="C3172">
            <v>20048927</v>
          </cell>
          <cell r="D3172">
            <v>45048</v>
          </cell>
        </row>
        <row r="3173">
          <cell r="A3173" t="str">
            <v>Anderson Rodrigues Maia</v>
          </cell>
          <cell r="B3173">
            <v>37016857</v>
          </cell>
          <cell r="C3173">
            <v>20065436</v>
          </cell>
          <cell r="D3173">
            <v>45363</v>
          </cell>
        </row>
        <row r="3174">
          <cell r="A3174" t="str">
            <v>Aline Abegail Farias de Oliviera</v>
          </cell>
          <cell r="B3174">
            <v>37011903</v>
          </cell>
          <cell r="C3174">
            <v>20046487</v>
          </cell>
          <cell r="D3174">
            <v>45019</v>
          </cell>
        </row>
        <row r="3175">
          <cell r="A3175" t="str">
            <v>Izabela Caroline Prezotto Armando</v>
          </cell>
          <cell r="B3175">
            <v>37008079</v>
          </cell>
          <cell r="C3175">
            <v>20026752</v>
          </cell>
          <cell r="D3175">
            <v>44713</v>
          </cell>
        </row>
        <row r="3176">
          <cell r="A3176" t="str">
            <v>Guilherme Morais Ribeiro</v>
          </cell>
          <cell r="B3176">
            <v>37016957</v>
          </cell>
          <cell r="C3176">
            <v>20065908</v>
          </cell>
          <cell r="D3176">
            <v>45370</v>
          </cell>
        </row>
        <row r="3177">
          <cell r="A3177" t="str">
            <v>Andre Luiz Cantao</v>
          </cell>
          <cell r="B3177">
            <v>37017033</v>
          </cell>
          <cell r="C3177">
            <v>20066631</v>
          </cell>
          <cell r="D3177">
            <v>45384</v>
          </cell>
        </row>
        <row r="3178">
          <cell r="A3178" t="str">
            <v>Flavio Alexandre Nascimento Lacerda Caravante</v>
          </cell>
          <cell r="B3178">
            <v>37017034</v>
          </cell>
          <cell r="C3178">
            <v>20066633</v>
          </cell>
          <cell r="D3178">
            <v>45384</v>
          </cell>
        </row>
        <row r="3179">
          <cell r="A3179" t="str">
            <v>Cicero Fernandes Teixeira</v>
          </cell>
          <cell r="B3179">
            <v>37017039</v>
          </cell>
          <cell r="C3179">
            <v>20066639</v>
          </cell>
          <cell r="D3179">
            <v>45384</v>
          </cell>
        </row>
        <row r="3180">
          <cell r="A3180" t="str">
            <v>Jessica Pereira</v>
          </cell>
          <cell r="B3180">
            <v>37014445</v>
          </cell>
          <cell r="C3180">
            <v>20058844</v>
          </cell>
          <cell r="D3180">
            <v>45181</v>
          </cell>
        </row>
        <row r="3181">
          <cell r="A3181" t="str">
            <v>Luiz Gustavo Andrade Tosta</v>
          </cell>
          <cell r="B3181">
            <v>37011897</v>
          </cell>
          <cell r="C3181">
            <v>20046466</v>
          </cell>
          <cell r="D3181">
            <v>45005</v>
          </cell>
        </row>
        <row r="3182">
          <cell r="A3182" t="str">
            <v>Joao Vitor Santos Brito</v>
          </cell>
          <cell r="B3182">
            <v>37012082</v>
          </cell>
          <cell r="C3182">
            <v>20047766</v>
          </cell>
          <cell r="D3182">
            <v>45027</v>
          </cell>
        </row>
        <row r="3183">
          <cell r="A3183" t="str">
            <v>Renan Pedro De Aquino Leite Marques</v>
          </cell>
          <cell r="B3183">
            <v>37005222</v>
          </cell>
          <cell r="C3183">
            <v>20011128</v>
          </cell>
          <cell r="D3183">
            <v>44117</v>
          </cell>
        </row>
        <row r="3184">
          <cell r="A3184" t="str">
            <v>Kauane Nayara Vitorio da Silva Arantes</v>
          </cell>
          <cell r="B3184">
            <v>37012982</v>
          </cell>
          <cell r="C3184">
            <v>20052176</v>
          </cell>
          <cell r="D3184">
            <v>45083</v>
          </cell>
        </row>
        <row r="3185">
          <cell r="A3185" t="str">
            <v>Marcelo Passos Ramos</v>
          </cell>
          <cell r="B3185">
            <v>37017085</v>
          </cell>
          <cell r="C3185">
            <v>20067079</v>
          </cell>
          <cell r="D3185">
            <v>45384</v>
          </cell>
        </row>
        <row r="3186">
          <cell r="A3186" t="str">
            <v>Vinicius De Aquino Brito Lima</v>
          </cell>
          <cell r="B3186">
            <v>37010421</v>
          </cell>
          <cell r="C3186">
            <v>20039725</v>
          </cell>
          <cell r="D3186">
            <v>44907</v>
          </cell>
        </row>
        <row r="3187">
          <cell r="A3187" t="str">
            <v>Claudimir Goncalves da Silva</v>
          </cell>
          <cell r="B3187">
            <v>37011392</v>
          </cell>
          <cell r="C3187">
            <v>20043873</v>
          </cell>
          <cell r="D3187">
            <v>44986</v>
          </cell>
        </row>
        <row r="3188">
          <cell r="A3188" t="str">
            <v>Luciano dos Santos Soares</v>
          </cell>
          <cell r="B3188">
            <v>37013771</v>
          </cell>
          <cell r="C3188">
            <v>20056422</v>
          </cell>
          <cell r="D3188">
            <v>45139</v>
          </cell>
        </row>
        <row r="3189">
          <cell r="A3189" t="str">
            <v>Flavia Lima Moreira</v>
          </cell>
          <cell r="B3189">
            <v>37012604</v>
          </cell>
          <cell r="C3189">
            <v>20051006</v>
          </cell>
          <cell r="D3189">
            <v>45069</v>
          </cell>
        </row>
        <row r="3190">
          <cell r="A3190" t="str">
            <v>Rogger Da Silva Wolff</v>
          </cell>
          <cell r="B3190">
            <v>37011004</v>
          </cell>
          <cell r="C3190">
            <v>20041819</v>
          </cell>
          <cell r="D3190">
            <v>44963</v>
          </cell>
        </row>
        <row r="3191">
          <cell r="A3191" t="str">
            <v>Elton Mathias Batista de Almeida</v>
          </cell>
          <cell r="B3191">
            <v>37017218</v>
          </cell>
          <cell r="C3191">
            <v>20068439</v>
          </cell>
          <cell r="D3191">
            <v>45398</v>
          </cell>
        </row>
        <row r="3192">
          <cell r="A3192" t="str">
            <v>Luiz Gustavo Mieli Moreira</v>
          </cell>
          <cell r="B3192">
            <v>37017279</v>
          </cell>
          <cell r="C3192">
            <v>20068665</v>
          </cell>
          <cell r="D3192">
            <v>45398</v>
          </cell>
        </row>
        <row r="3193">
          <cell r="A3193" t="str">
            <v>Giovanni Araujo Mosena</v>
          </cell>
          <cell r="B3193">
            <v>37017390</v>
          </cell>
          <cell r="C3193">
            <v>20069535</v>
          </cell>
          <cell r="D3193">
            <v>45419</v>
          </cell>
        </row>
        <row r="3194">
          <cell r="A3194" t="str">
            <v>Ediender Cesar Dias Alves</v>
          </cell>
          <cell r="B3194">
            <v>37017410</v>
          </cell>
          <cell r="C3194">
            <v>20069555</v>
          </cell>
          <cell r="D3194">
            <v>45419</v>
          </cell>
        </row>
        <row r="3195">
          <cell r="A3195" t="str">
            <v>Evelyn Quadros do Carmo</v>
          </cell>
          <cell r="B3195">
            <v>37011487</v>
          </cell>
          <cell r="C3195">
            <v>20044146</v>
          </cell>
          <cell r="D3195">
            <v>44991</v>
          </cell>
        </row>
        <row r="3196">
          <cell r="A3196" t="str">
            <v>Alexa Andrinne de Lima Duarte</v>
          </cell>
          <cell r="B3196">
            <v>37017541</v>
          </cell>
          <cell r="C3196">
            <v>20069918</v>
          </cell>
          <cell r="D3196">
            <v>45426</v>
          </cell>
        </row>
        <row r="3197">
          <cell r="A3197" t="str">
            <v>Matheus Henrique Namur Mendes</v>
          </cell>
          <cell r="B3197">
            <v>37014458</v>
          </cell>
          <cell r="C3197">
            <v>20058857</v>
          </cell>
          <cell r="D3197">
            <v>45181</v>
          </cell>
        </row>
        <row r="3198">
          <cell r="A3198" t="str">
            <v>Milleny Barbosa Neves Borges</v>
          </cell>
          <cell r="B3198">
            <v>37017553</v>
          </cell>
          <cell r="C3198">
            <v>20069930</v>
          </cell>
          <cell r="D3198">
            <v>45426</v>
          </cell>
        </row>
        <row r="3199">
          <cell r="A3199" t="str">
            <v>Fagner Geraldino De Oliveira</v>
          </cell>
          <cell r="B3199">
            <v>37005435</v>
          </cell>
          <cell r="C3199">
            <v>20015586</v>
          </cell>
          <cell r="D3199">
            <v>44263</v>
          </cell>
        </row>
        <row r="3200">
          <cell r="A3200" t="str">
            <v>Sandro Henrique Carrit Medola</v>
          </cell>
          <cell r="B3200">
            <v>37002743</v>
          </cell>
          <cell r="C3200">
            <v>20009910</v>
          </cell>
          <cell r="D3200">
            <v>43452</v>
          </cell>
        </row>
        <row r="3201">
          <cell r="A3201" t="str">
            <v>Nero Lemos Martins de Castro</v>
          </cell>
          <cell r="B3201">
            <v>37017640</v>
          </cell>
          <cell r="C3201">
            <v>20070250</v>
          </cell>
          <cell r="D3201">
            <v>45433</v>
          </cell>
        </row>
        <row r="3202">
          <cell r="A3202" t="str">
            <v>Rafael dos Santos Goulart</v>
          </cell>
          <cell r="B3202">
            <v>37017646</v>
          </cell>
          <cell r="C3202">
            <v>20070256</v>
          </cell>
          <cell r="D3202">
            <v>45433</v>
          </cell>
        </row>
        <row r="3203">
          <cell r="A3203" t="str">
            <v>Arthur Souza Cardoso Pompeu</v>
          </cell>
          <cell r="B3203">
            <v>37009754</v>
          </cell>
          <cell r="C3203">
            <v>20036479</v>
          </cell>
          <cell r="D3203">
            <v>44851</v>
          </cell>
        </row>
        <row r="3204">
          <cell r="A3204" t="str">
            <v>Sthefania Bartnikovski de Oliveira Peruzo</v>
          </cell>
          <cell r="B3204">
            <v>37017652</v>
          </cell>
          <cell r="C3204">
            <v>20070262</v>
          </cell>
          <cell r="D3204">
            <v>45426</v>
          </cell>
        </row>
        <row r="3205">
          <cell r="A3205" t="str">
            <v>Rafael Garcia Porto</v>
          </cell>
          <cell r="B3205">
            <v>37015173</v>
          </cell>
          <cell r="C3205">
            <v>20061489</v>
          </cell>
          <cell r="D3205">
            <v>45237</v>
          </cell>
        </row>
        <row r="3206">
          <cell r="A3206" t="str">
            <v>Márcia Aparecida Biazon de Campos</v>
          </cell>
          <cell r="B3206">
            <v>37017858</v>
          </cell>
          <cell r="C3206">
            <v>20070888</v>
          </cell>
          <cell r="D3206">
            <v>45447</v>
          </cell>
        </row>
        <row r="3207">
          <cell r="A3207" t="str">
            <v>Caio Rodrigues Atalaia</v>
          </cell>
          <cell r="B3207">
            <v>37017860</v>
          </cell>
          <cell r="C3207">
            <v>20070890</v>
          </cell>
          <cell r="D3207">
            <v>45447</v>
          </cell>
        </row>
        <row r="3208">
          <cell r="A3208" t="str">
            <v>Gustavo Mateus da Silva</v>
          </cell>
          <cell r="B3208">
            <v>37017888</v>
          </cell>
          <cell r="C3208">
            <v>20070935</v>
          </cell>
          <cell r="D3208">
            <v>45461</v>
          </cell>
        </row>
        <row r="3209">
          <cell r="A3209" t="str">
            <v>Joilson Magalhaes De Arruda Junior</v>
          </cell>
          <cell r="B3209">
            <v>37009063</v>
          </cell>
          <cell r="C3209">
            <v>20031407</v>
          </cell>
          <cell r="D3209">
            <v>44788</v>
          </cell>
        </row>
        <row r="3210">
          <cell r="A3210" t="str">
            <v>Edmir Rodrigues dos Santos Junior</v>
          </cell>
          <cell r="B3210">
            <v>37014763</v>
          </cell>
          <cell r="C3210">
            <v>20059968</v>
          </cell>
          <cell r="D3210">
            <v>45202</v>
          </cell>
        </row>
        <row r="3211">
          <cell r="A3211" t="str">
            <v>Bianca Goulart Gauna</v>
          </cell>
          <cell r="B3211">
            <v>37017914</v>
          </cell>
          <cell r="C3211">
            <v>20070961</v>
          </cell>
          <cell r="D3211">
            <v>45447</v>
          </cell>
        </row>
        <row r="3212">
          <cell r="A3212" t="str">
            <v>Thais Cristian Rosa</v>
          </cell>
          <cell r="B3212">
            <v>37017916</v>
          </cell>
          <cell r="C3212">
            <v>20070963</v>
          </cell>
          <cell r="D3212">
            <v>45461</v>
          </cell>
        </row>
        <row r="3213">
          <cell r="A3213" t="str">
            <v>Ailton Carlos da Silva</v>
          </cell>
          <cell r="B3213">
            <v>37017933</v>
          </cell>
          <cell r="C3213">
            <v>20071191</v>
          </cell>
          <cell r="D3213">
            <v>45447</v>
          </cell>
        </row>
        <row r="3214">
          <cell r="A3214" t="str">
            <v>Fernando Montezano Fernandes</v>
          </cell>
          <cell r="B3214">
            <v>37013350</v>
          </cell>
          <cell r="C3214">
            <v>20054007</v>
          </cell>
          <cell r="D3214">
            <v>45118</v>
          </cell>
        </row>
        <row r="3215">
          <cell r="A3215" t="str">
            <v>Jerffson Da Silva Santos</v>
          </cell>
          <cell r="B3215">
            <v>37009876</v>
          </cell>
          <cell r="C3215">
            <v>20037211</v>
          </cell>
          <cell r="D3215">
            <v>44872</v>
          </cell>
        </row>
        <row r="3216">
          <cell r="A3216" t="str">
            <v>Sidinei Dallacort</v>
          </cell>
          <cell r="B3216">
            <v>37003177</v>
          </cell>
          <cell r="C3216">
            <v>20002411</v>
          </cell>
          <cell r="D3216">
            <v>43598</v>
          </cell>
        </row>
        <row r="3217">
          <cell r="A3217" t="str">
            <v>Mayene Pereira Andreatta</v>
          </cell>
          <cell r="B3217">
            <v>37017960</v>
          </cell>
          <cell r="C3217">
            <v>20071228</v>
          </cell>
          <cell r="D3217">
            <v>45447</v>
          </cell>
        </row>
        <row r="3218">
          <cell r="A3218" t="str">
            <v>Rafael Marques Leal Previato</v>
          </cell>
          <cell r="B3218">
            <v>37011327</v>
          </cell>
          <cell r="C3218">
            <v>20042742</v>
          </cell>
          <cell r="D3218">
            <v>44970</v>
          </cell>
        </row>
        <row r="3219">
          <cell r="A3219" t="str">
            <v>Marcos Wilian Vicente Jeronimo</v>
          </cell>
          <cell r="B3219">
            <v>37018102</v>
          </cell>
          <cell r="C3219">
            <v>20071967</v>
          </cell>
          <cell r="D3219">
            <v>45454</v>
          </cell>
        </row>
        <row r="3220">
          <cell r="A3220" t="str">
            <v>Talita Veras da Silva</v>
          </cell>
          <cell r="B3220">
            <v>37018162</v>
          </cell>
          <cell r="C3220">
            <v>20072311</v>
          </cell>
          <cell r="D3220">
            <v>45461</v>
          </cell>
        </row>
        <row r="3221">
          <cell r="A3221" t="str">
            <v>Patricia Debona Lima</v>
          </cell>
          <cell r="B3221">
            <v>37006611</v>
          </cell>
          <cell r="C3221">
            <v>20018737</v>
          </cell>
          <cell r="D3221">
            <v>44487</v>
          </cell>
        </row>
        <row r="3222">
          <cell r="A3222" t="str">
            <v>Milena Souza dos Santos</v>
          </cell>
          <cell r="B3222">
            <v>37013020</v>
          </cell>
          <cell r="C3222">
            <v>20052314</v>
          </cell>
          <cell r="D3222">
            <v>45097</v>
          </cell>
        </row>
        <row r="3223">
          <cell r="A3223" t="str">
            <v>Elica Cristina Da Silva</v>
          </cell>
          <cell r="B3223">
            <v>37009721</v>
          </cell>
          <cell r="C3223">
            <v>20035869</v>
          </cell>
          <cell r="D3223">
            <v>44851</v>
          </cell>
        </row>
        <row r="3224">
          <cell r="A3224" t="str">
            <v>Rafaela Ayumi Ito de Lima</v>
          </cell>
          <cell r="B3224">
            <v>37018251</v>
          </cell>
          <cell r="C3224">
            <v>20060848</v>
          </cell>
          <cell r="D3224">
            <v>45461</v>
          </cell>
        </row>
        <row r="3225">
          <cell r="A3225" t="str">
            <v>Caio Henrique Barbosa de Amorim</v>
          </cell>
          <cell r="B3225">
            <v>37014765</v>
          </cell>
          <cell r="C3225">
            <v>20059970</v>
          </cell>
          <cell r="D3225">
            <v>45202</v>
          </cell>
        </row>
        <row r="3226">
          <cell r="A3226" t="str">
            <v>Welton da Silva Fernandes</v>
          </cell>
          <cell r="B3226">
            <v>37018313</v>
          </cell>
          <cell r="C3226">
            <v>20072872</v>
          </cell>
          <cell r="D3226">
            <v>45475</v>
          </cell>
        </row>
        <row r="3227">
          <cell r="A3227" t="str">
            <v>Renato Gomes Rodrigues</v>
          </cell>
          <cell r="B3227">
            <v>37018339</v>
          </cell>
          <cell r="C3227">
            <v>20073123</v>
          </cell>
          <cell r="D3227">
            <v>45475</v>
          </cell>
        </row>
        <row r="3228">
          <cell r="A3228" t="str">
            <v>Vinycius Echeverria Fernandes</v>
          </cell>
          <cell r="B3228">
            <v>37018345</v>
          </cell>
          <cell r="C3228">
            <v>20073129</v>
          </cell>
          <cell r="D3228">
            <v>45474</v>
          </cell>
        </row>
        <row r="3229">
          <cell r="A3229" t="str">
            <v>Caio Aristimunha Bonifacio</v>
          </cell>
          <cell r="B3229">
            <v>37900907</v>
          </cell>
          <cell r="C3229">
            <v>20073179</v>
          </cell>
          <cell r="D3229">
            <v>45474</v>
          </cell>
        </row>
        <row r="3230">
          <cell r="A3230" t="str">
            <v>Luciane Cambuy Da Silva Perina</v>
          </cell>
          <cell r="B3230">
            <v>37004462</v>
          </cell>
          <cell r="C3230">
            <v>20008214</v>
          </cell>
          <cell r="D3230">
            <v>43899</v>
          </cell>
        </row>
        <row r="3231">
          <cell r="A3231" t="str">
            <v>Gustavo Mathias Lopes</v>
          </cell>
          <cell r="B3231">
            <v>37009009</v>
          </cell>
          <cell r="C3231">
            <v>20030988</v>
          </cell>
          <cell r="D3231">
            <v>44781</v>
          </cell>
        </row>
        <row r="3232">
          <cell r="A3232" t="str">
            <v>Alaís Suellen dos Santos</v>
          </cell>
          <cell r="B3232">
            <v>37018589</v>
          </cell>
          <cell r="C3232">
            <v>20074161</v>
          </cell>
          <cell r="D3232">
            <v>45489</v>
          </cell>
        </row>
        <row r="3233">
          <cell r="A3233" t="str">
            <v>Kauane Larisse de Oliveira Benitis</v>
          </cell>
          <cell r="B3233">
            <v>37018607</v>
          </cell>
          <cell r="C3233">
            <v>20074185</v>
          </cell>
          <cell r="D3233">
            <v>45489</v>
          </cell>
        </row>
        <row r="3234">
          <cell r="A3234" t="str">
            <v>LEONARDO CORREA GARCIA</v>
          </cell>
          <cell r="B3234">
            <v>37018685</v>
          </cell>
          <cell r="C3234">
            <v>20074761</v>
          </cell>
          <cell r="D3234">
            <v>45491</v>
          </cell>
        </row>
        <row r="3235">
          <cell r="A3235" t="str">
            <v>Gilmar Santos Matos</v>
          </cell>
          <cell r="B3235">
            <v>37018882</v>
          </cell>
          <cell r="C3235">
            <v>20075506</v>
          </cell>
          <cell r="D3235">
            <v>45517</v>
          </cell>
        </row>
        <row r="3236">
          <cell r="A3236" t="str">
            <v>Diego Henriques dos Santos</v>
          </cell>
          <cell r="B3236">
            <v>37018884</v>
          </cell>
          <cell r="C3236">
            <v>20075508</v>
          </cell>
          <cell r="D3236">
            <v>45524</v>
          </cell>
        </row>
        <row r="3237">
          <cell r="A3237" t="str">
            <v>Matheus Kroll Leite</v>
          </cell>
          <cell r="B3237">
            <v>37007026</v>
          </cell>
          <cell r="C3237">
            <v>20022864</v>
          </cell>
          <cell r="D3237">
            <v>44578</v>
          </cell>
        </row>
        <row r="3238">
          <cell r="A3238" t="str">
            <v>Daniela Borges Pessoa dos Santos</v>
          </cell>
          <cell r="B3238">
            <v>37018885</v>
          </cell>
          <cell r="C3238">
            <v>20075509</v>
          </cell>
          <cell r="D3238">
            <v>45517</v>
          </cell>
        </row>
        <row r="3239">
          <cell r="A3239" t="str">
            <v>Hywre Santos Sousa</v>
          </cell>
          <cell r="B3239">
            <v>37009430</v>
          </cell>
          <cell r="C3239">
            <v>20033345</v>
          </cell>
          <cell r="D3239">
            <v>44823</v>
          </cell>
        </row>
        <row r="3240">
          <cell r="A3240" t="str">
            <v>Luan Alexandre Kuzniewski</v>
          </cell>
          <cell r="B3240">
            <v>37013318</v>
          </cell>
          <cell r="C3240">
            <v>20053680</v>
          </cell>
          <cell r="D3240">
            <v>45118</v>
          </cell>
        </row>
        <row r="3241">
          <cell r="A3241" t="str">
            <v>Angelica Patricia de Souza</v>
          </cell>
          <cell r="B3241">
            <v>37013765</v>
          </cell>
          <cell r="C3241">
            <v>20056400</v>
          </cell>
          <cell r="D3241">
            <v>45139</v>
          </cell>
        </row>
        <row r="3242">
          <cell r="A3242" t="str">
            <v>Paulo Guerino Junior</v>
          </cell>
          <cell r="B3242">
            <v>37018984</v>
          </cell>
          <cell r="C3242">
            <v>20076759</v>
          </cell>
          <cell r="D3242">
            <v>45524</v>
          </cell>
        </row>
        <row r="3243">
          <cell r="A3243" t="str">
            <v>Andre de Lima</v>
          </cell>
          <cell r="B3243">
            <v>37019050</v>
          </cell>
          <cell r="C3243">
            <v>20076902</v>
          </cell>
          <cell r="D3243">
            <v>45538</v>
          </cell>
        </row>
        <row r="3244">
          <cell r="A3244" t="str">
            <v>Veronica Pimenta Louback</v>
          </cell>
          <cell r="B3244">
            <v>37012438</v>
          </cell>
          <cell r="C3244">
            <v>20049738</v>
          </cell>
          <cell r="D3244">
            <v>45055</v>
          </cell>
        </row>
        <row r="3245">
          <cell r="A3245" t="str">
            <v>Marcus Rocha Sad</v>
          </cell>
          <cell r="B3245">
            <v>37013950</v>
          </cell>
          <cell r="C3245">
            <v>20057354</v>
          </cell>
          <cell r="D3245">
            <v>45153</v>
          </cell>
        </row>
        <row r="3246">
          <cell r="A3246" t="str">
            <v>Gabriel Augusto Ferreira Dias</v>
          </cell>
          <cell r="B3246">
            <v>37009923</v>
          </cell>
          <cell r="C3246">
            <v>20037407</v>
          </cell>
          <cell r="D3246">
            <v>44872</v>
          </cell>
        </row>
        <row r="3247">
          <cell r="A3247" t="str">
            <v>Izabela Duarte Pereira Lopes</v>
          </cell>
          <cell r="B3247">
            <v>37019229</v>
          </cell>
          <cell r="C3247">
            <v>20077891</v>
          </cell>
          <cell r="D3247">
            <v>45552</v>
          </cell>
        </row>
        <row r="3248">
          <cell r="A3248" t="str">
            <v>Sebastião de Oliveira Justino Filho</v>
          </cell>
          <cell r="B3248">
            <v>37019340</v>
          </cell>
          <cell r="C3248">
            <v>20078236</v>
          </cell>
          <cell r="D3248">
            <v>45552</v>
          </cell>
        </row>
        <row r="3249">
          <cell r="A3249" t="str">
            <v>Mateus Facin Cunha Diniz Colombo</v>
          </cell>
          <cell r="B3249">
            <v>37009442</v>
          </cell>
          <cell r="C3249">
            <v>20034032</v>
          </cell>
          <cell r="D3249">
            <v>44823</v>
          </cell>
        </row>
        <row r="3250">
          <cell r="A3250" t="str">
            <v>Ives Turetti Cardinot</v>
          </cell>
          <cell r="B3250">
            <v>37010567</v>
          </cell>
          <cell r="C3250">
            <v>20040420</v>
          </cell>
          <cell r="D3250">
            <v>44914</v>
          </cell>
        </row>
        <row r="3251">
          <cell r="A3251" t="str">
            <v>Kellen Cristina Gatti</v>
          </cell>
          <cell r="B3251">
            <v>37001891</v>
          </cell>
          <cell r="C3251">
            <v>15007877</v>
          </cell>
          <cell r="D3251">
            <v>42779</v>
          </cell>
        </row>
        <row r="3252">
          <cell r="A3252" t="str">
            <v>Alex Vinícius Correia Dos Santos</v>
          </cell>
          <cell r="B3252" t="e">
            <v>#N/A</v>
          </cell>
          <cell r="C3252">
            <v>20078754</v>
          </cell>
          <cell r="D3252" t="e">
            <v>#N/A</v>
          </cell>
        </row>
        <row r="3253">
          <cell r="A3253" t="str">
            <v>Camilly Gomes De Souza</v>
          </cell>
          <cell r="B3253" t="e">
            <v>#N/A</v>
          </cell>
          <cell r="C3253">
            <v>20079327</v>
          </cell>
          <cell r="D3253" t="e">
            <v>#N/A</v>
          </cell>
        </row>
        <row r="3254">
          <cell r="A3254" t="str">
            <v>Luana De Arruda Gonçalves</v>
          </cell>
          <cell r="B3254" t="e">
            <v>#N/A</v>
          </cell>
          <cell r="C3254">
            <v>20079355</v>
          </cell>
          <cell r="D3254" t="e">
            <v>#N/A</v>
          </cell>
        </row>
        <row r="3255">
          <cell r="A3255" t="str">
            <v>Vinícius Souza Costa Fernandes</v>
          </cell>
          <cell r="B3255" t="e">
            <v>#N/A</v>
          </cell>
          <cell r="C3255">
            <v>20079366</v>
          </cell>
          <cell r="D3255" t="e">
            <v>#N/A</v>
          </cell>
        </row>
        <row r="3256">
          <cell r="A3256" t="str">
            <v>Erick Domingues de Oliveira</v>
          </cell>
          <cell r="B3256" t="e">
            <v>#N/A</v>
          </cell>
          <cell r="C3256">
            <v>20079956</v>
          </cell>
          <cell r="D3256" t="e">
            <v>#N/A</v>
          </cell>
        </row>
        <row r="3257">
          <cell r="A3257" t="str">
            <v>Daiana Alany Silva Do Nascimento</v>
          </cell>
          <cell r="B3257">
            <v>37013320</v>
          </cell>
          <cell r="C3257">
            <v>20053682</v>
          </cell>
          <cell r="D3257">
            <v>45111</v>
          </cell>
        </row>
        <row r="3258">
          <cell r="A3258" t="str">
            <v>Silas Costa Da Silva</v>
          </cell>
          <cell r="B3258">
            <v>37008727</v>
          </cell>
          <cell r="C3258">
            <v>20028748</v>
          </cell>
          <cell r="D3258">
            <v>44760</v>
          </cell>
        </row>
        <row r="3259">
          <cell r="A3259" t="str">
            <v>Laercio Aparecido Dos Santos</v>
          </cell>
          <cell r="B3259">
            <v>37008728</v>
          </cell>
          <cell r="C3259">
            <v>20028750</v>
          </cell>
          <cell r="D3259">
            <v>44760</v>
          </cell>
        </row>
        <row r="3260">
          <cell r="A3260" t="str">
            <v>Nilson Dos Santos Nunes</v>
          </cell>
          <cell r="B3260">
            <v>37009238</v>
          </cell>
          <cell r="C3260">
            <v>20032752</v>
          </cell>
          <cell r="D3260">
            <v>44809</v>
          </cell>
        </row>
        <row r="3261">
          <cell r="A3261" t="str">
            <v>Cicero de Oliveira Valejo</v>
          </cell>
          <cell r="B3261">
            <v>37011682</v>
          </cell>
          <cell r="C3261">
            <v>20045206</v>
          </cell>
          <cell r="D3261">
            <v>44998</v>
          </cell>
        </row>
        <row r="3262">
          <cell r="A3262" t="str">
            <v>Hallyson Lorhan de Freitas Silva</v>
          </cell>
          <cell r="B3262">
            <v>37011728</v>
          </cell>
          <cell r="C3262">
            <v>20045277</v>
          </cell>
          <cell r="D3262">
            <v>44998</v>
          </cell>
        </row>
        <row r="3263">
          <cell r="A3263" t="str">
            <v>Eduardo dos Santos Dias</v>
          </cell>
          <cell r="B3263">
            <v>37011734</v>
          </cell>
          <cell r="C3263">
            <v>20045283</v>
          </cell>
          <cell r="D3263">
            <v>44998</v>
          </cell>
        </row>
        <row r="3264">
          <cell r="A3264" t="str">
            <v>Iridionis Deivid Costa Santos</v>
          </cell>
          <cell r="B3264">
            <v>37011736</v>
          </cell>
          <cell r="C3264">
            <v>20045285</v>
          </cell>
          <cell r="D3264">
            <v>44998</v>
          </cell>
        </row>
        <row r="3265">
          <cell r="A3265" t="str">
            <v>Jeferson Rocha Dos Santos</v>
          </cell>
          <cell r="B3265">
            <v>37008716</v>
          </cell>
          <cell r="C3265">
            <v>20029230</v>
          </cell>
          <cell r="D3265">
            <v>44760</v>
          </cell>
        </row>
        <row r="3266">
          <cell r="A3266" t="str">
            <v>Jonas Dos Santos Evangelista</v>
          </cell>
          <cell r="B3266">
            <v>37009218</v>
          </cell>
          <cell r="C3266">
            <v>20031851</v>
          </cell>
          <cell r="D3266">
            <v>44795</v>
          </cell>
        </row>
        <row r="3267">
          <cell r="A3267" t="str">
            <v>Claudionor Francisco Moura</v>
          </cell>
          <cell r="B3267">
            <v>37012975</v>
          </cell>
          <cell r="C3267">
            <v>20052160</v>
          </cell>
          <cell r="D3267">
            <v>45090</v>
          </cell>
        </row>
        <row r="3268">
          <cell r="A3268" t="str">
            <v>Robson Moises Antunes de Souza</v>
          </cell>
          <cell r="B3268">
            <v>37013639</v>
          </cell>
          <cell r="C3268">
            <v>20055939</v>
          </cell>
          <cell r="D3268">
            <v>45139</v>
          </cell>
        </row>
        <row r="3269">
          <cell r="A3269" t="str">
            <v>Fidelcastro da Silva Oliveira Viana</v>
          </cell>
          <cell r="B3269">
            <v>37013695</v>
          </cell>
          <cell r="C3269">
            <v>20056277</v>
          </cell>
          <cell r="D3269">
            <v>45139</v>
          </cell>
        </row>
        <row r="3270">
          <cell r="A3270" t="str">
            <v>Jose Vitor David de Barros</v>
          </cell>
          <cell r="B3270">
            <v>37013734</v>
          </cell>
          <cell r="C3270">
            <v>20056329</v>
          </cell>
          <cell r="D3270">
            <v>45139</v>
          </cell>
        </row>
        <row r="3271">
          <cell r="A3271" t="str">
            <v>Jose Artur Anhaia Bonim Junior</v>
          </cell>
          <cell r="B3271">
            <v>37013746</v>
          </cell>
          <cell r="C3271">
            <v>20056381</v>
          </cell>
          <cell r="D3271">
            <v>45139</v>
          </cell>
        </row>
        <row r="3272">
          <cell r="A3272" t="str">
            <v>Ewerton Paulino Cardoso</v>
          </cell>
          <cell r="B3272">
            <v>37013767</v>
          </cell>
          <cell r="C3272">
            <v>20056402</v>
          </cell>
          <cell r="D3272">
            <v>45139</v>
          </cell>
        </row>
        <row r="3273">
          <cell r="A3273" t="str">
            <v>Lucas de Souza Pais</v>
          </cell>
          <cell r="B3273">
            <v>37013958</v>
          </cell>
          <cell r="C3273">
            <v>20057439</v>
          </cell>
          <cell r="D3273">
            <v>45153</v>
          </cell>
        </row>
        <row r="3274">
          <cell r="A3274" t="str">
            <v>Edson Santos da Conceicao</v>
          </cell>
          <cell r="B3274">
            <v>37013972</v>
          </cell>
          <cell r="C3274">
            <v>20057454</v>
          </cell>
          <cell r="D3274">
            <v>45153</v>
          </cell>
        </row>
        <row r="3275">
          <cell r="A3275" t="str">
            <v>Joao Pedro Elias Batista</v>
          </cell>
          <cell r="B3275">
            <v>37014007</v>
          </cell>
          <cell r="C3275">
            <v>20057497</v>
          </cell>
          <cell r="D3275">
            <v>45153</v>
          </cell>
        </row>
        <row r="3276">
          <cell r="A3276" t="str">
            <v>Elisangela Da Silva</v>
          </cell>
          <cell r="B3276">
            <v>37008703</v>
          </cell>
          <cell r="C3276">
            <v>20027962</v>
          </cell>
          <cell r="D3276">
            <v>44760</v>
          </cell>
        </row>
        <row r="3277">
          <cell r="A3277" t="str">
            <v>Adriano Inacio</v>
          </cell>
          <cell r="B3277">
            <v>37009226</v>
          </cell>
          <cell r="C3277">
            <v>20032434</v>
          </cell>
          <cell r="D3277">
            <v>44809</v>
          </cell>
        </row>
        <row r="3278">
          <cell r="A3278" t="str">
            <v>Claudemir Nascimento De Sousa</v>
          </cell>
          <cell r="B3278">
            <v>37008055</v>
          </cell>
          <cell r="C3278">
            <v>20025955</v>
          </cell>
          <cell r="D3278">
            <v>44713</v>
          </cell>
        </row>
        <row r="3279">
          <cell r="A3279" t="str">
            <v>Marcos Pereira Sales</v>
          </cell>
          <cell r="B3279">
            <v>37007991</v>
          </cell>
          <cell r="C3279">
            <v>20025954</v>
          </cell>
          <cell r="D3279">
            <v>44713</v>
          </cell>
        </row>
        <row r="3280">
          <cell r="A3280" t="str">
            <v>AMANDO GOMES DOS SANTOS</v>
          </cell>
          <cell r="B3280">
            <v>37016033</v>
          </cell>
          <cell r="C3280">
            <v>20063713</v>
          </cell>
          <cell r="D3280">
            <v>45300</v>
          </cell>
        </row>
        <row r="3281">
          <cell r="A3281" t="str">
            <v>Wellington Dorneles Ferreira</v>
          </cell>
          <cell r="B3281">
            <v>37016043</v>
          </cell>
          <cell r="C3281">
            <v>20063724</v>
          </cell>
          <cell r="D3281">
            <v>45300</v>
          </cell>
        </row>
        <row r="3282">
          <cell r="A3282" t="str">
            <v>Vanderlei da Silva Leite</v>
          </cell>
          <cell r="B3282">
            <v>37016737</v>
          </cell>
          <cell r="C3282">
            <v>20065183</v>
          </cell>
          <cell r="D3282">
            <v>45356</v>
          </cell>
        </row>
        <row r="3283">
          <cell r="A3283" t="str">
            <v>Deilton Raimundo Lino</v>
          </cell>
          <cell r="B3283">
            <v>37016746</v>
          </cell>
          <cell r="C3283">
            <v>20065192</v>
          </cell>
          <cell r="D3283">
            <v>45356</v>
          </cell>
        </row>
        <row r="3284">
          <cell r="A3284" t="str">
            <v>Pedro Cordeiro França</v>
          </cell>
          <cell r="B3284">
            <v>37016831</v>
          </cell>
          <cell r="C3284">
            <v>20065394</v>
          </cell>
          <cell r="D3284">
            <v>45363</v>
          </cell>
        </row>
        <row r="3285">
          <cell r="A3285" t="str">
            <v>JOSE MATEUS ALVES MOURA</v>
          </cell>
          <cell r="B3285">
            <v>37016953</v>
          </cell>
          <cell r="C3285">
            <v>20065904</v>
          </cell>
          <cell r="D3285">
            <v>45370</v>
          </cell>
        </row>
        <row r="3286">
          <cell r="A3286" t="str">
            <v>Joao Vitor Ronczkoyski</v>
          </cell>
          <cell r="B3286">
            <v>37017385</v>
          </cell>
          <cell r="C3286">
            <v>20069530</v>
          </cell>
          <cell r="D3286">
            <v>45419</v>
          </cell>
        </row>
        <row r="3287">
          <cell r="A3287" t="str">
            <v>Maycon Gil</v>
          </cell>
          <cell r="B3287">
            <v>37017464</v>
          </cell>
          <cell r="C3287">
            <v>20069607</v>
          </cell>
          <cell r="D3287">
            <v>45419</v>
          </cell>
        </row>
        <row r="3288">
          <cell r="A3288" t="str">
            <v>Anderson Antunes De Oliveira</v>
          </cell>
          <cell r="B3288">
            <v>37009099</v>
          </cell>
          <cell r="C3288">
            <v>20031405</v>
          </cell>
          <cell r="D3288">
            <v>44788</v>
          </cell>
        </row>
        <row r="3289">
          <cell r="A3289" t="str">
            <v>Jose Carlos Lopes</v>
          </cell>
          <cell r="B3289">
            <v>37018149</v>
          </cell>
          <cell r="C3289">
            <v>20072297</v>
          </cell>
          <cell r="D3289">
            <v>45461</v>
          </cell>
        </row>
        <row r="3290">
          <cell r="A3290" t="str">
            <v>Francisco de Assis Bispo</v>
          </cell>
          <cell r="B3290">
            <v>37018154</v>
          </cell>
          <cell r="C3290">
            <v>20072303</v>
          </cell>
          <cell r="D3290">
            <v>45461</v>
          </cell>
        </row>
        <row r="3291">
          <cell r="A3291" t="str">
            <v>Joaquim de Almeida</v>
          </cell>
          <cell r="B3291">
            <v>37018330</v>
          </cell>
          <cell r="C3291">
            <v>20073114</v>
          </cell>
          <cell r="D3291">
            <v>45475</v>
          </cell>
        </row>
        <row r="3292">
          <cell r="A3292" t="str">
            <v>Cidemar de Souza Albuquerque</v>
          </cell>
          <cell r="B3292">
            <v>37018354</v>
          </cell>
          <cell r="C3292">
            <v>20073138</v>
          </cell>
          <cell r="D3292">
            <v>45475</v>
          </cell>
        </row>
        <row r="3293">
          <cell r="A3293" t="str">
            <v>Eliomar Santos de Sales</v>
          </cell>
          <cell r="B3293">
            <v>37018610</v>
          </cell>
          <cell r="C3293">
            <v>20074188</v>
          </cell>
          <cell r="D3293">
            <v>45489</v>
          </cell>
        </row>
        <row r="3294">
          <cell r="A3294" t="str">
            <v>Reginaldo Otavio Santos da Silva</v>
          </cell>
          <cell r="B3294">
            <v>37018929</v>
          </cell>
          <cell r="C3294">
            <v>20076063</v>
          </cell>
          <cell r="D3294">
            <v>45524</v>
          </cell>
        </row>
        <row r="3295">
          <cell r="A3295" t="str">
            <v>Renato Cruz Da Silva</v>
          </cell>
          <cell r="B3295">
            <v>37019029</v>
          </cell>
          <cell r="C3295">
            <v>20076867</v>
          </cell>
          <cell r="D3295">
            <v>45538</v>
          </cell>
        </row>
        <row r="3296">
          <cell r="A3296" t="str">
            <v>Eliton Casemiro Alves</v>
          </cell>
          <cell r="B3296">
            <v>37006889</v>
          </cell>
          <cell r="C3296">
            <v>20020060</v>
          </cell>
          <cell r="D3296">
            <v>44539</v>
          </cell>
        </row>
        <row r="3297">
          <cell r="A3297" t="str">
            <v>Julio Cesar Gomes De Camargo</v>
          </cell>
          <cell r="B3297">
            <v>37009107</v>
          </cell>
          <cell r="C3297">
            <v>20031406</v>
          </cell>
          <cell r="D3297">
            <v>44788</v>
          </cell>
        </row>
        <row r="3298">
          <cell r="A3298" t="str">
            <v>Julio Cesar Ferreira de Souza</v>
          </cell>
          <cell r="B3298">
            <v>37011097</v>
          </cell>
          <cell r="C3298">
            <v>20042169</v>
          </cell>
          <cell r="D3298">
            <v>44963</v>
          </cell>
        </row>
        <row r="3299">
          <cell r="A3299" t="str">
            <v>Henry de Souza Santos</v>
          </cell>
          <cell r="B3299">
            <v>37011161</v>
          </cell>
          <cell r="C3299">
            <v>20042507</v>
          </cell>
          <cell r="D3299">
            <v>44970</v>
          </cell>
        </row>
        <row r="3300">
          <cell r="A3300" t="str">
            <v>Rodrigo Bernardes Garcia</v>
          </cell>
          <cell r="B3300">
            <v>37011224</v>
          </cell>
          <cell r="C3300">
            <v>20042622</v>
          </cell>
          <cell r="D3300">
            <v>44970</v>
          </cell>
        </row>
        <row r="3301">
          <cell r="A3301" t="str">
            <v>Rogerio Souza dos Santos</v>
          </cell>
          <cell r="B3301">
            <v>37011807</v>
          </cell>
          <cell r="C3301">
            <v>20045901</v>
          </cell>
          <cell r="D3301">
            <v>45005</v>
          </cell>
        </row>
        <row r="3302">
          <cell r="A3302" t="str">
            <v>Natanael Rafael Alves</v>
          </cell>
          <cell r="B3302">
            <v>37013352</v>
          </cell>
          <cell r="C3302">
            <v>20054009</v>
          </cell>
          <cell r="D3302">
            <v>45118</v>
          </cell>
        </row>
        <row r="3303">
          <cell r="A3303" t="str">
            <v>Jorge Luiz Da Silva Souza</v>
          </cell>
          <cell r="B3303">
            <v>37015165</v>
          </cell>
          <cell r="C3303">
            <v>20061475</v>
          </cell>
          <cell r="D3303">
            <v>45237</v>
          </cell>
        </row>
        <row r="3304">
          <cell r="A3304" t="str">
            <v>Allan Aparecido Gregorio da Paz</v>
          </cell>
          <cell r="B3304">
            <v>37017101</v>
          </cell>
          <cell r="C3304">
            <v>20067415</v>
          </cell>
          <cell r="D3304">
            <v>45384</v>
          </cell>
        </row>
        <row r="3305">
          <cell r="A3305" t="str">
            <v>Julio Soares da Silva</v>
          </cell>
          <cell r="B3305">
            <v>37017166</v>
          </cell>
          <cell r="C3305">
            <v>20067967</v>
          </cell>
          <cell r="D3305">
            <v>45391</v>
          </cell>
        </row>
        <row r="3306">
          <cell r="A3306" t="str">
            <v>Edson Figueiredo De Andrade Neto</v>
          </cell>
          <cell r="B3306">
            <v>37000833</v>
          </cell>
          <cell r="C3306">
            <v>20008957</v>
          </cell>
          <cell r="D3306">
            <v>40581</v>
          </cell>
        </row>
        <row r="3307">
          <cell r="A3307" t="str">
            <v>Jose Marcio Cossi Bizon</v>
          </cell>
          <cell r="B3307">
            <v>37002740</v>
          </cell>
          <cell r="C3307">
            <v>20009405</v>
          </cell>
          <cell r="D3307">
            <v>43452</v>
          </cell>
        </row>
        <row r="3308">
          <cell r="A3308" t="str">
            <v>Marco Antonio Leite Moreira</v>
          </cell>
          <cell r="B3308">
            <v>37006812</v>
          </cell>
          <cell r="C3308">
            <v>20019990</v>
          </cell>
          <cell r="D3308">
            <v>44531</v>
          </cell>
        </row>
        <row r="3309">
          <cell r="A3309" t="str">
            <v>Emerson Pereira Costa</v>
          </cell>
          <cell r="B3309">
            <v>37006838</v>
          </cell>
          <cell r="C3309">
            <v>20020014</v>
          </cell>
          <cell r="D3309">
            <v>44536</v>
          </cell>
        </row>
        <row r="3310">
          <cell r="A3310" t="str">
            <v>Rosimar Nunes</v>
          </cell>
          <cell r="B3310">
            <v>37007217</v>
          </cell>
          <cell r="C3310">
            <v>20023017</v>
          </cell>
          <cell r="D3310">
            <v>44622</v>
          </cell>
        </row>
        <row r="3311">
          <cell r="A3311" t="str">
            <v>Luciano Ferreira Santos</v>
          </cell>
          <cell r="B3311">
            <v>37007318</v>
          </cell>
          <cell r="C3311">
            <v>20023686</v>
          </cell>
          <cell r="D3311">
            <v>44634</v>
          </cell>
        </row>
        <row r="3312">
          <cell r="A3312" t="str">
            <v>Victor Daniel Arguello</v>
          </cell>
          <cell r="B3312">
            <v>37007365</v>
          </cell>
          <cell r="C3312">
            <v>20023737</v>
          </cell>
          <cell r="D3312">
            <v>44641</v>
          </cell>
        </row>
        <row r="3313">
          <cell r="A3313" t="str">
            <v>Joao Carlos Dos Santos</v>
          </cell>
          <cell r="B3313">
            <v>37007751</v>
          </cell>
          <cell r="C3313">
            <v>20025914</v>
          </cell>
          <cell r="D3313">
            <v>44697</v>
          </cell>
        </row>
        <row r="3314">
          <cell r="A3314" t="str">
            <v>Divaldo Severino Da Silva</v>
          </cell>
          <cell r="B3314">
            <v>37007793</v>
          </cell>
          <cell r="C3314">
            <v>20025939</v>
          </cell>
          <cell r="D3314">
            <v>44704</v>
          </cell>
        </row>
        <row r="3315">
          <cell r="A3315" t="str">
            <v>Dionizio Ferreira Leite</v>
          </cell>
          <cell r="B3315">
            <v>37008060</v>
          </cell>
          <cell r="C3315">
            <v>20025943</v>
          </cell>
          <cell r="D3315">
            <v>44713</v>
          </cell>
        </row>
        <row r="3316">
          <cell r="A3316" t="str">
            <v>Lucas Agostinho Ferreira</v>
          </cell>
          <cell r="B3316">
            <v>37007938</v>
          </cell>
          <cell r="C3316">
            <v>20025953</v>
          </cell>
          <cell r="D3316">
            <v>44713</v>
          </cell>
        </row>
        <row r="3317">
          <cell r="A3317" t="str">
            <v>Rogerio Queluz Durand</v>
          </cell>
          <cell r="B3317">
            <v>37008069</v>
          </cell>
          <cell r="C3317">
            <v>20025957</v>
          </cell>
          <cell r="D3317">
            <v>44713</v>
          </cell>
        </row>
        <row r="3318">
          <cell r="A3318" t="str">
            <v>Diana Marques Silva</v>
          </cell>
          <cell r="B3318">
            <v>37008065</v>
          </cell>
          <cell r="C3318">
            <v>20026809</v>
          </cell>
          <cell r="D3318">
            <v>44713</v>
          </cell>
        </row>
        <row r="3319">
          <cell r="A3319" t="str">
            <v>Samuel Da Silva Matos</v>
          </cell>
          <cell r="B3319">
            <v>37008674</v>
          </cell>
          <cell r="C3319">
            <v>20028357</v>
          </cell>
          <cell r="D3319">
            <v>44760</v>
          </cell>
        </row>
        <row r="3320">
          <cell r="A3320" t="str">
            <v>Joao Paulo Da Silva Camargo</v>
          </cell>
          <cell r="B3320">
            <v>37008659</v>
          </cell>
          <cell r="C3320">
            <v>20028635</v>
          </cell>
          <cell r="D3320">
            <v>44760</v>
          </cell>
        </row>
        <row r="3321">
          <cell r="A3321" t="str">
            <v>Igor Sampaio</v>
          </cell>
          <cell r="B3321">
            <v>37009068</v>
          </cell>
          <cell r="C3321">
            <v>20031068</v>
          </cell>
          <cell r="D3321">
            <v>44788</v>
          </cell>
        </row>
        <row r="3322">
          <cell r="A3322" t="str">
            <v>Lucas Aparecido Da Silva Moraz</v>
          </cell>
          <cell r="B3322">
            <v>37009173</v>
          </cell>
          <cell r="C3322">
            <v>20031934</v>
          </cell>
          <cell r="D3322">
            <v>44795</v>
          </cell>
        </row>
        <row r="3323">
          <cell r="A3323" t="str">
            <v>Daniel Murta Barros</v>
          </cell>
          <cell r="B3323">
            <v>37009043</v>
          </cell>
          <cell r="C3323">
            <v>20032247</v>
          </cell>
          <cell r="D3323">
            <v>44781</v>
          </cell>
        </row>
        <row r="3324">
          <cell r="A3324" t="str">
            <v>Diego Adams Weiler</v>
          </cell>
          <cell r="B3324">
            <v>37009300</v>
          </cell>
          <cell r="C3324">
            <v>20032963</v>
          </cell>
          <cell r="D3324">
            <v>44809</v>
          </cell>
        </row>
        <row r="3325">
          <cell r="A3325" t="str">
            <v>Fagner De Souza Soares</v>
          </cell>
          <cell r="B3325">
            <v>37009322</v>
          </cell>
          <cell r="C3325">
            <v>20032988</v>
          </cell>
          <cell r="D3325">
            <v>44809</v>
          </cell>
        </row>
        <row r="3326">
          <cell r="A3326" t="str">
            <v>Carlos Henrique Romualdo Dos Santos</v>
          </cell>
          <cell r="B3326">
            <v>37009337</v>
          </cell>
          <cell r="C3326">
            <v>20033038</v>
          </cell>
          <cell r="D3326">
            <v>44809</v>
          </cell>
        </row>
        <row r="3327">
          <cell r="A3327" t="str">
            <v>Paulo Renato Teixeira</v>
          </cell>
          <cell r="B3327">
            <v>37003098</v>
          </cell>
          <cell r="C3327">
            <v>20009764</v>
          </cell>
          <cell r="D3327">
            <v>43570</v>
          </cell>
        </row>
        <row r="3328">
          <cell r="A3328" t="str">
            <v>Eduardo Barbosa Martoni</v>
          </cell>
          <cell r="B3328">
            <v>37006074</v>
          </cell>
          <cell r="C3328">
            <v>20016847</v>
          </cell>
          <cell r="D3328">
            <v>44410</v>
          </cell>
        </row>
        <row r="3329">
          <cell r="A3329" t="str">
            <v>Katharina Dobelin De Mendonca</v>
          </cell>
          <cell r="B3329">
            <v>37009384</v>
          </cell>
          <cell r="C3329">
            <v>20033395</v>
          </cell>
          <cell r="D3329">
            <v>44816</v>
          </cell>
        </row>
        <row r="3330">
          <cell r="A3330" t="str">
            <v>Hamilton Da Silva Lima</v>
          </cell>
          <cell r="B3330">
            <v>37009563</v>
          </cell>
          <cell r="C3330">
            <v>20035368</v>
          </cell>
          <cell r="D3330">
            <v>44837</v>
          </cell>
        </row>
        <row r="3331">
          <cell r="A3331" t="str">
            <v>Marcos Leal Viana</v>
          </cell>
          <cell r="B3331">
            <v>37002975</v>
          </cell>
          <cell r="C3331">
            <v>15008545</v>
          </cell>
          <cell r="D3331">
            <v>43535</v>
          </cell>
        </row>
        <row r="3332">
          <cell r="A3332" t="str">
            <v>Sergio Aparecido De Souza Matias</v>
          </cell>
          <cell r="B3332">
            <v>37009678</v>
          </cell>
          <cell r="C3332">
            <v>20035874</v>
          </cell>
          <cell r="D3332">
            <v>44851</v>
          </cell>
        </row>
        <row r="3333">
          <cell r="A3333" t="str">
            <v>Robson Silva Dos Santos</v>
          </cell>
          <cell r="B3333">
            <v>37009680</v>
          </cell>
          <cell r="C3333">
            <v>20035881</v>
          </cell>
          <cell r="D3333">
            <v>44851</v>
          </cell>
        </row>
        <row r="3334">
          <cell r="A3334" t="str">
            <v>Hugo Souza Dias</v>
          </cell>
          <cell r="B3334">
            <v>37009717</v>
          </cell>
          <cell r="C3334">
            <v>20035893</v>
          </cell>
          <cell r="D3334">
            <v>44851</v>
          </cell>
        </row>
        <row r="3335">
          <cell r="A3335" t="str">
            <v>Weliton Souza Gomes</v>
          </cell>
          <cell r="B3335">
            <v>37009724</v>
          </cell>
          <cell r="C3335">
            <v>20035994</v>
          </cell>
          <cell r="D3335">
            <v>44851</v>
          </cell>
        </row>
        <row r="3336">
          <cell r="A3336" t="str">
            <v>Jackson Felipe Silva Cardoso</v>
          </cell>
          <cell r="B3336">
            <v>37005917</v>
          </cell>
          <cell r="C3336">
            <v>20016736</v>
          </cell>
          <cell r="D3336">
            <v>44382</v>
          </cell>
        </row>
        <row r="3337">
          <cell r="A3337" t="str">
            <v>Adilan Rodrigues Da Silva</v>
          </cell>
          <cell r="B3337">
            <v>37009795</v>
          </cell>
          <cell r="C3337">
            <v>20037065</v>
          </cell>
          <cell r="D3337">
            <v>44872</v>
          </cell>
        </row>
        <row r="3338">
          <cell r="A3338" t="str">
            <v>Marisa Valeria Stevanin Coutinho</v>
          </cell>
          <cell r="B3338">
            <v>37009879</v>
          </cell>
          <cell r="C3338">
            <v>20037214</v>
          </cell>
          <cell r="D3338">
            <v>44868</v>
          </cell>
        </row>
        <row r="3339">
          <cell r="A3339" t="str">
            <v>Renata Maria Cardoso Dos Santos</v>
          </cell>
          <cell r="B3339">
            <v>37009880</v>
          </cell>
          <cell r="C3339">
            <v>20037215</v>
          </cell>
          <cell r="D3339">
            <v>44872</v>
          </cell>
        </row>
        <row r="3340">
          <cell r="A3340" t="str">
            <v>Maria Liceia Dos Santos</v>
          </cell>
          <cell r="B3340">
            <v>37009891</v>
          </cell>
          <cell r="C3340">
            <v>20037226</v>
          </cell>
          <cell r="D3340">
            <v>44872</v>
          </cell>
        </row>
        <row r="3341">
          <cell r="A3341" t="str">
            <v>Gisley Costodio Tavares</v>
          </cell>
          <cell r="B3341">
            <v>37009915</v>
          </cell>
          <cell r="C3341">
            <v>20037268</v>
          </cell>
          <cell r="D3341">
            <v>44872</v>
          </cell>
        </row>
        <row r="3342">
          <cell r="A3342" t="str">
            <v>Ana Lucia Chaves Mancuelho</v>
          </cell>
          <cell r="B3342">
            <v>37009928</v>
          </cell>
          <cell r="C3342">
            <v>20037413</v>
          </cell>
          <cell r="D3342">
            <v>44872</v>
          </cell>
        </row>
        <row r="3343">
          <cell r="A3343" t="str">
            <v>Gustavo De Souza Barbosa</v>
          </cell>
          <cell r="B3343">
            <v>37009938</v>
          </cell>
          <cell r="C3343">
            <v>20037437</v>
          </cell>
          <cell r="D3343">
            <v>44872</v>
          </cell>
        </row>
        <row r="3344">
          <cell r="A3344" t="str">
            <v>Adriana Rodrigues Machado Da Silva</v>
          </cell>
          <cell r="B3344">
            <v>37009936</v>
          </cell>
          <cell r="C3344">
            <v>20037435</v>
          </cell>
          <cell r="D3344">
            <v>44872</v>
          </cell>
        </row>
        <row r="3345">
          <cell r="A3345" t="str">
            <v>Rafael Martelo Dias</v>
          </cell>
          <cell r="B3345">
            <v>37010005</v>
          </cell>
          <cell r="C3345">
            <v>20037444</v>
          </cell>
          <cell r="D3345">
            <v>44872</v>
          </cell>
        </row>
        <row r="3346">
          <cell r="A3346" t="str">
            <v>Vitor Pereira Rosa</v>
          </cell>
          <cell r="B3346">
            <v>37010034</v>
          </cell>
          <cell r="C3346">
            <v>20037939</v>
          </cell>
          <cell r="D3346">
            <v>44881</v>
          </cell>
        </row>
        <row r="3347">
          <cell r="A3347" t="str">
            <v>Elaine Cristina dos Santos</v>
          </cell>
          <cell r="B3347">
            <v>37010035</v>
          </cell>
          <cell r="C3347">
            <v>20037940</v>
          </cell>
          <cell r="D3347">
            <v>44881</v>
          </cell>
        </row>
        <row r="3348">
          <cell r="A3348" t="str">
            <v>Maria Santina Prado Astrissi</v>
          </cell>
          <cell r="B3348">
            <v>37010042</v>
          </cell>
          <cell r="C3348">
            <v>20037948</v>
          </cell>
          <cell r="D3348">
            <v>44881</v>
          </cell>
        </row>
        <row r="3349">
          <cell r="A3349" t="str">
            <v>Felipe Mateus Cardoso Silva</v>
          </cell>
          <cell r="B3349">
            <v>37010051</v>
          </cell>
          <cell r="C3349">
            <v>20038155</v>
          </cell>
          <cell r="D3349">
            <v>44881</v>
          </cell>
        </row>
        <row r="3350">
          <cell r="A3350" t="str">
            <v>Kedson Santos</v>
          </cell>
          <cell r="B3350">
            <v>37010127</v>
          </cell>
          <cell r="C3350">
            <v>20038262</v>
          </cell>
          <cell r="D3350">
            <v>44886</v>
          </cell>
        </row>
        <row r="3351">
          <cell r="A3351" t="str">
            <v>Silvio Borges de Oliveira Junior</v>
          </cell>
          <cell r="B3351">
            <v>37010132</v>
          </cell>
          <cell r="C3351">
            <v>20038267</v>
          </cell>
          <cell r="D3351">
            <v>44886</v>
          </cell>
        </row>
        <row r="3352">
          <cell r="A3352" t="str">
            <v>Kenedy Pereira Avalo</v>
          </cell>
          <cell r="B3352">
            <v>37010191</v>
          </cell>
          <cell r="C3352">
            <v>20038576</v>
          </cell>
          <cell r="D3352">
            <v>44886</v>
          </cell>
        </row>
        <row r="3353">
          <cell r="A3353" t="str">
            <v>Samuel Ferreira da Silva Santos</v>
          </cell>
          <cell r="B3353">
            <v>37010256</v>
          </cell>
          <cell r="C3353">
            <v>20038985</v>
          </cell>
          <cell r="D3353">
            <v>44900</v>
          </cell>
        </row>
        <row r="3354">
          <cell r="A3354" t="str">
            <v>Gilmar de Souza da Silva</v>
          </cell>
          <cell r="B3354">
            <v>37010443</v>
          </cell>
          <cell r="C3354">
            <v>20039727</v>
          </cell>
          <cell r="D3354">
            <v>44907</v>
          </cell>
        </row>
        <row r="3355">
          <cell r="A3355" t="str">
            <v>Adriel De Oliveira Pereira</v>
          </cell>
          <cell r="B3355">
            <v>37010526</v>
          </cell>
          <cell r="C3355">
            <v>20040216</v>
          </cell>
          <cell r="D3355">
            <v>44914</v>
          </cell>
        </row>
        <row r="3356">
          <cell r="A3356" t="str">
            <v>Divanei Aurelio da Silva</v>
          </cell>
          <cell r="B3356">
            <v>37010486</v>
          </cell>
          <cell r="C3356">
            <v>20040219</v>
          </cell>
          <cell r="D3356">
            <v>44914</v>
          </cell>
        </row>
        <row r="3357">
          <cell r="A3357" t="str">
            <v>Fernanda Paula Da Silva Roldao</v>
          </cell>
          <cell r="B3357">
            <v>37010571</v>
          </cell>
          <cell r="C3357">
            <v>20040424</v>
          </cell>
          <cell r="D3357">
            <v>44914</v>
          </cell>
        </row>
        <row r="3358">
          <cell r="A3358" t="str">
            <v>Marcos Leal Da Fonseca</v>
          </cell>
          <cell r="B3358">
            <v>37007511</v>
          </cell>
          <cell r="C3358">
            <v>20025605</v>
          </cell>
          <cell r="D3358">
            <v>44669</v>
          </cell>
        </row>
        <row r="3359">
          <cell r="A3359" t="str">
            <v>Carlos Diogo Batista Viana</v>
          </cell>
          <cell r="B3359">
            <v>37010574</v>
          </cell>
          <cell r="C3359">
            <v>20040470</v>
          </cell>
          <cell r="D3359">
            <v>44930</v>
          </cell>
        </row>
        <row r="3360">
          <cell r="A3360" t="str">
            <v>Claudionor Jose do Nascimento</v>
          </cell>
          <cell r="B3360">
            <v>37010587</v>
          </cell>
          <cell r="C3360">
            <v>20040502</v>
          </cell>
          <cell r="D3360">
            <v>44930</v>
          </cell>
        </row>
        <row r="3361">
          <cell r="A3361" t="str">
            <v>Adair Cordeiro dos Santos</v>
          </cell>
          <cell r="B3361">
            <v>37010590</v>
          </cell>
          <cell r="C3361">
            <v>20040505</v>
          </cell>
          <cell r="D3361">
            <v>44930</v>
          </cell>
        </row>
        <row r="3362">
          <cell r="A3362" t="str">
            <v>Luis Henrique Mendes Maciel</v>
          </cell>
          <cell r="B3362">
            <v>37010637</v>
          </cell>
          <cell r="C3362">
            <v>20040590</v>
          </cell>
          <cell r="D3362">
            <v>44930</v>
          </cell>
        </row>
        <row r="3363">
          <cell r="A3363" t="str">
            <v>Agnaldo Alves Pereira</v>
          </cell>
          <cell r="B3363">
            <v>37010643</v>
          </cell>
          <cell r="C3363">
            <v>20040597</v>
          </cell>
          <cell r="D3363">
            <v>44930</v>
          </cell>
        </row>
        <row r="3364">
          <cell r="A3364" t="str">
            <v>Antonio Teodomiro Lobato Menezes</v>
          </cell>
          <cell r="B3364">
            <v>37010677</v>
          </cell>
          <cell r="C3364">
            <v>20040609</v>
          </cell>
          <cell r="D3364">
            <v>44935</v>
          </cell>
        </row>
        <row r="3365">
          <cell r="A3365" t="str">
            <v>Igor Bianchi Saldanha</v>
          </cell>
          <cell r="B3365">
            <v>37010722</v>
          </cell>
          <cell r="C3365">
            <v>20040884</v>
          </cell>
          <cell r="D3365">
            <v>44935</v>
          </cell>
        </row>
        <row r="3366">
          <cell r="A3366" t="str">
            <v>Samuel Nogueira Pereira</v>
          </cell>
          <cell r="B3366">
            <v>37008984</v>
          </cell>
          <cell r="C3366">
            <v>20035274</v>
          </cell>
          <cell r="D3366">
            <v>44777</v>
          </cell>
        </row>
        <row r="3367">
          <cell r="A3367" t="str">
            <v>Marcio Ribeiro do Santos</v>
          </cell>
          <cell r="B3367">
            <v>37010756</v>
          </cell>
          <cell r="C3367">
            <v>20040966</v>
          </cell>
          <cell r="D3367">
            <v>44935</v>
          </cell>
        </row>
        <row r="3368">
          <cell r="A3368" t="str">
            <v>Eliane Da Silva Teixeira Dos Santos</v>
          </cell>
          <cell r="B3368">
            <v>37010759</v>
          </cell>
          <cell r="C3368">
            <v>20040969</v>
          </cell>
          <cell r="D3368">
            <v>44935</v>
          </cell>
        </row>
        <row r="3369">
          <cell r="A3369" t="str">
            <v>Michele Maria Cena</v>
          </cell>
          <cell r="B3369">
            <v>37010783</v>
          </cell>
          <cell r="C3369">
            <v>20041165</v>
          </cell>
          <cell r="D3369">
            <v>44942</v>
          </cell>
        </row>
        <row r="3370">
          <cell r="A3370" t="str">
            <v>Paulo Ricardo Garcia</v>
          </cell>
          <cell r="B3370">
            <v>37010787</v>
          </cell>
          <cell r="C3370">
            <v>20041169</v>
          </cell>
          <cell r="D3370">
            <v>44942</v>
          </cell>
        </row>
        <row r="3371">
          <cell r="A3371" t="str">
            <v>Lucileila dos Santos Evangelista do Nascimento</v>
          </cell>
          <cell r="B3371">
            <v>37010785</v>
          </cell>
          <cell r="C3371">
            <v>20041167</v>
          </cell>
          <cell r="D3371">
            <v>44942</v>
          </cell>
        </row>
        <row r="3372">
          <cell r="A3372" t="str">
            <v>Cleidiane Rodrigues dos Santos</v>
          </cell>
          <cell r="B3372">
            <v>37010806</v>
          </cell>
          <cell r="C3372">
            <v>20041188</v>
          </cell>
          <cell r="D3372">
            <v>44942</v>
          </cell>
        </row>
        <row r="3373">
          <cell r="A3373" t="str">
            <v>Regiane dos Santos Silva de Oliveira</v>
          </cell>
          <cell r="B3373">
            <v>37010798</v>
          </cell>
          <cell r="C3373">
            <v>20041180</v>
          </cell>
          <cell r="D3373">
            <v>44942</v>
          </cell>
        </row>
        <row r="3374">
          <cell r="A3374" t="str">
            <v>Andreia dos Santos Rodrigues</v>
          </cell>
          <cell r="B3374">
            <v>37010808</v>
          </cell>
          <cell r="C3374">
            <v>20041190</v>
          </cell>
          <cell r="D3374">
            <v>44942</v>
          </cell>
        </row>
        <row r="3375">
          <cell r="A3375" t="str">
            <v>Lelia Alcantara Ribeiro</v>
          </cell>
          <cell r="B3375">
            <v>37010818</v>
          </cell>
          <cell r="C3375">
            <v>20041200</v>
          </cell>
          <cell r="D3375">
            <v>44942</v>
          </cell>
        </row>
        <row r="3376">
          <cell r="A3376" t="str">
            <v>Najela Ocampo</v>
          </cell>
          <cell r="B3376">
            <v>37010864</v>
          </cell>
          <cell r="C3376">
            <v>20041260</v>
          </cell>
          <cell r="D3376">
            <v>44942</v>
          </cell>
        </row>
        <row r="3377">
          <cell r="A3377" t="str">
            <v>Luciana Alencar Pessoa</v>
          </cell>
          <cell r="B3377">
            <v>37010867</v>
          </cell>
          <cell r="C3377">
            <v>20041263</v>
          </cell>
          <cell r="D3377">
            <v>44942</v>
          </cell>
        </row>
        <row r="3378">
          <cell r="A3378" t="str">
            <v>Valdir Jose Pereira</v>
          </cell>
          <cell r="B3378">
            <v>37010874</v>
          </cell>
          <cell r="C3378">
            <v>20041270</v>
          </cell>
          <cell r="D3378">
            <v>44942</v>
          </cell>
        </row>
        <row r="3379">
          <cell r="A3379" t="str">
            <v>Iara Carolina Zelaya da Silva</v>
          </cell>
          <cell r="B3379">
            <v>37010897</v>
          </cell>
          <cell r="C3379">
            <v>20041296</v>
          </cell>
          <cell r="D3379">
            <v>44942</v>
          </cell>
        </row>
        <row r="3380">
          <cell r="A3380" t="str">
            <v>Celso Da Silva Amaral</v>
          </cell>
          <cell r="B3380">
            <v>37003282</v>
          </cell>
          <cell r="C3380">
            <v>20008781</v>
          </cell>
          <cell r="D3380">
            <v>43633</v>
          </cell>
        </row>
        <row r="3381">
          <cell r="A3381" t="str">
            <v>Jackson Roberto Dias Ribeiro</v>
          </cell>
          <cell r="B3381">
            <v>37005432</v>
          </cell>
          <cell r="C3381">
            <v>20013535</v>
          </cell>
          <cell r="D3381">
            <v>44263</v>
          </cell>
        </row>
        <row r="3382">
          <cell r="A3382" t="str">
            <v>Cicero Bezerra De Alencar</v>
          </cell>
          <cell r="B3382">
            <v>37010948</v>
          </cell>
          <cell r="C3382">
            <v>20041768</v>
          </cell>
          <cell r="D3382">
            <v>44958</v>
          </cell>
        </row>
        <row r="3383">
          <cell r="A3383" t="str">
            <v>Guilherme Bergamo</v>
          </cell>
          <cell r="B3383">
            <v>37008067</v>
          </cell>
          <cell r="C3383">
            <v>20025992</v>
          </cell>
          <cell r="D3383">
            <v>44713</v>
          </cell>
        </row>
        <row r="3384">
          <cell r="A3384" t="str">
            <v>Vinicius Vieira Martins</v>
          </cell>
          <cell r="B3384">
            <v>37011071</v>
          </cell>
          <cell r="C3384">
            <v>20042137</v>
          </cell>
          <cell r="D3384">
            <v>44970</v>
          </cell>
        </row>
        <row r="3385">
          <cell r="A3385" t="str">
            <v>Gabriel Ferreira Monteiro Chaves</v>
          </cell>
          <cell r="B3385">
            <v>37004574</v>
          </cell>
          <cell r="C3385">
            <v>20009135</v>
          </cell>
          <cell r="D3385">
            <v>43997</v>
          </cell>
        </row>
        <row r="3386">
          <cell r="A3386" t="str">
            <v>Adriano Nunes</v>
          </cell>
          <cell r="B3386">
            <v>37007795</v>
          </cell>
          <cell r="C3386">
            <v>20025949</v>
          </cell>
          <cell r="D3386">
            <v>44704</v>
          </cell>
        </row>
        <row r="3387">
          <cell r="A3387" t="str">
            <v>Debora da Silva Matos</v>
          </cell>
          <cell r="B3387">
            <v>37011083</v>
          </cell>
          <cell r="C3387">
            <v>20042155</v>
          </cell>
          <cell r="D3387">
            <v>44963</v>
          </cell>
        </row>
        <row r="3388">
          <cell r="A3388" t="str">
            <v>Willian Martins da Silva</v>
          </cell>
          <cell r="B3388">
            <v>37011086</v>
          </cell>
          <cell r="C3388">
            <v>20042158</v>
          </cell>
          <cell r="D3388">
            <v>44963</v>
          </cell>
        </row>
        <row r="3389">
          <cell r="A3389" t="str">
            <v>Viviane Dos Santos Simplicio</v>
          </cell>
          <cell r="B3389">
            <v>37011142</v>
          </cell>
          <cell r="C3389">
            <v>20042373</v>
          </cell>
          <cell r="D3389">
            <v>44970</v>
          </cell>
        </row>
        <row r="3390">
          <cell r="A3390" t="str">
            <v>Nilton Cesar Santos Sales</v>
          </cell>
          <cell r="B3390">
            <v>37011156</v>
          </cell>
          <cell r="C3390">
            <v>20042502</v>
          </cell>
          <cell r="D3390">
            <v>44970</v>
          </cell>
        </row>
        <row r="3391">
          <cell r="A3391" t="str">
            <v>Sonia Regina da Silva Mattos</v>
          </cell>
          <cell r="B3391">
            <v>37011177</v>
          </cell>
          <cell r="C3391">
            <v>20042523</v>
          </cell>
          <cell r="D3391">
            <v>44970</v>
          </cell>
        </row>
        <row r="3392">
          <cell r="A3392" t="str">
            <v>Carlos Alberto de Mello</v>
          </cell>
          <cell r="B3392">
            <v>37011189</v>
          </cell>
          <cell r="C3392">
            <v>20042535</v>
          </cell>
          <cell r="D3392">
            <v>44970</v>
          </cell>
        </row>
        <row r="3393">
          <cell r="A3393" t="str">
            <v>Elizeu Oviedo Nunes</v>
          </cell>
          <cell r="B3393">
            <v>37011230</v>
          </cell>
          <cell r="C3393">
            <v>20042628</v>
          </cell>
          <cell r="D3393">
            <v>44970</v>
          </cell>
        </row>
        <row r="3394">
          <cell r="A3394" t="str">
            <v>Loana Cristina de Proenca</v>
          </cell>
          <cell r="B3394">
            <v>37011236</v>
          </cell>
          <cell r="C3394">
            <v>20042634</v>
          </cell>
          <cell r="D3394">
            <v>44970</v>
          </cell>
        </row>
        <row r="3395">
          <cell r="A3395" t="str">
            <v>Reginaldo da Silva</v>
          </cell>
          <cell r="B3395">
            <v>37011254</v>
          </cell>
          <cell r="C3395">
            <v>20042652</v>
          </cell>
          <cell r="D3395">
            <v>44970</v>
          </cell>
        </row>
        <row r="3396">
          <cell r="A3396" t="str">
            <v>Sandis Ciriaco dos Santos</v>
          </cell>
          <cell r="B3396">
            <v>37011275</v>
          </cell>
          <cell r="C3396">
            <v>20042673</v>
          </cell>
          <cell r="D3396">
            <v>44970</v>
          </cell>
        </row>
        <row r="3397">
          <cell r="A3397" t="str">
            <v>Sheila Aparecida da Silva</v>
          </cell>
          <cell r="B3397">
            <v>37011278</v>
          </cell>
          <cell r="C3397">
            <v>20042678</v>
          </cell>
          <cell r="D3397">
            <v>44970</v>
          </cell>
        </row>
        <row r="3398">
          <cell r="A3398" t="str">
            <v>Leticia Abilio Marinho</v>
          </cell>
          <cell r="B3398">
            <v>37011281</v>
          </cell>
          <cell r="C3398">
            <v>20042683</v>
          </cell>
          <cell r="D3398">
            <v>44970</v>
          </cell>
        </row>
        <row r="3399">
          <cell r="A3399" t="str">
            <v>Saionara Gonzaga</v>
          </cell>
          <cell r="B3399">
            <v>37011280</v>
          </cell>
          <cell r="C3399">
            <v>20042682</v>
          </cell>
          <cell r="D3399">
            <v>44970</v>
          </cell>
        </row>
        <row r="3400">
          <cell r="A3400" t="str">
            <v>Aparecida Francisca Barboza de Souza</v>
          </cell>
          <cell r="B3400">
            <v>37011325</v>
          </cell>
          <cell r="C3400">
            <v>20042740</v>
          </cell>
          <cell r="D3400">
            <v>44970</v>
          </cell>
        </row>
        <row r="3401">
          <cell r="A3401" t="str">
            <v>Rodrigo de Oliveira</v>
          </cell>
          <cell r="B3401">
            <v>37011328</v>
          </cell>
          <cell r="C3401">
            <v>20042743</v>
          </cell>
          <cell r="D3401">
            <v>44970</v>
          </cell>
        </row>
        <row r="3402">
          <cell r="A3402" t="str">
            <v>Adriano De Paula Marques</v>
          </cell>
          <cell r="B3402">
            <v>37003178</v>
          </cell>
          <cell r="C3402">
            <v>20008507</v>
          </cell>
          <cell r="D3402">
            <v>43598</v>
          </cell>
        </row>
        <row r="3403">
          <cell r="A3403" t="str">
            <v>Jackson Mendes Santos Junior</v>
          </cell>
          <cell r="B3403">
            <v>37003448</v>
          </cell>
          <cell r="C3403">
            <v>20004912</v>
          </cell>
          <cell r="D3403">
            <v>43654</v>
          </cell>
        </row>
        <row r="3404">
          <cell r="A3404" t="str">
            <v>Adriano De Oliveira Ferreira</v>
          </cell>
          <cell r="B3404">
            <v>37007792</v>
          </cell>
          <cell r="C3404">
            <v>20026171</v>
          </cell>
          <cell r="D3404">
            <v>44704</v>
          </cell>
        </row>
        <row r="3405">
          <cell r="A3405" t="str">
            <v>Helio Rocha Dos Santos Filho</v>
          </cell>
          <cell r="B3405">
            <v>37006845</v>
          </cell>
          <cell r="C3405">
            <v>20020021</v>
          </cell>
          <cell r="D3405">
            <v>44536</v>
          </cell>
        </row>
        <row r="3406">
          <cell r="A3406" t="str">
            <v>Odirlei Aparecido Furlan</v>
          </cell>
          <cell r="B3406">
            <v>37007661</v>
          </cell>
          <cell r="C3406">
            <v>20025694</v>
          </cell>
          <cell r="D3406">
            <v>44683</v>
          </cell>
        </row>
        <row r="3407">
          <cell r="A3407" t="str">
            <v>Matheus Henrique dos Santos</v>
          </cell>
          <cell r="B3407">
            <v>37011376</v>
          </cell>
          <cell r="C3407">
            <v>20043858</v>
          </cell>
          <cell r="D3407">
            <v>44986</v>
          </cell>
        </row>
        <row r="3408">
          <cell r="A3408" t="str">
            <v>Rafael Goncalves de Paula Reis</v>
          </cell>
          <cell r="B3408">
            <v>37011417</v>
          </cell>
          <cell r="C3408">
            <v>20043931</v>
          </cell>
          <cell r="D3408">
            <v>44986</v>
          </cell>
        </row>
        <row r="3409">
          <cell r="A3409" t="str">
            <v>Claudi Anne De Quadros</v>
          </cell>
          <cell r="B3409">
            <v>37011434</v>
          </cell>
          <cell r="C3409">
            <v>20044062</v>
          </cell>
          <cell r="D3409">
            <v>44986</v>
          </cell>
        </row>
        <row r="3410">
          <cell r="A3410" t="str">
            <v>Claudemir Ciebes Alves</v>
          </cell>
          <cell r="B3410">
            <v>37011457</v>
          </cell>
          <cell r="C3410">
            <v>20044116</v>
          </cell>
          <cell r="D3410">
            <v>44991</v>
          </cell>
        </row>
        <row r="3411">
          <cell r="A3411" t="str">
            <v>Marcos Figueredo dos Santos</v>
          </cell>
          <cell r="B3411">
            <v>37011472</v>
          </cell>
          <cell r="C3411">
            <v>20044131</v>
          </cell>
          <cell r="D3411">
            <v>44991</v>
          </cell>
        </row>
        <row r="3412">
          <cell r="A3412" t="str">
            <v>Gessica Pereira dos Santos</v>
          </cell>
          <cell r="B3412">
            <v>37011484</v>
          </cell>
          <cell r="C3412">
            <v>20044143</v>
          </cell>
          <cell r="D3412">
            <v>44991</v>
          </cell>
        </row>
        <row r="3413">
          <cell r="A3413" t="str">
            <v>Joao Henrique Do Nascimento De Carvalho</v>
          </cell>
          <cell r="B3413">
            <v>37006963</v>
          </cell>
          <cell r="C3413">
            <v>20021016</v>
          </cell>
          <cell r="D3413">
            <v>44571</v>
          </cell>
        </row>
        <row r="3414">
          <cell r="A3414" t="str">
            <v>Joao Afonso Santana Mota Da Silva</v>
          </cell>
          <cell r="B3414">
            <v>37007315</v>
          </cell>
          <cell r="C3414">
            <v>20023683</v>
          </cell>
          <cell r="D3414">
            <v>44634</v>
          </cell>
        </row>
        <row r="3415">
          <cell r="A3415" t="str">
            <v>Maxmuller De Andrade Moura</v>
          </cell>
          <cell r="B3415">
            <v>37009174</v>
          </cell>
          <cell r="C3415">
            <v>20031933</v>
          </cell>
          <cell r="D3415">
            <v>44795</v>
          </cell>
        </row>
        <row r="3416">
          <cell r="A3416" t="str">
            <v>Rogelio Jose De Souza</v>
          </cell>
          <cell r="B3416">
            <v>37004435</v>
          </cell>
          <cell r="C3416">
            <v>20009875</v>
          </cell>
          <cell r="D3416">
            <v>43892</v>
          </cell>
        </row>
        <row r="3417">
          <cell r="A3417" t="str">
            <v>Ricardo de Oliveira</v>
          </cell>
          <cell r="B3417">
            <v>37011672</v>
          </cell>
          <cell r="C3417">
            <v>20045196</v>
          </cell>
          <cell r="D3417">
            <v>44998</v>
          </cell>
        </row>
        <row r="3418">
          <cell r="A3418" t="str">
            <v>Jonatas Domingos de Souza</v>
          </cell>
          <cell r="B3418">
            <v>37011686</v>
          </cell>
          <cell r="C3418">
            <v>20045210</v>
          </cell>
          <cell r="D3418">
            <v>44998</v>
          </cell>
        </row>
        <row r="3419">
          <cell r="A3419" t="str">
            <v>Wagner Souza Carvalho</v>
          </cell>
          <cell r="B3419">
            <v>37011681</v>
          </cell>
          <cell r="C3419">
            <v>20045205</v>
          </cell>
          <cell r="D3419">
            <v>44998</v>
          </cell>
        </row>
        <row r="3420">
          <cell r="A3420" t="str">
            <v>Marcio Bispo de Jesus</v>
          </cell>
          <cell r="B3420">
            <v>37011687</v>
          </cell>
          <cell r="C3420">
            <v>20045211</v>
          </cell>
          <cell r="D3420">
            <v>44998</v>
          </cell>
        </row>
        <row r="3421">
          <cell r="A3421" t="str">
            <v>Alesson Dos Santos Soares</v>
          </cell>
          <cell r="B3421">
            <v>37011700</v>
          </cell>
          <cell r="C3421">
            <v>20045224</v>
          </cell>
          <cell r="D3421">
            <v>44998</v>
          </cell>
        </row>
        <row r="3422">
          <cell r="A3422" t="str">
            <v>Ruan Albuquerque Rodrigues</v>
          </cell>
          <cell r="B3422">
            <v>37011702</v>
          </cell>
          <cell r="C3422">
            <v>20045226</v>
          </cell>
          <cell r="D3422">
            <v>44998</v>
          </cell>
        </row>
        <row r="3423">
          <cell r="A3423" t="str">
            <v>Hiago Azevedo da Silva</v>
          </cell>
          <cell r="B3423">
            <v>37011705</v>
          </cell>
          <cell r="C3423">
            <v>20045229</v>
          </cell>
          <cell r="D3423">
            <v>44998</v>
          </cell>
        </row>
        <row r="3424">
          <cell r="A3424" t="str">
            <v>Marcelo Caetano dos Santos</v>
          </cell>
          <cell r="B3424">
            <v>37011706</v>
          </cell>
          <cell r="C3424">
            <v>20045230</v>
          </cell>
          <cell r="D3424">
            <v>44998</v>
          </cell>
        </row>
        <row r="3425">
          <cell r="A3425" t="str">
            <v>Dionelcey Oliveira de Freitas</v>
          </cell>
          <cell r="B3425">
            <v>37011699</v>
          </cell>
          <cell r="C3425">
            <v>20045223</v>
          </cell>
          <cell r="D3425">
            <v>44998</v>
          </cell>
        </row>
        <row r="3426">
          <cell r="A3426" t="str">
            <v>Elias Lourenco Vicente Da Silva</v>
          </cell>
          <cell r="B3426">
            <v>37011703</v>
          </cell>
          <cell r="C3426">
            <v>20045227</v>
          </cell>
          <cell r="D3426">
            <v>44998</v>
          </cell>
        </row>
        <row r="3427">
          <cell r="A3427" t="str">
            <v>Wilson de Souza Brito</v>
          </cell>
          <cell r="B3427">
            <v>37011709</v>
          </cell>
          <cell r="C3427">
            <v>20045233</v>
          </cell>
          <cell r="D3427">
            <v>44998</v>
          </cell>
        </row>
        <row r="3428">
          <cell r="A3428" t="str">
            <v>Willan Leal Rodrigues</v>
          </cell>
          <cell r="B3428">
            <v>37011711</v>
          </cell>
          <cell r="C3428">
            <v>20045235</v>
          </cell>
          <cell r="D3428">
            <v>44998</v>
          </cell>
        </row>
        <row r="3429">
          <cell r="A3429" t="str">
            <v>Alam Walber de Jesus Reis</v>
          </cell>
          <cell r="B3429">
            <v>37011716</v>
          </cell>
          <cell r="C3429">
            <v>20045240</v>
          </cell>
          <cell r="D3429">
            <v>44998</v>
          </cell>
        </row>
        <row r="3430">
          <cell r="A3430" t="str">
            <v>Gerson Diego Aquino Walchak</v>
          </cell>
          <cell r="B3430">
            <v>37011724</v>
          </cell>
          <cell r="C3430">
            <v>20045273</v>
          </cell>
          <cell r="D3430">
            <v>44998</v>
          </cell>
        </row>
        <row r="3431">
          <cell r="A3431" t="str">
            <v>Diogo Fernandes de Souza</v>
          </cell>
          <cell r="B3431">
            <v>37011727</v>
          </cell>
          <cell r="C3431">
            <v>20045276</v>
          </cell>
          <cell r="D3431">
            <v>44998</v>
          </cell>
        </row>
        <row r="3432">
          <cell r="A3432" t="str">
            <v>Shaylon Rian Almeida</v>
          </cell>
          <cell r="B3432">
            <v>37011735</v>
          </cell>
          <cell r="C3432">
            <v>20045284</v>
          </cell>
          <cell r="D3432">
            <v>44998</v>
          </cell>
        </row>
        <row r="3433">
          <cell r="A3433" t="str">
            <v>Gabriel de Oliveira Bogado Loureiro</v>
          </cell>
          <cell r="B3433">
            <v>37011741</v>
          </cell>
          <cell r="C3433">
            <v>20045290</v>
          </cell>
          <cell r="D3433">
            <v>44998</v>
          </cell>
        </row>
        <row r="3434">
          <cell r="A3434" t="str">
            <v>Fernando Oliveira da Silva</v>
          </cell>
          <cell r="B3434">
            <v>37011740</v>
          </cell>
          <cell r="C3434">
            <v>20045289</v>
          </cell>
          <cell r="D3434">
            <v>44998</v>
          </cell>
        </row>
        <row r="3435">
          <cell r="A3435" t="str">
            <v>Bruno Amorim Barboza Viega</v>
          </cell>
          <cell r="B3435">
            <v>37011744</v>
          </cell>
          <cell r="C3435">
            <v>20045293</v>
          </cell>
          <cell r="D3435">
            <v>44998</v>
          </cell>
        </row>
        <row r="3436">
          <cell r="A3436" t="str">
            <v>Edilson Rosa da Silva</v>
          </cell>
          <cell r="B3436">
            <v>37011750</v>
          </cell>
          <cell r="C3436">
            <v>20045299</v>
          </cell>
          <cell r="D3436">
            <v>44998</v>
          </cell>
        </row>
        <row r="3437">
          <cell r="A3437" t="str">
            <v>Leticia Katiane Nunes da Silva</v>
          </cell>
          <cell r="B3437">
            <v>37011817</v>
          </cell>
          <cell r="C3437">
            <v>20045911</v>
          </cell>
          <cell r="D3437">
            <v>45005</v>
          </cell>
        </row>
        <row r="3438">
          <cell r="A3438" t="str">
            <v>Magno Ferreira Silva</v>
          </cell>
          <cell r="B3438">
            <v>37011812</v>
          </cell>
          <cell r="C3438">
            <v>20045906</v>
          </cell>
          <cell r="D3438">
            <v>45005</v>
          </cell>
        </row>
        <row r="3439">
          <cell r="A3439" t="str">
            <v>Melissa Lima Portugal</v>
          </cell>
          <cell r="B3439">
            <v>37011822</v>
          </cell>
          <cell r="C3439">
            <v>20045916</v>
          </cell>
          <cell r="D3439">
            <v>45005</v>
          </cell>
        </row>
        <row r="3440">
          <cell r="A3440" t="str">
            <v>Jacqueline Santos de jesus Bispo</v>
          </cell>
          <cell r="B3440">
            <v>37011853</v>
          </cell>
          <cell r="C3440">
            <v>20046354</v>
          </cell>
          <cell r="D3440">
            <v>45005</v>
          </cell>
        </row>
        <row r="3441">
          <cell r="A3441" t="str">
            <v>Carlos da Silva Conceicao</v>
          </cell>
          <cell r="B3441">
            <v>37011859</v>
          </cell>
          <cell r="C3441">
            <v>20046360</v>
          </cell>
          <cell r="D3441">
            <v>45005</v>
          </cell>
        </row>
        <row r="3442">
          <cell r="A3442" t="str">
            <v>Jailson Batista de Sousa</v>
          </cell>
          <cell r="B3442">
            <v>37011867</v>
          </cell>
          <cell r="C3442">
            <v>20046368</v>
          </cell>
          <cell r="D3442">
            <v>45005</v>
          </cell>
        </row>
        <row r="3443">
          <cell r="A3443" t="str">
            <v>Rubem dos Santos Costa</v>
          </cell>
          <cell r="B3443">
            <v>37011851</v>
          </cell>
          <cell r="C3443">
            <v>20046352</v>
          </cell>
          <cell r="D3443">
            <v>45005</v>
          </cell>
        </row>
        <row r="3444">
          <cell r="A3444" t="str">
            <v>Jociane da Silva Penha</v>
          </cell>
          <cell r="B3444">
            <v>37011858</v>
          </cell>
          <cell r="C3444">
            <v>20046359</v>
          </cell>
          <cell r="D3444">
            <v>45005</v>
          </cell>
        </row>
        <row r="3445">
          <cell r="A3445" t="str">
            <v>Renato Ferreira Silva</v>
          </cell>
          <cell r="B3445">
            <v>37011860</v>
          </cell>
          <cell r="C3445">
            <v>20046361</v>
          </cell>
          <cell r="D3445">
            <v>45005</v>
          </cell>
        </row>
        <row r="3446">
          <cell r="A3446" t="str">
            <v>Crislaine Aparecida Silva dos Anjos</v>
          </cell>
          <cell r="B3446">
            <v>37011864</v>
          </cell>
          <cell r="C3446">
            <v>20046365</v>
          </cell>
          <cell r="D3446">
            <v>45005</v>
          </cell>
        </row>
        <row r="3447">
          <cell r="A3447" t="str">
            <v>Aldecir de Souza Carvalho</v>
          </cell>
          <cell r="B3447">
            <v>37011866</v>
          </cell>
          <cell r="C3447">
            <v>20046367</v>
          </cell>
          <cell r="D3447">
            <v>45005</v>
          </cell>
        </row>
        <row r="3448">
          <cell r="A3448" t="str">
            <v>Marlene Coelho de Oliveira</v>
          </cell>
          <cell r="B3448">
            <v>37011868</v>
          </cell>
          <cell r="C3448">
            <v>20046369</v>
          </cell>
          <cell r="D3448">
            <v>45005</v>
          </cell>
        </row>
        <row r="3449">
          <cell r="A3449" t="str">
            <v>Paloma Vitoria de Lima</v>
          </cell>
          <cell r="B3449">
            <v>37011872</v>
          </cell>
          <cell r="C3449">
            <v>20046373</v>
          </cell>
          <cell r="D3449">
            <v>45005</v>
          </cell>
        </row>
        <row r="3450">
          <cell r="A3450" t="str">
            <v>Cecilio Ortega</v>
          </cell>
          <cell r="B3450">
            <v>37011873</v>
          </cell>
          <cell r="C3450">
            <v>20046374</v>
          </cell>
          <cell r="D3450">
            <v>45005</v>
          </cell>
        </row>
        <row r="3451">
          <cell r="A3451" t="str">
            <v>Nubia Martins Brito</v>
          </cell>
          <cell r="B3451">
            <v>37011874</v>
          </cell>
          <cell r="C3451">
            <v>20046375</v>
          </cell>
          <cell r="D3451">
            <v>45005</v>
          </cell>
        </row>
        <row r="3452">
          <cell r="A3452" t="str">
            <v>Luana do Carmo Ferreira</v>
          </cell>
          <cell r="B3452">
            <v>37011876</v>
          </cell>
          <cell r="C3452">
            <v>20046377</v>
          </cell>
          <cell r="D3452">
            <v>45005</v>
          </cell>
        </row>
        <row r="3453">
          <cell r="A3453" t="str">
            <v>Edimar Rodrigues Lopes</v>
          </cell>
          <cell r="B3453">
            <v>37011877</v>
          </cell>
          <cell r="C3453">
            <v>20046378</v>
          </cell>
          <cell r="D3453">
            <v>45005</v>
          </cell>
        </row>
        <row r="3454">
          <cell r="A3454" t="str">
            <v>Francielly Paulino Lima</v>
          </cell>
          <cell r="B3454">
            <v>37011880</v>
          </cell>
          <cell r="C3454">
            <v>20046381</v>
          </cell>
          <cell r="D3454">
            <v>45005</v>
          </cell>
        </row>
        <row r="3455">
          <cell r="A3455" t="str">
            <v>Eliana Cristina da Silva</v>
          </cell>
          <cell r="B3455">
            <v>37011881</v>
          </cell>
          <cell r="C3455">
            <v>20046382</v>
          </cell>
          <cell r="D3455">
            <v>45005</v>
          </cell>
        </row>
        <row r="3456">
          <cell r="A3456" t="str">
            <v>Celma de Lima dos Reis</v>
          </cell>
          <cell r="B3456">
            <v>37011889</v>
          </cell>
          <cell r="C3456">
            <v>20046390</v>
          </cell>
          <cell r="D3456">
            <v>45005</v>
          </cell>
        </row>
        <row r="3457">
          <cell r="A3457" t="str">
            <v>Gilmara Aparecida Prates</v>
          </cell>
          <cell r="B3457">
            <v>37011888</v>
          </cell>
          <cell r="C3457">
            <v>20046389</v>
          </cell>
          <cell r="D3457">
            <v>45005</v>
          </cell>
        </row>
        <row r="3458">
          <cell r="A3458" t="str">
            <v>Alice Oliveira da Conceicao Nascimento Duarte</v>
          </cell>
          <cell r="B3458">
            <v>37011892</v>
          </cell>
          <cell r="C3458">
            <v>20046461</v>
          </cell>
          <cell r="D3458">
            <v>45005</v>
          </cell>
        </row>
        <row r="3459">
          <cell r="A3459" t="str">
            <v>Cristiane Macedo da Silva</v>
          </cell>
          <cell r="B3459">
            <v>37011894</v>
          </cell>
          <cell r="C3459">
            <v>20046463</v>
          </cell>
          <cell r="D3459">
            <v>45005</v>
          </cell>
        </row>
        <row r="3460">
          <cell r="A3460" t="str">
            <v>Alan Rodrigo Lima</v>
          </cell>
          <cell r="B3460">
            <v>37011895</v>
          </cell>
          <cell r="C3460">
            <v>20046464</v>
          </cell>
          <cell r="D3460">
            <v>45005</v>
          </cell>
        </row>
        <row r="3461">
          <cell r="A3461" t="str">
            <v>Anderson Gregorio de Souza</v>
          </cell>
          <cell r="B3461">
            <v>37011905</v>
          </cell>
          <cell r="C3461">
            <v>20046489</v>
          </cell>
          <cell r="D3461">
            <v>45019</v>
          </cell>
        </row>
        <row r="3462">
          <cell r="A3462" t="str">
            <v>Jose Ferreira Cardoso Junior</v>
          </cell>
          <cell r="B3462">
            <v>37007512</v>
          </cell>
          <cell r="C3462">
            <v>20025607</v>
          </cell>
          <cell r="D3462">
            <v>44669</v>
          </cell>
        </row>
        <row r="3463">
          <cell r="A3463" t="str">
            <v>Alail Almeida dos Santos</v>
          </cell>
          <cell r="B3463">
            <v>37011911</v>
          </cell>
          <cell r="C3463">
            <v>20046716</v>
          </cell>
          <cell r="D3463">
            <v>45019</v>
          </cell>
        </row>
        <row r="3464">
          <cell r="A3464" t="str">
            <v>Sidnei de Souza Marcilio</v>
          </cell>
          <cell r="B3464">
            <v>37011914</v>
          </cell>
          <cell r="C3464">
            <v>20046719</v>
          </cell>
          <cell r="D3464">
            <v>45019</v>
          </cell>
        </row>
        <row r="3465">
          <cell r="A3465" t="str">
            <v>Walter Soares Sales</v>
          </cell>
          <cell r="B3465">
            <v>37011918</v>
          </cell>
          <cell r="C3465">
            <v>20046723</v>
          </cell>
          <cell r="D3465">
            <v>45019</v>
          </cell>
        </row>
        <row r="3466">
          <cell r="A3466" t="str">
            <v>Leticia Pecanha Lopes Mota</v>
          </cell>
          <cell r="B3466">
            <v>37011921</v>
          </cell>
          <cell r="C3466">
            <v>20046750</v>
          </cell>
          <cell r="D3466">
            <v>45019</v>
          </cell>
        </row>
        <row r="3467">
          <cell r="A3467" t="str">
            <v>Julio Cezar Neves Dias</v>
          </cell>
          <cell r="B3467">
            <v>37011934</v>
          </cell>
          <cell r="C3467">
            <v>20046763</v>
          </cell>
          <cell r="D3467">
            <v>45019</v>
          </cell>
        </row>
        <row r="3468">
          <cell r="A3468" t="str">
            <v>Gleison Rodrigues Martinez</v>
          </cell>
          <cell r="B3468">
            <v>37011926</v>
          </cell>
          <cell r="C3468">
            <v>20046755</v>
          </cell>
          <cell r="D3468">
            <v>45019</v>
          </cell>
        </row>
        <row r="3469">
          <cell r="A3469" t="str">
            <v>Kleuter Gomes Fontinelle</v>
          </cell>
          <cell r="B3469">
            <v>37011956</v>
          </cell>
          <cell r="C3469">
            <v>20046856</v>
          </cell>
          <cell r="D3469">
            <v>45019</v>
          </cell>
        </row>
        <row r="3470">
          <cell r="A3470" t="str">
            <v>Marcos Guimaraes</v>
          </cell>
          <cell r="B3470">
            <v>37011957</v>
          </cell>
          <cell r="C3470">
            <v>20046857</v>
          </cell>
          <cell r="D3470">
            <v>45019</v>
          </cell>
        </row>
        <row r="3471">
          <cell r="A3471" t="str">
            <v>Celso Martins de Souza</v>
          </cell>
          <cell r="B3471">
            <v>37011968</v>
          </cell>
          <cell r="C3471">
            <v>20046986</v>
          </cell>
          <cell r="D3471">
            <v>45019</v>
          </cell>
        </row>
        <row r="3472">
          <cell r="A3472" t="str">
            <v>Bruno de Souza Coelho</v>
          </cell>
          <cell r="B3472">
            <v>37011992</v>
          </cell>
          <cell r="C3472">
            <v>20047066</v>
          </cell>
          <cell r="D3472">
            <v>45019</v>
          </cell>
        </row>
        <row r="3473">
          <cell r="A3473" t="str">
            <v>Vagner Santos Alcantara</v>
          </cell>
          <cell r="B3473">
            <v>37012008</v>
          </cell>
          <cell r="C3473">
            <v>20047085</v>
          </cell>
          <cell r="D3473">
            <v>45019</v>
          </cell>
        </row>
        <row r="3474">
          <cell r="A3474" t="str">
            <v>Leonardo Henrique Alves</v>
          </cell>
          <cell r="B3474">
            <v>37007719</v>
          </cell>
          <cell r="C3474">
            <v>20025799</v>
          </cell>
          <cell r="D3474">
            <v>44690</v>
          </cell>
        </row>
        <row r="3475">
          <cell r="A3475" t="str">
            <v>Patricia Lourenco de Lima</v>
          </cell>
          <cell r="B3475">
            <v>37012026</v>
          </cell>
          <cell r="C3475">
            <v>20047194</v>
          </cell>
          <cell r="D3475">
            <v>45027</v>
          </cell>
        </row>
        <row r="3476">
          <cell r="A3476" t="str">
            <v>Edvan Da Silva Estevo</v>
          </cell>
          <cell r="B3476">
            <v>37007243</v>
          </cell>
          <cell r="C3476">
            <v>20023620</v>
          </cell>
          <cell r="D3476">
            <v>44627</v>
          </cell>
        </row>
        <row r="3477">
          <cell r="A3477" t="str">
            <v>Reginado Alves de Souza</v>
          </cell>
          <cell r="B3477">
            <v>37012036</v>
          </cell>
          <cell r="C3477">
            <v>20047204</v>
          </cell>
          <cell r="D3477">
            <v>45027</v>
          </cell>
        </row>
        <row r="3478">
          <cell r="A3478" t="str">
            <v>Edinelio Sales De Castro</v>
          </cell>
          <cell r="B3478">
            <v>37001741</v>
          </cell>
          <cell r="C3478">
            <v>15007595</v>
          </cell>
          <cell r="D3478">
            <v>42614</v>
          </cell>
        </row>
        <row r="3479">
          <cell r="A3479" t="str">
            <v>Manoel Luis Rodrigues De Matos</v>
          </cell>
          <cell r="B3479">
            <v>37001778</v>
          </cell>
          <cell r="C3479">
            <v>15007612</v>
          </cell>
          <cell r="D3479">
            <v>42625</v>
          </cell>
        </row>
        <row r="3480">
          <cell r="A3480" t="str">
            <v>Seichas Narcizo Oliveira</v>
          </cell>
          <cell r="B3480">
            <v>37012027</v>
          </cell>
          <cell r="C3480">
            <v>20047195</v>
          </cell>
          <cell r="D3480">
            <v>45027</v>
          </cell>
        </row>
        <row r="3481">
          <cell r="A3481" t="str">
            <v>Felipe Dornelles Rodrigues</v>
          </cell>
          <cell r="B3481">
            <v>37012034</v>
          </cell>
          <cell r="C3481">
            <v>20047202</v>
          </cell>
          <cell r="D3481">
            <v>45027</v>
          </cell>
        </row>
        <row r="3482">
          <cell r="A3482" t="str">
            <v>Elisabete Souza Rodrigues</v>
          </cell>
          <cell r="B3482">
            <v>37001723</v>
          </cell>
          <cell r="C3482">
            <v>15007563</v>
          </cell>
          <cell r="D3482">
            <v>42614</v>
          </cell>
        </row>
        <row r="3483">
          <cell r="A3483" t="str">
            <v>Jose Carlos Da Paixao Carvalho Junior</v>
          </cell>
          <cell r="B3483">
            <v>37001783</v>
          </cell>
          <cell r="C3483">
            <v>15007618</v>
          </cell>
          <cell r="D3483">
            <v>42625</v>
          </cell>
        </row>
        <row r="3484">
          <cell r="A3484" t="str">
            <v>Marcos De Jesus Santos</v>
          </cell>
          <cell r="B3484">
            <v>37002398</v>
          </cell>
          <cell r="C3484">
            <v>15008173</v>
          </cell>
          <cell r="D3484">
            <v>43318</v>
          </cell>
        </row>
        <row r="3485">
          <cell r="A3485" t="str">
            <v>Charles Santos Pinheiro</v>
          </cell>
          <cell r="B3485">
            <v>37001730</v>
          </cell>
          <cell r="C3485">
            <v>15007574</v>
          </cell>
          <cell r="D3485">
            <v>42614</v>
          </cell>
        </row>
        <row r="3486">
          <cell r="A3486" t="str">
            <v>Alef Ricardo Silva</v>
          </cell>
          <cell r="B3486">
            <v>37005001</v>
          </cell>
          <cell r="C3486">
            <v>20010504</v>
          </cell>
          <cell r="D3486">
            <v>44145</v>
          </cell>
        </row>
        <row r="3487">
          <cell r="A3487" t="str">
            <v>Henrique Oliveira Pereira</v>
          </cell>
          <cell r="B3487">
            <v>37012042</v>
          </cell>
          <cell r="C3487">
            <v>20047553</v>
          </cell>
          <cell r="D3487">
            <v>45027</v>
          </cell>
        </row>
        <row r="3488">
          <cell r="A3488" t="str">
            <v>Emerson Moura Teixeira</v>
          </cell>
          <cell r="B3488">
            <v>37012039</v>
          </cell>
          <cell r="C3488">
            <v>20047548</v>
          </cell>
          <cell r="D3488">
            <v>45027</v>
          </cell>
        </row>
        <row r="3489">
          <cell r="A3489" t="str">
            <v>Marcos Freitas de Jesus</v>
          </cell>
          <cell r="B3489">
            <v>37012043</v>
          </cell>
          <cell r="C3489">
            <v>20047554</v>
          </cell>
          <cell r="D3489">
            <v>45027</v>
          </cell>
        </row>
        <row r="3490">
          <cell r="A3490" t="str">
            <v>Mainy De Sousa Senra</v>
          </cell>
          <cell r="B3490">
            <v>37012052</v>
          </cell>
          <cell r="C3490">
            <v>20047563</v>
          </cell>
          <cell r="D3490">
            <v>45027</v>
          </cell>
        </row>
        <row r="3491">
          <cell r="A3491" t="str">
            <v>Lucas Velozo dos Santos</v>
          </cell>
          <cell r="B3491">
            <v>37012053</v>
          </cell>
          <cell r="C3491">
            <v>20047564</v>
          </cell>
          <cell r="D3491">
            <v>45027</v>
          </cell>
        </row>
        <row r="3492">
          <cell r="A3492" t="str">
            <v>Jean Rodrigo Jacob da Silva</v>
          </cell>
          <cell r="B3492">
            <v>37012055</v>
          </cell>
          <cell r="C3492">
            <v>20047566</v>
          </cell>
          <cell r="D3492">
            <v>45027</v>
          </cell>
        </row>
        <row r="3493">
          <cell r="A3493" t="str">
            <v>Michelle Brandao Damacena</v>
          </cell>
          <cell r="B3493">
            <v>37012059</v>
          </cell>
          <cell r="C3493">
            <v>20047570</v>
          </cell>
          <cell r="D3493">
            <v>45027</v>
          </cell>
        </row>
        <row r="3494">
          <cell r="A3494" t="str">
            <v>Jeferson da Silva Alves</v>
          </cell>
          <cell r="B3494">
            <v>37012063</v>
          </cell>
          <cell r="C3494">
            <v>20047576</v>
          </cell>
          <cell r="D3494">
            <v>45027</v>
          </cell>
        </row>
        <row r="3495">
          <cell r="A3495" t="str">
            <v>Jocemar Barbosa da Paixao</v>
          </cell>
          <cell r="B3495">
            <v>37012060</v>
          </cell>
          <cell r="C3495">
            <v>20047572</v>
          </cell>
          <cell r="D3495">
            <v>45027</v>
          </cell>
        </row>
        <row r="3496">
          <cell r="A3496" t="str">
            <v>Sidnelson Alves Miguel</v>
          </cell>
          <cell r="B3496">
            <v>37012066</v>
          </cell>
          <cell r="C3496">
            <v>20047580</v>
          </cell>
          <cell r="D3496">
            <v>45027</v>
          </cell>
        </row>
        <row r="3497">
          <cell r="A3497" t="str">
            <v>Tiago Francisco Alves da Silva</v>
          </cell>
          <cell r="B3497">
            <v>37012072</v>
          </cell>
          <cell r="C3497">
            <v>20047586</v>
          </cell>
          <cell r="D3497">
            <v>45027</v>
          </cell>
        </row>
        <row r="3498">
          <cell r="A3498" t="str">
            <v>Priscila Aparecida Fernandes da Silva</v>
          </cell>
          <cell r="B3498">
            <v>37012092</v>
          </cell>
          <cell r="C3498">
            <v>20047784</v>
          </cell>
          <cell r="D3498">
            <v>45034</v>
          </cell>
        </row>
        <row r="3499">
          <cell r="A3499" t="str">
            <v>Jose Linaldo Soares da Silva</v>
          </cell>
          <cell r="B3499">
            <v>37012111</v>
          </cell>
          <cell r="C3499">
            <v>20048279</v>
          </cell>
          <cell r="D3499">
            <v>45034</v>
          </cell>
        </row>
        <row r="3500">
          <cell r="A3500" t="str">
            <v>Jonathan Willian Pereira Cruz</v>
          </cell>
          <cell r="B3500">
            <v>37012114</v>
          </cell>
          <cell r="C3500">
            <v>20048282</v>
          </cell>
          <cell r="D3500">
            <v>45034</v>
          </cell>
        </row>
        <row r="3501">
          <cell r="A3501" t="str">
            <v>Fagner Braga Dos Santos</v>
          </cell>
          <cell r="B3501">
            <v>37002400</v>
          </cell>
          <cell r="C3501">
            <v>15008179</v>
          </cell>
          <cell r="D3501">
            <v>43318</v>
          </cell>
        </row>
        <row r="3502">
          <cell r="A3502" t="str">
            <v>Eduardo Andrade Monteiro Garcia</v>
          </cell>
          <cell r="B3502">
            <v>37012161</v>
          </cell>
          <cell r="C3502">
            <v>20048389</v>
          </cell>
          <cell r="D3502">
            <v>45034</v>
          </cell>
        </row>
        <row r="3503">
          <cell r="A3503" t="str">
            <v>Wellington Antonio Vicente de Amorim</v>
          </cell>
          <cell r="B3503">
            <v>37012186</v>
          </cell>
          <cell r="C3503">
            <v>20048535</v>
          </cell>
          <cell r="D3503">
            <v>45034</v>
          </cell>
        </row>
        <row r="3504">
          <cell r="A3504" t="str">
            <v>Danilo Santos Ribeiro</v>
          </cell>
          <cell r="B3504">
            <v>37012183</v>
          </cell>
          <cell r="C3504">
            <v>20048532</v>
          </cell>
          <cell r="D3504">
            <v>45048</v>
          </cell>
        </row>
        <row r="3505">
          <cell r="A3505" t="str">
            <v>Valter Melo Carneiro Junior</v>
          </cell>
          <cell r="B3505">
            <v>37001737</v>
          </cell>
          <cell r="C3505">
            <v>15007582</v>
          </cell>
          <cell r="D3505">
            <v>42614</v>
          </cell>
        </row>
        <row r="3506">
          <cell r="A3506" t="str">
            <v>Wellington De Souza Santos</v>
          </cell>
          <cell r="B3506">
            <v>37002031</v>
          </cell>
          <cell r="C3506">
            <v>15007952</v>
          </cell>
          <cell r="D3506">
            <v>43045</v>
          </cell>
        </row>
        <row r="3507">
          <cell r="A3507" t="str">
            <v>Everton Nunes</v>
          </cell>
          <cell r="B3507">
            <v>37007195</v>
          </cell>
          <cell r="C3507">
            <v>20022998</v>
          </cell>
          <cell r="D3507">
            <v>44609</v>
          </cell>
        </row>
        <row r="3508">
          <cell r="A3508" t="str">
            <v>Alexandre Alves De Carvalho</v>
          </cell>
          <cell r="B3508">
            <v>37007236</v>
          </cell>
          <cell r="C3508">
            <v>20023612</v>
          </cell>
          <cell r="D3508">
            <v>44627</v>
          </cell>
        </row>
        <row r="3509">
          <cell r="A3509" t="str">
            <v>Fabio dos Santos Silva</v>
          </cell>
          <cell r="B3509">
            <v>37012199</v>
          </cell>
          <cell r="C3509">
            <v>20048550</v>
          </cell>
          <cell r="D3509">
            <v>45034</v>
          </cell>
        </row>
        <row r="3510">
          <cell r="A3510" t="str">
            <v>Joao Domingos Nascimento Prates</v>
          </cell>
          <cell r="B3510">
            <v>37012211</v>
          </cell>
          <cell r="C3510">
            <v>20048562</v>
          </cell>
          <cell r="D3510">
            <v>45034</v>
          </cell>
        </row>
        <row r="3511">
          <cell r="A3511" t="str">
            <v>Nilson Matias Freitas</v>
          </cell>
          <cell r="B3511">
            <v>37012192</v>
          </cell>
          <cell r="C3511">
            <v>20048543</v>
          </cell>
          <cell r="D3511">
            <v>45034</v>
          </cell>
        </row>
        <row r="3512">
          <cell r="A3512" t="str">
            <v>Clodoaldo Aparecido Prado</v>
          </cell>
          <cell r="B3512">
            <v>37012205</v>
          </cell>
          <cell r="C3512">
            <v>20048556</v>
          </cell>
          <cell r="D3512">
            <v>45034</v>
          </cell>
        </row>
        <row r="3513">
          <cell r="A3513" t="str">
            <v>Luana Souza Dos Santos Viana</v>
          </cell>
          <cell r="B3513">
            <v>37012254</v>
          </cell>
          <cell r="C3513">
            <v>20049152</v>
          </cell>
          <cell r="D3513">
            <v>45048</v>
          </cell>
        </row>
        <row r="3514">
          <cell r="A3514" t="str">
            <v>Adair da Silva Lima</v>
          </cell>
          <cell r="B3514">
            <v>37012271</v>
          </cell>
          <cell r="C3514">
            <v>20049217</v>
          </cell>
          <cell r="D3514">
            <v>45048</v>
          </cell>
        </row>
        <row r="3515">
          <cell r="A3515" t="str">
            <v>Rodney Assis dos Santos</v>
          </cell>
          <cell r="B3515">
            <v>37012316</v>
          </cell>
          <cell r="C3515">
            <v>20049274</v>
          </cell>
          <cell r="D3515">
            <v>45048</v>
          </cell>
        </row>
        <row r="3516">
          <cell r="A3516" t="str">
            <v>Gecivania de Brito Medeiros</v>
          </cell>
          <cell r="B3516">
            <v>37012331</v>
          </cell>
          <cell r="C3516">
            <v>20049607</v>
          </cell>
          <cell r="D3516">
            <v>45048</v>
          </cell>
        </row>
        <row r="3517">
          <cell r="A3517" t="str">
            <v>Maria das Dores Lima Gomes</v>
          </cell>
          <cell r="B3517">
            <v>37012332</v>
          </cell>
          <cell r="C3517">
            <v>20049608</v>
          </cell>
          <cell r="D3517">
            <v>45048</v>
          </cell>
        </row>
        <row r="3518">
          <cell r="A3518" t="str">
            <v>Rosangela de Souza</v>
          </cell>
          <cell r="B3518">
            <v>37012351</v>
          </cell>
          <cell r="C3518">
            <v>20049627</v>
          </cell>
          <cell r="D3518">
            <v>45048</v>
          </cell>
        </row>
        <row r="3519">
          <cell r="A3519" t="str">
            <v>Adriana Jahnny Mauricio</v>
          </cell>
          <cell r="B3519">
            <v>37012354</v>
          </cell>
          <cell r="C3519">
            <v>20049630</v>
          </cell>
          <cell r="D3519">
            <v>45048</v>
          </cell>
        </row>
        <row r="3520">
          <cell r="A3520" t="str">
            <v>Maria Eliege dos Santos</v>
          </cell>
          <cell r="B3520">
            <v>37012355</v>
          </cell>
          <cell r="C3520">
            <v>20049631</v>
          </cell>
          <cell r="D3520">
            <v>45048</v>
          </cell>
        </row>
        <row r="3521">
          <cell r="A3521" t="str">
            <v>Lidiane Campos Leal</v>
          </cell>
          <cell r="B3521">
            <v>37012337</v>
          </cell>
          <cell r="C3521">
            <v>20049613</v>
          </cell>
          <cell r="D3521">
            <v>45048</v>
          </cell>
        </row>
        <row r="3522">
          <cell r="A3522" t="str">
            <v>Ariadna Soares dos Santos</v>
          </cell>
          <cell r="B3522">
            <v>37012340</v>
          </cell>
          <cell r="C3522">
            <v>20049616</v>
          </cell>
          <cell r="D3522">
            <v>45048</v>
          </cell>
        </row>
        <row r="3523">
          <cell r="A3523" t="str">
            <v>Adrielle Gomes Divino</v>
          </cell>
          <cell r="B3523">
            <v>37012342</v>
          </cell>
          <cell r="C3523">
            <v>20049618</v>
          </cell>
          <cell r="D3523">
            <v>45048</v>
          </cell>
        </row>
        <row r="3524">
          <cell r="A3524" t="str">
            <v>Cacilda Maria Gomes</v>
          </cell>
          <cell r="B3524">
            <v>37012349</v>
          </cell>
          <cell r="C3524">
            <v>20049625</v>
          </cell>
          <cell r="D3524">
            <v>45048</v>
          </cell>
        </row>
        <row r="3525">
          <cell r="A3525" t="str">
            <v>Viviane Gomes Azevedo</v>
          </cell>
          <cell r="B3525">
            <v>37012401</v>
          </cell>
          <cell r="C3525">
            <v>20049701</v>
          </cell>
          <cell r="D3525">
            <v>45048</v>
          </cell>
        </row>
        <row r="3526">
          <cell r="A3526" t="str">
            <v>Gislane Cassandra Melo dos Santos</v>
          </cell>
          <cell r="B3526">
            <v>37012405</v>
          </cell>
          <cell r="C3526">
            <v>20049705</v>
          </cell>
          <cell r="D3526">
            <v>45048</v>
          </cell>
        </row>
        <row r="3527">
          <cell r="A3527" t="str">
            <v>Jeani Nascimento Cossi</v>
          </cell>
          <cell r="B3527">
            <v>37012423</v>
          </cell>
          <cell r="C3527">
            <v>20049723</v>
          </cell>
          <cell r="D3527">
            <v>45055</v>
          </cell>
        </row>
        <row r="3528">
          <cell r="A3528" t="str">
            <v>Suelen Martins dos Santos Sousa</v>
          </cell>
          <cell r="B3528">
            <v>37012433</v>
          </cell>
          <cell r="C3528">
            <v>20049733</v>
          </cell>
          <cell r="D3528">
            <v>45055</v>
          </cell>
        </row>
        <row r="3529">
          <cell r="A3529" t="str">
            <v>Danilo Pereira de Araujo</v>
          </cell>
          <cell r="B3529">
            <v>37012456</v>
          </cell>
          <cell r="C3529">
            <v>20049852</v>
          </cell>
          <cell r="D3529">
            <v>45055</v>
          </cell>
        </row>
        <row r="3530">
          <cell r="A3530" t="str">
            <v>Felipe Matheus Souza Pereira</v>
          </cell>
          <cell r="B3530">
            <v>37012457</v>
          </cell>
          <cell r="C3530">
            <v>20049853</v>
          </cell>
          <cell r="D3530">
            <v>45055</v>
          </cell>
        </row>
        <row r="3531">
          <cell r="A3531" t="str">
            <v>Marisbene Prates dos Santos</v>
          </cell>
          <cell r="B3531">
            <v>37012490</v>
          </cell>
          <cell r="C3531">
            <v>20050187</v>
          </cell>
          <cell r="D3531">
            <v>45062</v>
          </cell>
        </row>
        <row r="3532">
          <cell r="A3532" t="str">
            <v>Mariany Pereira de Menezes</v>
          </cell>
          <cell r="B3532">
            <v>37012494</v>
          </cell>
          <cell r="C3532">
            <v>20050205</v>
          </cell>
          <cell r="D3532">
            <v>45062</v>
          </cell>
        </row>
        <row r="3533">
          <cell r="A3533" t="str">
            <v>Marlon Michel Antonio Moreira Neto</v>
          </cell>
          <cell r="B3533">
            <v>37012500</v>
          </cell>
          <cell r="C3533">
            <v>20050212</v>
          </cell>
          <cell r="D3533">
            <v>45062</v>
          </cell>
        </row>
        <row r="3534">
          <cell r="A3534" t="str">
            <v>Jose Roberto Brito</v>
          </cell>
          <cell r="B3534">
            <v>37012503</v>
          </cell>
          <cell r="C3534">
            <v>20050215</v>
          </cell>
          <cell r="D3534">
            <v>45062</v>
          </cell>
        </row>
        <row r="3535">
          <cell r="A3535" t="str">
            <v>Thais Martins do Prado</v>
          </cell>
          <cell r="B3535">
            <v>37012513</v>
          </cell>
          <cell r="C3535">
            <v>20050225</v>
          </cell>
          <cell r="D3535">
            <v>45062</v>
          </cell>
        </row>
        <row r="3536">
          <cell r="A3536" t="str">
            <v>Fernando Ferreira Bastos</v>
          </cell>
          <cell r="B3536">
            <v>37009492</v>
          </cell>
          <cell r="C3536">
            <v>20034653</v>
          </cell>
          <cell r="D3536">
            <v>44837</v>
          </cell>
        </row>
        <row r="3537">
          <cell r="A3537" t="str">
            <v>Jeferson Luiz Amaro de Mattos</v>
          </cell>
          <cell r="B3537">
            <v>37012532</v>
          </cell>
          <cell r="C3537">
            <v>20050327</v>
          </cell>
          <cell r="D3537">
            <v>45069</v>
          </cell>
        </row>
        <row r="3538">
          <cell r="A3538" t="str">
            <v>Larissa da Silva Nogueira</v>
          </cell>
          <cell r="B3538">
            <v>37012580</v>
          </cell>
          <cell r="C3538">
            <v>20050812</v>
          </cell>
          <cell r="D3538">
            <v>45069</v>
          </cell>
        </row>
        <row r="3539">
          <cell r="A3539" t="str">
            <v>LUIZ OTAVIO SOUZA NASCIMENTO</v>
          </cell>
          <cell r="B3539">
            <v>37012605</v>
          </cell>
          <cell r="C3539">
            <v>20051007</v>
          </cell>
          <cell r="D3539">
            <v>45069</v>
          </cell>
        </row>
        <row r="3540">
          <cell r="A3540" t="str">
            <v>LUIZ CARLOS ABREU BISPO</v>
          </cell>
          <cell r="B3540">
            <v>37012596</v>
          </cell>
          <cell r="C3540">
            <v>20050998</v>
          </cell>
          <cell r="D3540">
            <v>45069</v>
          </cell>
        </row>
        <row r="3541">
          <cell r="A3541" t="str">
            <v>TELDOMIRO LIMA FERREIRA</v>
          </cell>
          <cell r="B3541">
            <v>37012602</v>
          </cell>
          <cell r="C3541">
            <v>20051004</v>
          </cell>
          <cell r="D3541">
            <v>45069</v>
          </cell>
        </row>
        <row r="3542">
          <cell r="A3542" t="str">
            <v>EDUARDO DE OLIVEIRA LIMA</v>
          </cell>
          <cell r="B3542">
            <v>37012614</v>
          </cell>
          <cell r="C3542">
            <v>20051016</v>
          </cell>
          <cell r="D3542">
            <v>45069</v>
          </cell>
        </row>
        <row r="3543">
          <cell r="A3543" t="str">
            <v>Vanessa da Silva Silva</v>
          </cell>
          <cell r="B3543">
            <v>37012672</v>
          </cell>
          <cell r="C3543">
            <v>20051252</v>
          </cell>
          <cell r="D3543">
            <v>45083</v>
          </cell>
        </row>
        <row r="3544">
          <cell r="A3544" t="str">
            <v>Michelle Nascimento de Carvalho Montesso</v>
          </cell>
          <cell r="B3544">
            <v>37012673</v>
          </cell>
          <cell r="C3544">
            <v>20051253</v>
          </cell>
          <cell r="D3544">
            <v>45083</v>
          </cell>
        </row>
        <row r="3545">
          <cell r="A3545" t="str">
            <v>Sandra Querino Monteiro</v>
          </cell>
          <cell r="B3545">
            <v>37012681</v>
          </cell>
          <cell r="C3545">
            <v>20051261</v>
          </cell>
          <cell r="D3545">
            <v>45083</v>
          </cell>
        </row>
        <row r="3546">
          <cell r="A3546" t="str">
            <v>Crislan Aristoteles de Oliveira</v>
          </cell>
          <cell r="B3546">
            <v>37013008</v>
          </cell>
          <cell r="C3546">
            <v>20051263</v>
          </cell>
          <cell r="D3546">
            <v>45083</v>
          </cell>
        </row>
        <row r="3547">
          <cell r="A3547" t="str">
            <v>Jeferson Junior Lara Irala</v>
          </cell>
          <cell r="B3547">
            <v>37012687</v>
          </cell>
          <cell r="C3547">
            <v>20051267</v>
          </cell>
          <cell r="D3547">
            <v>45083</v>
          </cell>
        </row>
        <row r="3548">
          <cell r="A3548" t="str">
            <v>Rosineia Linda Fernandes Morel</v>
          </cell>
          <cell r="B3548">
            <v>37012711</v>
          </cell>
          <cell r="C3548">
            <v>20051295</v>
          </cell>
          <cell r="D3548">
            <v>45083</v>
          </cell>
        </row>
        <row r="3549">
          <cell r="A3549" t="str">
            <v>Valdirene Vieira da Silva</v>
          </cell>
          <cell r="B3549">
            <v>37012718</v>
          </cell>
          <cell r="C3549">
            <v>20051302</v>
          </cell>
          <cell r="D3549">
            <v>45083</v>
          </cell>
        </row>
        <row r="3550">
          <cell r="A3550" t="str">
            <v>Vanessa Aparecida da Silva Francisco</v>
          </cell>
          <cell r="B3550">
            <v>37012722</v>
          </cell>
          <cell r="C3550">
            <v>20051306</v>
          </cell>
          <cell r="D3550">
            <v>45083</v>
          </cell>
        </row>
        <row r="3551">
          <cell r="A3551" t="str">
            <v>Jefferson Esquizato De Souza</v>
          </cell>
          <cell r="B3551">
            <v>37007642</v>
          </cell>
          <cell r="C3551">
            <v>20025672</v>
          </cell>
          <cell r="D3551">
            <v>44683</v>
          </cell>
        </row>
        <row r="3552">
          <cell r="A3552" t="str">
            <v>Jandira Alves de Oliveira</v>
          </cell>
          <cell r="B3552">
            <v>37012815</v>
          </cell>
          <cell r="C3552">
            <v>20051745</v>
          </cell>
          <cell r="D3552">
            <v>45083</v>
          </cell>
        </row>
        <row r="3553">
          <cell r="A3553" t="str">
            <v>Carlos Andre Marques De Menezes</v>
          </cell>
          <cell r="B3553">
            <v>37009562</v>
          </cell>
          <cell r="C3553">
            <v>20035378</v>
          </cell>
          <cell r="D3553">
            <v>44837</v>
          </cell>
        </row>
        <row r="3554">
          <cell r="A3554" t="str">
            <v>Thiago Silva Da Boa Morte</v>
          </cell>
          <cell r="B3554">
            <v>37009598</v>
          </cell>
          <cell r="C3554">
            <v>20035418</v>
          </cell>
          <cell r="D3554">
            <v>44837</v>
          </cell>
        </row>
        <row r="3555">
          <cell r="A3555" t="str">
            <v>Bruno Cezar Bacin</v>
          </cell>
          <cell r="B3555">
            <v>37012838</v>
          </cell>
          <cell r="C3555">
            <v>20051793</v>
          </cell>
          <cell r="D3555">
            <v>45083</v>
          </cell>
        </row>
        <row r="3556">
          <cell r="A3556" t="str">
            <v>Ivanildo Sebastiao Firmino da Silva</v>
          </cell>
          <cell r="B3556">
            <v>37012843</v>
          </cell>
          <cell r="C3556">
            <v>20051798</v>
          </cell>
          <cell r="D3556">
            <v>45083</v>
          </cell>
        </row>
        <row r="3557">
          <cell r="A3557" t="str">
            <v>Esmeralda Soares Pimenta Cavalcante</v>
          </cell>
          <cell r="B3557">
            <v>37012829</v>
          </cell>
          <cell r="C3557">
            <v>20051784</v>
          </cell>
          <cell r="D3557">
            <v>45083</v>
          </cell>
        </row>
        <row r="3558">
          <cell r="A3558" t="str">
            <v>Roseli Rumanki de Almeida</v>
          </cell>
          <cell r="B3558">
            <v>37012851</v>
          </cell>
          <cell r="C3558">
            <v>20051806</v>
          </cell>
          <cell r="D3558">
            <v>45083</v>
          </cell>
        </row>
        <row r="3559">
          <cell r="A3559" t="str">
            <v>Luiz Fellipe Silva Alves</v>
          </cell>
          <cell r="B3559">
            <v>37012863</v>
          </cell>
          <cell r="C3559">
            <v>20051911</v>
          </cell>
          <cell r="D3559">
            <v>45083</v>
          </cell>
        </row>
        <row r="3560">
          <cell r="A3560" t="str">
            <v>Amanda Cristina Aparecida Cesario</v>
          </cell>
          <cell r="B3560">
            <v>37012924</v>
          </cell>
          <cell r="C3560">
            <v>20052012</v>
          </cell>
          <cell r="D3560">
            <v>45090</v>
          </cell>
        </row>
        <row r="3561">
          <cell r="A3561" t="str">
            <v>Elaine Cristina de Andrade Nascimento</v>
          </cell>
          <cell r="B3561">
            <v>37012966</v>
          </cell>
          <cell r="C3561">
            <v>20052101</v>
          </cell>
          <cell r="D3561">
            <v>45090</v>
          </cell>
        </row>
        <row r="3562">
          <cell r="A3562" t="str">
            <v>RAFAEL LIMA SOARES</v>
          </cell>
          <cell r="B3562">
            <v>37012972</v>
          </cell>
          <cell r="C3562">
            <v>20052157</v>
          </cell>
          <cell r="D3562">
            <v>45090</v>
          </cell>
        </row>
        <row r="3563">
          <cell r="A3563" t="str">
            <v>Eliane Alves Carvalho</v>
          </cell>
          <cell r="B3563">
            <v>37012970</v>
          </cell>
          <cell r="C3563">
            <v>20052155</v>
          </cell>
          <cell r="D3563">
            <v>45090</v>
          </cell>
        </row>
        <row r="3564">
          <cell r="A3564" t="str">
            <v>Gilberto Goncalves</v>
          </cell>
          <cell r="B3564">
            <v>37012974</v>
          </cell>
          <cell r="C3564">
            <v>20052159</v>
          </cell>
          <cell r="D3564">
            <v>45090</v>
          </cell>
        </row>
        <row r="3565">
          <cell r="A3565" t="str">
            <v>Sonia Ferreira Vida</v>
          </cell>
          <cell r="B3565">
            <v>37012984</v>
          </cell>
          <cell r="C3565">
            <v>20052187</v>
          </cell>
          <cell r="D3565">
            <v>45083</v>
          </cell>
        </row>
        <row r="3566">
          <cell r="A3566" t="str">
            <v>Roberta Luiza Saldanha Pinto</v>
          </cell>
          <cell r="B3566">
            <v>37012985</v>
          </cell>
          <cell r="C3566">
            <v>20052191</v>
          </cell>
          <cell r="D3566">
            <v>45083</v>
          </cell>
        </row>
        <row r="3567">
          <cell r="A3567" t="str">
            <v>Guimel Felipe Rocha</v>
          </cell>
          <cell r="B3567">
            <v>37012986</v>
          </cell>
          <cell r="C3567">
            <v>20052197</v>
          </cell>
          <cell r="D3567">
            <v>45083</v>
          </cell>
        </row>
        <row r="3568">
          <cell r="A3568" t="str">
            <v>Vitor Manuel Dutra Estevao</v>
          </cell>
          <cell r="B3568">
            <v>37012987</v>
          </cell>
          <cell r="C3568">
            <v>20052203</v>
          </cell>
          <cell r="D3568">
            <v>45083</v>
          </cell>
        </row>
        <row r="3569">
          <cell r="A3569" t="str">
            <v>Aldemir Souza de Paula</v>
          </cell>
          <cell r="B3569">
            <v>37012990</v>
          </cell>
          <cell r="C3569">
            <v>20052218</v>
          </cell>
          <cell r="D3569">
            <v>45083</v>
          </cell>
        </row>
        <row r="3570">
          <cell r="A3570" t="str">
            <v>Elizeu Martins Mauss</v>
          </cell>
          <cell r="B3570">
            <v>37012992</v>
          </cell>
          <cell r="C3570">
            <v>20052227</v>
          </cell>
          <cell r="D3570">
            <v>45083</v>
          </cell>
        </row>
        <row r="3571">
          <cell r="A3571" t="str">
            <v>Higor Alves dos Santos</v>
          </cell>
          <cell r="B3571">
            <v>37012995</v>
          </cell>
          <cell r="C3571">
            <v>20052238</v>
          </cell>
          <cell r="D3571">
            <v>45083</v>
          </cell>
        </row>
        <row r="3572">
          <cell r="A3572" t="str">
            <v>Homero Leite de Amorim</v>
          </cell>
          <cell r="B3572">
            <v>37012996</v>
          </cell>
          <cell r="C3572">
            <v>20052244</v>
          </cell>
          <cell r="D3572">
            <v>45083</v>
          </cell>
        </row>
        <row r="3573">
          <cell r="A3573" t="str">
            <v>Jose Silva do Nascimento</v>
          </cell>
          <cell r="B3573">
            <v>37012998</v>
          </cell>
          <cell r="C3573">
            <v>20052252</v>
          </cell>
          <cell r="D3573">
            <v>45083</v>
          </cell>
        </row>
        <row r="3574">
          <cell r="A3574" t="str">
            <v>Milton Soares de Oliveira</v>
          </cell>
          <cell r="B3574">
            <v>37013003</v>
          </cell>
          <cell r="C3574">
            <v>20052272</v>
          </cell>
          <cell r="D3574">
            <v>45083</v>
          </cell>
        </row>
        <row r="3575">
          <cell r="A3575" t="str">
            <v>Rubens Da Silva Costa</v>
          </cell>
          <cell r="B3575">
            <v>37013010</v>
          </cell>
          <cell r="C3575">
            <v>20052413</v>
          </cell>
          <cell r="D3575">
            <v>45083</v>
          </cell>
        </row>
        <row r="3576">
          <cell r="A3576" t="str">
            <v>Marlon Douglas Martins Rodrigues</v>
          </cell>
          <cell r="B3576">
            <v>37013017</v>
          </cell>
          <cell r="C3576">
            <v>20052311</v>
          </cell>
          <cell r="D3576">
            <v>45097</v>
          </cell>
        </row>
        <row r="3577">
          <cell r="A3577" t="str">
            <v>Lucas Mundim Nogueira</v>
          </cell>
          <cell r="B3577">
            <v>37013009</v>
          </cell>
          <cell r="C3577">
            <v>20052409</v>
          </cell>
          <cell r="D3577">
            <v>45083</v>
          </cell>
        </row>
        <row r="3578">
          <cell r="A3578" t="str">
            <v>Clarice Nunes de Oliveira</v>
          </cell>
          <cell r="B3578">
            <v>37013011</v>
          </cell>
          <cell r="C3578">
            <v>20052420</v>
          </cell>
          <cell r="D3578">
            <v>45083</v>
          </cell>
        </row>
        <row r="3579">
          <cell r="A3579" t="str">
            <v>Amanda De Mello Barrera</v>
          </cell>
          <cell r="B3579">
            <v>37013013</v>
          </cell>
          <cell r="C3579">
            <v>20052434</v>
          </cell>
          <cell r="D3579">
            <v>45083</v>
          </cell>
        </row>
        <row r="3580">
          <cell r="A3580" t="str">
            <v>Joaquim Correa Da Costa</v>
          </cell>
          <cell r="B3580">
            <v>37002953</v>
          </cell>
          <cell r="C3580">
            <v>20009356</v>
          </cell>
          <cell r="D3580">
            <v>43514</v>
          </cell>
        </row>
        <row r="3581">
          <cell r="A3581" t="str">
            <v>Joao Carlos Da Silva</v>
          </cell>
          <cell r="B3581">
            <v>37003285</v>
          </cell>
          <cell r="C3581">
            <v>20009325</v>
          </cell>
          <cell r="D3581">
            <v>43633</v>
          </cell>
        </row>
        <row r="3582">
          <cell r="A3582" t="str">
            <v>Luiz Fernando Lopes Moreira</v>
          </cell>
          <cell r="B3582">
            <v>37007505</v>
          </cell>
          <cell r="C3582">
            <v>20026192</v>
          </cell>
          <cell r="D3582">
            <v>44669</v>
          </cell>
        </row>
        <row r="3583">
          <cell r="A3583" t="str">
            <v>Chrystine Oliveira Espindola</v>
          </cell>
          <cell r="B3583">
            <v>37009796</v>
          </cell>
          <cell r="C3583">
            <v>20037066</v>
          </cell>
          <cell r="D3583">
            <v>44872</v>
          </cell>
        </row>
        <row r="3584">
          <cell r="A3584" t="str">
            <v>Juliana Batista Inacio Nogueira De Andra</v>
          </cell>
          <cell r="B3584">
            <v>37008700</v>
          </cell>
          <cell r="C3584">
            <v>20028754</v>
          </cell>
          <cell r="D3584">
            <v>44760</v>
          </cell>
        </row>
        <row r="3585">
          <cell r="A3585" t="str">
            <v>Luiz Fernando da Silva Alves</v>
          </cell>
          <cell r="B3585">
            <v>37013134</v>
          </cell>
          <cell r="C3585">
            <v>20053230</v>
          </cell>
          <cell r="D3585">
            <v>45111</v>
          </cell>
        </row>
        <row r="3586">
          <cell r="A3586" t="str">
            <v>Eduardo Konstansky</v>
          </cell>
          <cell r="B3586">
            <v>37013167</v>
          </cell>
          <cell r="C3586">
            <v>20053294</v>
          </cell>
          <cell r="D3586">
            <v>45111</v>
          </cell>
        </row>
        <row r="3587">
          <cell r="A3587" t="str">
            <v>Cristiano dos Santos Silva</v>
          </cell>
          <cell r="B3587">
            <v>37013251</v>
          </cell>
          <cell r="C3587">
            <v>20053590</v>
          </cell>
          <cell r="D3587">
            <v>45111</v>
          </cell>
        </row>
        <row r="3588">
          <cell r="A3588" t="str">
            <v>Evair Freitas Xavier</v>
          </cell>
          <cell r="B3588">
            <v>37013291</v>
          </cell>
          <cell r="C3588">
            <v>20053653</v>
          </cell>
          <cell r="D3588">
            <v>45111</v>
          </cell>
        </row>
        <row r="3589">
          <cell r="A3589" t="str">
            <v>Elisvan De Sousa Morais</v>
          </cell>
          <cell r="B3589">
            <v>37013313</v>
          </cell>
          <cell r="C3589">
            <v>20053675</v>
          </cell>
          <cell r="D3589">
            <v>45118</v>
          </cell>
        </row>
        <row r="3590">
          <cell r="A3590" t="str">
            <v>Silvia Helena Batista Viana</v>
          </cell>
          <cell r="B3590">
            <v>37013315</v>
          </cell>
          <cell r="C3590">
            <v>20053677</v>
          </cell>
          <cell r="D3590">
            <v>45111</v>
          </cell>
        </row>
        <row r="3591">
          <cell r="A3591" t="str">
            <v>Irineu Fernando Rodrigues</v>
          </cell>
          <cell r="B3591">
            <v>37013316</v>
          </cell>
          <cell r="C3591">
            <v>20053678</v>
          </cell>
          <cell r="D3591">
            <v>45111</v>
          </cell>
        </row>
        <row r="3592">
          <cell r="A3592" t="str">
            <v>Gilmar Paia Bonifacio</v>
          </cell>
          <cell r="B3592">
            <v>37013321</v>
          </cell>
          <cell r="C3592">
            <v>20053683</v>
          </cell>
          <cell r="D3592">
            <v>45111</v>
          </cell>
        </row>
        <row r="3593">
          <cell r="A3593" t="str">
            <v>Douglas Nascimento Furtado</v>
          </cell>
          <cell r="B3593">
            <v>37013354</v>
          </cell>
          <cell r="C3593">
            <v>20054011</v>
          </cell>
          <cell r="D3593">
            <v>45118</v>
          </cell>
        </row>
        <row r="3594">
          <cell r="A3594" t="str">
            <v>Elizeu Moreira da Silva Junior</v>
          </cell>
          <cell r="B3594">
            <v>37013362</v>
          </cell>
          <cell r="C3594">
            <v>20054019</v>
          </cell>
          <cell r="D3594">
            <v>45118</v>
          </cell>
        </row>
        <row r="3595">
          <cell r="A3595" t="str">
            <v>Rogerio Cabrini</v>
          </cell>
          <cell r="B3595">
            <v>37013386</v>
          </cell>
          <cell r="C3595">
            <v>20054464</v>
          </cell>
          <cell r="D3595">
            <v>45118</v>
          </cell>
        </row>
        <row r="3596">
          <cell r="A3596" t="str">
            <v>Alexson Basso</v>
          </cell>
          <cell r="B3596">
            <v>37013388</v>
          </cell>
          <cell r="C3596">
            <v>20054466</v>
          </cell>
          <cell r="D3596">
            <v>45118</v>
          </cell>
        </row>
        <row r="3597">
          <cell r="A3597" t="str">
            <v>Julio Cesar Estigarribia</v>
          </cell>
          <cell r="B3597">
            <v>37013387</v>
          </cell>
          <cell r="C3597">
            <v>20054465</v>
          </cell>
          <cell r="D3597">
            <v>45118</v>
          </cell>
        </row>
        <row r="3598">
          <cell r="A3598" t="str">
            <v>Cezar Moura Figueiredo</v>
          </cell>
          <cell r="B3598">
            <v>37013402</v>
          </cell>
          <cell r="C3598">
            <v>20054513</v>
          </cell>
          <cell r="D3598">
            <v>45118</v>
          </cell>
        </row>
        <row r="3599">
          <cell r="A3599" t="str">
            <v>Talyson Felipe de Souza Ferreira</v>
          </cell>
          <cell r="B3599">
            <v>37013403</v>
          </cell>
          <cell r="C3599">
            <v>20054514</v>
          </cell>
          <cell r="D3599">
            <v>45118</v>
          </cell>
        </row>
        <row r="3600">
          <cell r="A3600" t="str">
            <v>Gilson Semeler Clemente</v>
          </cell>
          <cell r="B3600">
            <v>37013418</v>
          </cell>
          <cell r="C3600">
            <v>20054828</v>
          </cell>
          <cell r="D3600">
            <v>45118</v>
          </cell>
        </row>
        <row r="3601">
          <cell r="A3601" t="str">
            <v>Ademilson Moura da Silva</v>
          </cell>
          <cell r="B3601">
            <v>37013410</v>
          </cell>
          <cell r="C3601">
            <v>20054467</v>
          </cell>
          <cell r="D3601">
            <v>45118</v>
          </cell>
        </row>
        <row r="3602">
          <cell r="A3602" t="str">
            <v>Luiz Carlos Gabriel Gil</v>
          </cell>
          <cell r="B3602">
            <v>37013429</v>
          </cell>
          <cell r="C3602">
            <v>20054891</v>
          </cell>
          <cell r="D3602">
            <v>45118</v>
          </cell>
        </row>
        <row r="3603">
          <cell r="A3603" t="str">
            <v>Geisa Quiteria Azevedo da Silva</v>
          </cell>
          <cell r="B3603">
            <v>37010071</v>
          </cell>
          <cell r="C3603">
            <v>20038176</v>
          </cell>
          <cell r="D3603">
            <v>44881</v>
          </cell>
        </row>
        <row r="3604">
          <cell r="A3604" t="str">
            <v>Arielle Mayara Ribeiro dos Santos</v>
          </cell>
          <cell r="B3604">
            <v>37010036</v>
          </cell>
          <cell r="C3604">
            <v>20037941</v>
          </cell>
          <cell r="D3604">
            <v>44881</v>
          </cell>
        </row>
        <row r="3605">
          <cell r="A3605" t="str">
            <v>Edmilson Paulo Pereira Da Silva</v>
          </cell>
          <cell r="B3605">
            <v>37009203</v>
          </cell>
          <cell r="C3605">
            <v>20032232</v>
          </cell>
          <cell r="D3605">
            <v>44795</v>
          </cell>
        </row>
        <row r="3606">
          <cell r="A3606" t="str">
            <v>Paulo Roberto Da Silva</v>
          </cell>
          <cell r="B3606">
            <v>37004910</v>
          </cell>
          <cell r="C3606">
            <v>20008437</v>
          </cell>
          <cell r="D3606">
            <v>44095</v>
          </cell>
        </row>
        <row r="3607">
          <cell r="A3607" t="str">
            <v>Leandro Olicio Jose De Souza</v>
          </cell>
          <cell r="B3607">
            <v>37009046</v>
          </cell>
          <cell r="C3607">
            <v>20031112</v>
          </cell>
          <cell r="D3607">
            <v>44781</v>
          </cell>
        </row>
        <row r="3608">
          <cell r="A3608" t="str">
            <v>Denilson Quinteiro Rocha</v>
          </cell>
          <cell r="B3608">
            <v>37013459</v>
          </cell>
          <cell r="C3608">
            <v>20054994</v>
          </cell>
          <cell r="D3608">
            <v>45125</v>
          </cell>
        </row>
        <row r="3609">
          <cell r="A3609" t="str">
            <v>Cristiano Teixeira De Araujo</v>
          </cell>
          <cell r="B3609">
            <v>37013483</v>
          </cell>
          <cell r="C3609">
            <v>20055379</v>
          </cell>
          <cell r="D3609">
            <v>45125</v>
          </cell>
        </row>
        <row r="3610">
          <cell r="A3610" t="str">
            <v>Evandro Carlos De Queiroz</v>
          </cell>
          <cell r="B3610">
            <v>37013634</v>
          </cell>
          <cell r="C3610">
            <v>20055382</v>
          </cell>
          <cell r="D3610">
            <v>45125</v>
          </cell>
        </row>
        <row r="3611">
          <cell r="A3611" t="str">
            <v>Ingrid Bianca Costa Alves</v>
          </cell>
          <cell r="B3611">
            <v>37013528</v>
          </cell>
          <cell r="C3611">
            <v>20055424</v>
          </cell>
          <cell r="D3611">
            <v>45125</v>
          </cell>
        </row>
        <row r="3612">
          <cell r="A3612" t="str">
            <v>Yasmin Cristiny de Oliveira Penhalver Malmos</v>
          </cell>
          <cell r="B3612">
            <v>37013556</v>
          </cell>
          <cell r="C3612">
            <v>20055786</v>
          </cell>
          <cell r="D3612">
            <v>45125</v>
          </cell>
        </row>
        <row r="3613">
          <cell r="A3613" t="str">
            <v>Melquizayd de Leres dos Santos</v>
          </cell>
          <cell r="B3613">
            <v>37013549</v>
          </cell>
          <cell r="C3613">
            <v>20055779</v>
          </cell>
          <cell r="D3613">
            <v>45125</v>
          </cell>
        </row>
        <row r="3614">
          <cell r="A3614" t="str">
            <v>Juliana dos Santos</v>
          </cell>
          <cell r="B3614">
            <v>37013552</v>
          </cell>
          <cell r="C3614">
            <v>20055782</v>
          </cell>
          <cell r="D3614">
            <v>45125</v>
          </cell>
        </row>
        <row r="3615">
          <cell r="A3615" t="str">
            <v>Mayara Isabelle de Oliveira</v>
          </cell>
          <cell r="B3615">
            <v>37013553</v>
          </cell>
          <cell r="C3615">
            <v>20055783</v>
          </cell>
          <cell r="D3615">
            <v>45125</v>
          </cell>
        </row>
        <row r="3616">
          <cell r="A3616" t="str">
            <v>Mateus Amaro Alfonso De Souza</v>
          </cell>
          <cell r="B3616">
            <v>37009111</v>
          </cell>
          <cell r="C3616">
            <v>20031100</v>
          </cell>
          <cell r="D3616">
            <v>44788</v>
          </cell>
        </row>
        <row r="3617">
          <cell r="A3617" t="str">
            <v>Diego Mathias Alves</v>
          </cell>
          <cell r="B3617">
            <v>37009273</v>
          </cell>
          <cell r="C3617">
            <v>20032962</v>
          </cell>
          <cell r="D3617">
            <v>44809</v>
          </cell>
        </row>
        <row r="3618">
          <cell r="A3618" t="str">
            <v>Murilo Gonzaga da Silva</v>
          </cell>
          <cell r="B3618">
            <v>37013562</v>
          </cell>
          <cell r="C3618">
            <v>20055792</v>
          </cell>
          <cell r="D3618">
            <v>45125</v>
          </cell>
        </row>
        <row r="3619">
          <cell r="A3619" t="str">
            <v>Moacir Xavier da Silva</v>
          </cell>
          <cell r="B3619">
            <v>37013564</v>
          </cell>
          <cell r="C3619">
            <v>20055794</v>
          </cell>
          <cell r="D3619">
            <v>45125</v>
          </cell>
        </row>
        <row r="3620">
          <cell r="A3620" t="str">
            <v>Railson Santos</v>
          </cell>
          <cell r="B3620">
            <v>37013565</v>
          </cell>
          <cell r="C3620">
            <v>20055795</v>
          </cell>
          <cell r="D3620">
            <v>45125</v>
          </cell>
        </row>
        <row r="3621">
          <cell r="A3621" t="str">
            <v>Marcela Carvalho</v>
          </cell>
          <cell r="B3621">
            <v>37013583</v>
          </cell>
          <cell r="C3621">
            <v>20055813</v>
          </cell>
          <cell r="D3621">
            <v>45125</v>
          </cell>
        </row>
        <row r="3622">
          <cell r="A3622" t="str">
            <v>Eduardo José Ferreira de Arantes Oliveira</v>
          </cell>
          <cell r="B3622">
            <v>37013668</v>
          </cell>
          <cell r="C3622">
            <v>20056212</v>
          </cell>
          <cell r="D3622">
            <v>45139</v>
          </cell>
        </row>
        <row r="3623">
          <cell r="A3623" t="str">
            <v>Elder Luis Ferrari</v>
          </cell>
          <cell r="B3623">
            <v>37013709</v>
          </cell>
          <cell r="C3623">
            <v>20056304</v>
          </cell>
          <cell r="D3623">
            <v>45139</v>
          </cell>
        </row>
        <row r="3624">
          <cell r="A3624" t="str">
            <v>Amanda Rithielly Borges Marques</v>
          </cell>
          <cell r="B3624">
            <v>37013731</v>
          </cell>
          <cell r="C3624">
            <v>20056326</v>
          </cell>
          <cell r="D3624">
            <v>45139</v>
          </cell>
        </row>
        <row r="3625">
          <cell r="A3625" t="str">
            <v>Jonato Pereira da Silva</v>
          </cell>
          <cell r="B3625">
            <v>37013785</v>
          </cell>
          <cell r="C3625">
            <v>20056436</v>
          </cell>
          <cell r="D3625">
            <v>45139</v>
          </cell>
        </row>
        <row r="3626">
          <cell r="A3626" t="str">
            <v>Roberto Araujo Da Silva Filho</v>
          </cell>
          <cell r="B3626">
            <v>37013835</v>
          </cell>
          <cell r="C3626">
            <v>20056792</v>
          </cell>
          <cell r="D3626">
            <v>45146</v>
          </cell>
        </row>
        <row r="3627">
          <cell r="A3627" t="str">
            <v>Aparecido Carlos Dias Junior</v>
          </cell>
          <cell r="B3627">
            <v>37013841</v>
          </cell>
          <cell r="C3627">
            <v>20056974</v>
          </cell>
          <cell r="D3627">
            <v>45146</v>
          </cell>
        </row>
        <row r="3628">
          <cell r="A3628" t="str">
            <v>Josimar Arantes de Oliveira</v>
          </cell>
          <cell r="B3628">
            <v>37013842</v>
          </cell>
          <cell r="C3628">
            <v>20056975</v>
          </cell>
          <cell r="D3628">
            <v>45146</v>
          </cell>
        </row>
        <row r="3629">
          <cell r="A3629" t="str">
            <v>Rodrigo Marcos Lima</v>
          </cell>
          <cell r="B3629">
            <v>37013889</v>
          </cell>
          <cell r="C3629">
            <v>20057048</v>
          </cell>
          <cell r="D3629">
            <v>45146</v>
          </cell>
        </row>
        <row r="3630">
          <cell r="A3630" t="str">
            <v>Roberto Lima de Almeida</v>
          </cell>
          <cell r="B3630">
            <v>37013934</v>
          </cell>
          <cell r="C3630">
            <v>20057338</v>
          </cell>
          <cell r="D3630">
            <v>45153</v>
          </cell>
        </row>
        <row r="3631">
          <cell r="A3631" t="str">
            <v>Sebastiao Ramos Dutra de Oliveira</v>
          </cell>
          <cell r="B3631">
            <v>37013945</v>
          </cell>
          <cell r="C3631">
            <v>20057349</v>
          </cell>
          <cell r="D3631">
            <v>45146</v>
          </cell>
        </row>
        <row r="3632">
          <cell r="A3632" t="str">
            <v>Liamara Santos Masullo</v>
          </cell>
          <cell r="B3632">
            <v>37009950</v>
          </cell>
          <cell r="C3632">
            <v>20037449</v>
          </cell>
          <cell r="D3632">
            <v>44881</v>
          </cell>
        </row>
        <row r="3633">
          <cell r="A3633" t="str">
            <v>Jakeline Cardoso Viegas</v>
          </cell>
          <cell r="B3633">
            <v>37007314</v>
          </cell>
          <cell r="C3633">
            <v>20023684</v>
          </cell>
          <cell r="D3633">
            <v>44634</v>
          </cell>
        </row>
        <row r="3634">
          <cell r="A3634" t="str">
            <v>Jambres Ferreira da Silva</v>
          </cell>
          <cell r="B3634">
            <v>37010448</v>
          </cell>
          <cell r="C3634">
            <v>20039955</v>
          </cell>
          <cell r="D3634">
            <v>44907</v>
          </cell>
        </row>
        <row r="3635">
          <cell r="A3635" t="str">
            <v>Lazara Daniela Dias Da Silva Arruda</v>
          </cell>
          <cell r="B3635">
            <v>37007216</v>
          </cell>
          <cell r="C3635">
            <v>20023016</v>
          </cell>
          <cell r="D3635">
            <v>44622</v>
          </cell>
        </row>
        <row r="3636">
          <cell r="A3636" t="str">
            <v>Vagner Lopes Fogaca Da Silva</v>
          </cell>
          <cell r="B3636">
            <v>37007351</v>
          </cell>
          <cell r="C3636">
            <v>20023719</v>
          </cell>
          <cell r="D3636">
            <v>44641</v>
          </cell>
        </row>
        <row r="3637">
          <cell r="A3637" t="str">
            <v>Jose Alves da Silva</v>
          </cell>
          <cell r="B3637">
            <v>37013963</v>
          </cell>
          <cell r="C3637">
            <v>20057444</v>
          </cell>
          <cell r="D3637">
            <v>45153</v>
          </cell>
        </row>
        <row r="3638">
          <cell r="A3638" t="str">
            <v>Aguinaldo Garcia Ricales</v>
          </cell>
          <cell r="B3638">
            <v>37013965</v>
          </cell>
          <cell r="C3638">
            <v>20057446</v>
          </cell>
          <cell r="D3638">
            <v>45153</v>
          </cell>
        </row>
        <row r="3639">
          <cell r="A3639" t="str">
            <v>Pamela Roberta dos Santos</v>
          </cell>
          <cell r="B3639">
            <v>37013977</v>
          </cell>
          <cell r="C3639">
            <v>20057459</v>
          </cell>
          <cell r="D3639">
            <v>45153</v>
          </cell>
        </row>
        <row r="3640">
          <cell r="A3640" t="str">
            <v>Alisson Batista dos Santos</v>
          </cell>
          <cell r="B3640">
            <v>37014004</v>
          </cell>
          <cell r="C3640">
            <v>20057494</v>
          </cell>
          <cell r="D3640">
            <v>45153</v>
          </cell>
        </row>
        <row r="3641">
          <cell r="A3641" t="str">
            <v>Gilvan Cercundo Da Cruz</v>
          </cell>
          <cell r="B3641">
            <v>37013990</v>
          </cell>
          <cell r="C3641">
            <v>20009178</v>
          </cell>
          <cell r="D3641">
            <v>45160</v>
          </cell>
        </row>
        <row r="3642">
          <cell r="A3642" t="str">
            <v>Fernando Gomes</v>
          </cell>
          <cell r="B3642">
            <v>37009567</v>
          </cell>
          <cell r="C3642">
            <v>20035352</v>
          </cell>
          <cell r="D3642">
            <v>44837</v>
          </cell>
        </row>
        <row r="3643">
          <cell r="A3643" t="str">
            <v>Luzia Da Costa Freitas</v>
          </cell>
          <cell r="B3643">
            <v>37009268</v>
          </cell>
          <cell r="C3643">
            <v>20032616</v>
          </cell>
          <cell r="D3643">
            <v>44809</v>
          </cell>
        </row>
        <row r="3644">
          <cell r="A3644" t="str">
            <v>Nathalia De Lima Costa</v>
          </cell>
          <cell r="B3644">
            <v>37009479</v>
          </cell>
          <cell r="C3644">
            <v>20034173</v>
          </cell>
          <cell r="D3644">
            <v>44823</v>
          </cell>
        </row>
        <row r="3645">
          <cell r="A3645" t="str">
            <v>Samuel Brasil</v>
          </cell>
          <cell r="B3645">
            <v>37007713</v>
          </cell>
          <cell r="C3645">
            <v>20025786</v>
          </cell>
          <cell r="D3645">
            <v>44690</v>
          </cell>
        </row>
        <row r="3646">
          <cell r="A3646" t="str">
            <v>Mateus Dias Da Silva</v>
          </cell>
          <cell r="B3646">
            <v>37009064</v>
          </cell>
          <cell r="C3646">
            <v>20031408</v>
          </cell>
          <cell r="D3646">
            <v>44788</v>
          </cell>
        </row>
        <row r="3647">
          <cell r="A3647" t="str">
            <v>Cassiano Franco De Oliveira</v>
          </cell>
          <cell r="B3647">
            <v>37003870</v>
          </cell>
          <cell r="C3647">
            <v>20010094</v>
          </cell>
          <cell r="D3647">
            <v>43759</v>
          </cell>
        </row>
        <row r="3648">
          <cell r="A3648" t="str">
            <v>Marcos da Silva de Oliveira</v>
          </cell>
          <cell r="B3648">
            <v>37010052</v>
          </cell>
          <cell r="C3648">
            <v>20038157</v>
          </cell>
          <cell r="D3648">
            <v>44881</v>
          </cell>
        </row>
        <row r="3649">
          <cell r="A3649" t="str">
            <v>Fernando Mazzo</v>
          </cell>
          <cell r="B3649">
            <v>37009827</v>
          </cell>
          <cell r="C3649">
            <v>20037106</v>
          </cell>
          <cell r="D3649">
            <v>44872</v>
          </cell>
        </row>
        <row r="3650">
          <cell r="A3650" t="str">
            <v>Taise Silva Valadares</v>
          </cell>
          <cell r="B3650">
            <v>37003494</v>
          </cell>
          <cell r="C3650">
            <v>20004937</v>
          </cell>
          <cell r="D3650">
            <v>43682</v>
          </cell>
        </row>
        <row r="3651">
          <cell r="A3651" t="str">
            <v>Ana Luzia Domingos De Freitas</v>
          </cell>
          <cell r="B3651">
            <v>37009872</v>
          </cell>
          <cell r="C3651">
            <v>20037207</v>
          </cell>
          <cell r="D3651">
            <v>44872</v>
          </cell>
        </row>
        <row r="3652">
          <cell r="A3652" t="str">
            <v>Reginaldo Barbosa Siqueira</v>
          </cell>
          <cell r="B3652">
            <v>37009675</v>
          </cell>
          <cell r="C3652">
            <v>20035870</v>
          </cell>
          <cell r="D3652">
            <v>44851</v>
          </cell>
        </row>
        <row r="3653">
          <cell r="A3653" t="str">
            <v>Marcelo Augusto Fioratti</v>
          </cell>
          <cell r="B3653">
            <v>37010488</v>
          </cell>
          <cell r="C3653">
            <v>20040221</v>
          </cell>
          <cell r="D3653">
            <v>44914</v>
          </cell>
        </row>
        <row r="3654">
          <cell r="A3654" t="str">
            <v>Aldair da Fonseca</v>
          </cell>
          <cell r="B3654">
            <v>37014041</v>
          </cell>
          <cell r="C3654">
            <v>20057727</v>
          </cell>
          <cell r="D3654">
            <v>45160</v>
          </cell>
        </row>
        <row r="3655">
          <cell r="A3655" t="str">
            <v>Danilo Rosario Mira</v>
          </cell>
          <cell r="B3655">
            <v>37014055</v>
          </cell>
          <cell r="C3655">
            <v>20057741</v>
          </cell>
          <cell r="D3655">
            <v>45160</v>
          </cell>
        </row>
        <row r="3656">
          <cell r="A3656" t="str">
            <v>Jose Antonio Martins de Souza</v>
          </cell>
          <cell r="B3656">
            <v>37014077</v>
          </cell>
          <cell r="C3656">
            <v>20057813</v>
          </cell>
          <cell r="D3656">
            <v>45174</v>
          </cell>
        </row>
        <row r="3657">
          <cell r="A3657" t="str">
            <v>Tomaz Rener Honorio Ferreira</v>
          </cell>
          <cell r="B3657">
            <v>37014085</v>
          </cell>
          <cell r="C3657">
            <v>20057821</v>
          </cell>
          <cell r="D3657">
            <v>45160</v>
          </cell>
        </row>
        <row r="3658">
          <cell r="A3658" t="str">
            <v>Valdir de Jesus Goncalves Junior</v>
          </cell>
          <cell r="B3658">
            <v>37014134</v>
          </cell>
          <cell r="C3658">
            <v>20057898</v>
          </cell>
          <cell r="D3658">
            <v>45160</v>
          </cell>
        </row>
        <row r="3659">
          <cell r="A3659" t="str">
            <v>Raissa Nascimento Dos Santos</v>
          </cell>
          <cell r="B3659">
            <v>37009477</v>
          </cell>
          <cell r="C3659">
            <v>20034170</v>
          </cell>
          <cell r="D3659">
            <v>44823</v>
          </cell>
        </row>
        <row r="3660">
          <cell r="A3660" t="str">
            <v>Jofre Matos Tanan Da Silva</v>
          </cell>
          <cell r="B3660">
            <v>37007663</v>
          </cell>
          <cell r="C3660">
            <v>15007480</v>
          </cell>
          <cell r="D3660">
            <v>42478</v>
          </cell>
        </row>
        <row r="3661">
          <cell r="A3661" t="str">
            <v>Ronaldo Alves Ribeiro</v>
          </cell>
          <cell r="B3661">
            <v>37010439</v>
          </cell>
          <cell r="C3661">
            <v>20039746</v>
          </cell>
          <cell r="D3661">
            <v>44907</v>
          </cell>
        </row>
        <row r="3662">
          <cell r="A3662" t="str">
            <v>Ana Carolina Domingos de Freitas</v>
          </cell>
          <cell r="B3662">
            <v>37014225</v>
          </cell>
          <cell r="C3662">
            <v>20058129</v>
          </cell>
          <cell r="D3662">
            <v>45174</v>
          </cell>
        </row>
        <row r="3663">
          <cell r="A3663" t="str">
            <v>Samira Arevalos da Silva</v>
          </cell>
          <cell r="B3663">
            <v>37014253</v>
          </cell>
          <cell r="C3663">
            <v>20058315</v>
          </cell>
          <cell r="D3663">
            <v>45174</v>
          </cell>
        </row>
        <row r="3664">
          <cell r="A3664" t="str">
            <v>Gabriely Lima Samuel</v>
          </cell>
          <cell r="B3664">
            <v>37014263</v>
          </cell>
          <cell r="C3664">
            <v>20058342</v>
          </cell>
          <cell r="D3664">
            <v>45174</v>
          </cell>
        </row>
        <row r="3665">
          <cell r="A3665" t="str">
            <v>Nair da Silva Andrade</v>
          </cell>
          <cell r="B3665">
            <v>37014291</v>
          </cell>
          <cell r="C3665">
            <v>20058370</v>
          </cell>
          <cell r="D3665">
            <v>45174</v>
          </cell>
        </row>
        <row r="3666">
          <cell r="A3666" t="str">
            <v>Silvia Leticia Justino Dos Santos</v>
          </cell>
          <cell r="B3666">
            <v>37014298</v>
          </cell>
          <cell r="C3666">
            <v>20058377</v>
          </cell>
          <cell r="D3666">
            <v>45174</v>
          </cell>
        </row>
        <row r="3667">
          <cell r="A3667" t="str">
            <v>Hemilly Kauany da Cruz Silva</v>
          </cell>
          <cell r="B3667">
            <v>37014296</v>
          </cell>
          <cell r="C3667">
            <v>20058375</v>
          </cell>
          <cell r="D3667">
            <v>45174</v>
          </cell>
        </row>
        <row r="3668">
          <cell r="A3668" t="str">
            <v>Elenice Maria Fidelis de Barros</v>
          </cell>
          <cell r="B3668">
            <v>37014297</v>
          </cell>
          <cell r="C3668">
            <v>20058376</v>
          </cell>
          <cell r="D3668">
            <v>45174</v>
          </cell>
        </row>
        <row r="3669">
          <cell r="A3669" t="str">
            <v>Donilio Francis Silva</v>
          </cell>
          <cell r="B3669">
            <v>37014299</v>
          </cell>
          <cell r="C3669">
            <v>20058378</v>
          </cell>
          <cell r="D3669">
            <v>45174</v>
          </cell>
        </row>
        <row r="3670">
          <cell r="A3670" t="str">
            <v>Cristiana Sousa da Silva</v>
          </cell>
          <cell r="B3670">
            <v>37014324</v>
          </cell>
          <cell r="C3670">
            <v>20058425</v>
          </cell>
          <cell r="D3670">
            <v>45174</v>
          </cell>
        </row>
        <row r="3671">
          <cell r="A3671" t="str">
            <v>Rodrigo Aparecido Fonseca</v>
          </cell>
          <cell r="B3671">
            <v>37014326</v>
          </cell>
          <cell r="C3671">
            <v>20058427</v>
          </cell>
          <cell r="D3671">
            <v>45174</v>
          </cell>
        </row>
        <row r="3672">
          <cell r="A3672" t="str">
            <v>Josiane da Silva Teixeira Souza</v>
          </cell>
          <cell r="B3672">
            <v>37014350</v>
          </cell>
          <cell r="C3672">
            <v>20058485</v>
          </cell>
          <cell r="D3672">
            <v>45174</v>
          </cell>
        </row>
        <row r="3673">
          <cell r="A3673" t="str">
            <v>Neuza Cleia De Oliveira Pinto</v>
          </cell>
          <cell r="B3673">
            <v>37014346</v>
          </cell>
          <cell r="C3673">
            <v>20058481</v>
          </cell>
          <cell r="D3673">
            <v>45174</v>
          </cell>
        </row>
        <row r="3674">
          <cell r="A3674" t="str">
            <v>Francivalda Ribeiro dos Santos</v>
          </cell>
          <cell r="B3674">
            <v>37014347</v>
          </cell>
          <cell r="C3674">
            <v>20058482</v>
          </cell>
          <cell r="D3674">
            <v>45174</v>
          </cell>
        </row>
        <row r="3675">
          <cell r="A3675" t="str">
            <v>Clemente Barboza Viega</v>
          </cell>
          <cell r="B3675">
            <v>37014368</v>
          </cell>
          <cell r="C3675">
            <v>20058503</v>
          </cell>
          <cell r="D3675">
            <v>45174</v>
          </cell>
        </row>
        <row r="3676">
          <cell r="A3676" t="str">
            <v>Luis Carlos Oliveira Junior</v>
          </cell>
          <cell r="B3676">
            <v>37014376</v>
          </cell>
          <cell r="C3676">
            <v>20058511</v>
          </cell>
          <cell r="D3676">
            <v>45174</v>
          </cell>
        </row>
        <row r="3677">
          <cell r="A3677" t="str">
            <v>Solange de Souza</v>
          </cell>
          <cell r="B3677">
            <v>37014382</v>
          </cell>
          <cell r="C3677">
            <v>20058517</v>
          </cell>
          <cell r="D3677">
            <v>45174</v>
          </cell>
        </row>
        <row r="3678">
          <cell r="A3678" t="str">
            <v>Eduardo Moreira dos Santos</v>
          </cell>
          <cell r="B3678">
            <v>37014395</v>
          </cell>
          <cell r="C3678">
            <v>20058531</v>
          </cell>
          <cell r="D3678">
            <v>45174</v>
          </cell>
        </row>
        <row r="3679">
          <cell r="A3679" t="str">
            <v>Marcos Antonio Beneites Juliao</v>
          </cell>
          <cell r="B3679">
            <v>37014402</v>
          </cell>
          <cell r="C3679">
            <v>20058554</v>
          </cell>
          <cell r="D3679">
            <v>45174</v>
          </cell>
        </row>
        <row r="3680">
          <cell r="A3680" t="str">
            <v>Nathalia Bernardes Ribeiro</v>
          </cell>
          <cell r="B3680">
            <v>37014448</v>
          </cell>
          <cell r="C3680">
            <v>20058847</v>
          </cell>
          <cell r="D3680">
            <v>45181</v>
          </cell>
        </row>
        <row r="3681">
          <cell r="A3681" t="str">
            <v>Eva Conceicao Ferreira</v>
          </cell>
          <cell r="B3681">
            <v>37014444</v>
          </cell>
          <cell r="C3681">
            <v>20058843</v>
          </cell>
          <cell r="D3681">
            <v>45181</v>
          </cell>
        </row>
        <row r="3682">
          <cell r="A3682" t="str">
            <v>Alyson Henrique Alves Mendes</v>
          </cell>
          <cell r="B3682">
            <v>37014447</v>
          </cell>
          <cell r="C3682">
            <v>20058846</v>
          </cell>
          <cell r="D3682">
            <v>45181</v>
          </cell>
        </row>
        <row r="3683">
          <cell r="A3683" t="str">
            <v>Ana Paula Santos Mendonca</v>
          </cell>
          <cell r="B3683">
            <v>37014454</v>
          </cell>
          <cell r="C3683">
            <v>20058853</v>
          </cell>
          <cell r="D3683">
            <v>45181</v>
          </cell>
        </row>
        <row r="3684">
          <cell r="A3684" t="str">
            <v>Hiram Fraca Benites</v>
          </cell>
          <cell r="B3684">
            <v>37014459</v>
          </cell>
          <cell r="C3684">
            <v>20058858</v>
          </cell>
          <cell r="D3684">
            <v>45181</v>
          </cell>
        </row>
        <row r="3685">
          <cell r="A3685" t="str">
            <v>Jhiovana Priscila Lemos Feifareck</v>
          </cell>
          <cell r="B3685">
            <v>37014465</v>
          </cell>
          <cell r="C3685">
            <v>20058879</v>
          </cell>
          <cell r="D3685">
            <v>45181</v>
          </cell>
        </row>
        <row r="3686">
          <cell r="A3686" t="str">
            <v>Maiara da Silva Nascimento</v>
          </cell>
          <cell r="B3686">
            <v>37010896</v>
          </cell>
          <cell r="C3686">
            <v>20041295</v>
          </cell>
          <cell r="D3686">
            <v>44942</v>
          </cell>
        </row>
        <row r="3687">
          <cell r="A3687" t="str">
            <v>Mikael Marques Dos Santos</v>
          </cell>
          <cell r="B3687">
            <v>37014500</v>
          </cell>
          <cell r="C3687">
            <v>20059012</v>
          </cell>
          <cell r="D3687">
            <v>45181</v>
          </cell>
        </row>
        <row r="3688">
          <cell r="A3688" t="str">
            <v>Diogo Dos Anjos Da Silva</v>
          </cell>
          <cell r="B3688">
            <v>37014511</v>
          </cell>
          <cell r="C3688">
            <v>20059037</v>
          </cell>
          <cell r="D3688">
            <v>45181</v>
          </cell>
        </row>
        <row r="3689">
          <cell r="A3689" t="str">
            <v>Andreia Bento Goncalves</v>
          </cell>
          <cell r="B3689">
            <v>37009010</v>
          </cell>
          <cell r="C3689">
            <v>20030987</v>
          </cell>
          <cell r="D3689">
            <v>44781</v>
          </cell>
        </row>
        <row r="3690">
          <cell r="A3690" t="str">
            <v>Felipe da Silva de Sousa</v>
          </cell>
          <cell r="B3690">
            <v>37014520</v>
          </cell>
          <cell r="C3690">
            <v>20059046</v>
          </cell>
          <cell r="D3690">
            <v>45181</v>
          </cell>
        </row>
        <row r="3691">
          <cell r="A3691" t="str">
            <v>Gilmario Santos Ramalho</v>
          </cell>
          <cell r="B3691">
            <v>37014512</v>
          </cell>
          <cell r="C3691">
            <v>20059038</v>
          </cell>
          <cell r="D3691">
            <v>45181</v>
          </cell>
        </row>
        <row r="3692">
          <cell r="A3692" t="str">
            <v>Ilda Martins de Freitas</v>
          </cell>
          <cell r="B3692">
            <v>37014549</v>
          </cell>
          <cell r="C3692">
            <v>20059120</v>
          </cell>
          <cell r="D3692">
            <v>45181</v>
          </cell>
        </row>
        <row r="3693">
          <cell r="A3693" t="str">
            <v>Benedito Celestino Leocadio</v>
          </cell>
          <cell r="B3693">
            <v>37014554</v>
          </cell>
          <cell r="C3693">
            <v>20059125</v>
          </cell>
          <cell r="D3693">
            <v>45181</v>
          </cell>
        </row>
        <row r="3694">
          <cell r="A3694" t="str">
            <v>Livia Gabriela Souza Magalhaes</v>
          </cell>
          <cell r="B3694">
            <v>37006509</v>
          </cell>
          <cell r="C3694">
            <v>20018109</v>
          </cell>
          <cell r="D3694">
            <v>44473</v>
          </cell>
        </row>
        <row r="3695">
          <cell r="A3695" t="str">
            <v>Alice Cunha da Silva</v>
          </cell>
          <cell r="B3695">
            <v>37011268</v>
          </cell>
          <cell r="C3695">
            <v>20042666</v>
          </cell>
          <cell r="D3695">
            <v>44970</v>
          </cell>
        </row>
        <row r="3696">
          <cell r="A3696" t="str">
            <v>Joyce Kelly Ferreira De Jesus</v>
          </cell>
          <cell r="B3696">
            <v>37009912</v>
          </cell>
          <cell r="C3696">
            <v>20037264</v>
          </cell>
          <cell r="D3696">
            <v>44872</v>
          </cell>
        </row>
        <row r="3697">
          <cell r="A3697" t="str">
            <v>Tatiana Trajano Abreu</v>
          </cell>
          <cell r="B3697">
            <v>37010810</v>
          </cell>
          <cell r="C3697">
            <v>20041192</v>
          </cell>
          <cell r="D3697">
            <v>44942</v>
          </cell>
        </row>
        <row r="3698">
          <cell r="A3698" t="str">
            <v>Jose Marcos Da Silva</v>
          </cell>
          <cell r="B3698">
            <v>37008993</v>
          </cell>
          <cell r="C3698">
            <v>20031007</v>
          </cell>
          <cell r="D3698">
            <v>44781</v>
          </cell>
        </row>
        <row r="3699">
          <cell r="A3699" t="str">
            <v>Jean Rodrigues De Oliveira</v>
          </cell>
          <cell r="B3699">
            <v>37008682</v>
          </cell>
          <cell r="C3699">
            <v>20028757</v>
          </cell>
          <cell r="D3699">
            <v>44760</v>
          </cell>
        </row>
        <row r="3700">
          <cell r="A3700" t="str">
            <v>Yslane Lais Tavares dos Santos</v>
          </cell>
          <cell r="B3700">
            <v>37010812</v>
          </cell>
          <cell r="C3700">
            <v>20041194</v>
          </cell>
          <cell r="D3700">
            <v>44942</v>
          </cell>
        </row>
        <row r="3701">
          <cell r="A3701" t="str">
            <v>Iridio Teodoro Costa Santos</v>
          </cell>
          <cell r="B3701">
            <v>37007799</v>
          </cell>
          <cell r="C3701">
            <v>20025951</v>
          </cell>
          <cell r="D3701">
            <v>44704</v>
          </cell>
        </row>
        <row r="3702">
          <cell r="A3702" t="str">
            <v>Sinvaldo Pereira Dos Santos</v>
          </cell>
          <cell r="B3702">
            <v>37007241</v>
          </cell>
          <cell r="C3702">
            <v>20023614</v>
          </cell>
          <cell r="D3702">
            <v>44627</v>
          </cell>
        </row>
        <row r="3703">
          <cell r="A3703" t="str">
            <v>Sidnei Siqueira da Costa</v>
          </cell>
          <cell r="B3703">
            <v>37011222</v>
          </cell>
          <cell r="C3703">
            <v>20042620</v>
          </cell>
          <cell r="D3703">
            <v>44970</v>
          </cell>
        </row>
        <row r="3704">
          <cell r="A3704" t="str">
            <v>Diones dos Santos</v>
          </cell>
          <cell r="B3704">
            <v>37014720</v>
          </cell>
          <cell r="C3704">
            <v>20059780</v>
          </cell>
          <cell r="D3704">
            <v>45202</v>
          </cell>
        </row>
        <row r="3705">
          <cell r="A3705" t="str">
            <v>Dejair Custodio</v>
          </cell>
          <cell r="B3705">
            <v>37014722</v>
          </cell>
          <cell r="C3705">
            <v>20059782</v>
          </cell>
          <cell r="D3705">
            <v>45202</v>
          </cell>
        </row>
        <row r="3706">
          <cell r="A3706" t="str">
            <v>Fausto Jose da Silva</v>
          </cell>
          <cell r="B3706">
            <v>37014724</v>
          </cell>
          <cell r="C3706">
            <v>20059784</v>
          </cell>
          <cell r="D3706">
            <v>45202</v>
          </cell>
        </row>
        <row r="3707">
          <cell r="A3707" t="str">
            <v>Alexandre Rodrigues dos Santos</v>
          </cell>
          <cell r="B3707">
            <v>37014733</v>
          </cell>
          <cell r="C3707">
            <v>20059817</v>
          </cell>
          <cell r="D3707">
            <v>45202</v>
          </cell>
        </row>
        <row r="3708">
          <cell r="A3708" t="str">
            <v>Genivaldo de Castro dos Santos</v>
          </cell>
          <cell r="B3708">
            <v>37014734</v>
          </cell>
          <cell r="C3708">
            <v>20059818</v>
          </cell>
          <cell r="D3708">
            <v>45202</v>
          </cell>
        </row>
        <row r="3709">
          <cell r="A3709" t="str">
            <v>Evanilson Caldas dos Reis</v>
          </cell>
          <cell r="B3709">
            <v>37014751</v>
          </cell>
          <cell r="C3709">
            <v>20059918</v>
          </cell>
          <cell r="D3709">
            <v>45202</v>
          </cell>
        </row>
        <row r="3710">
          <cell r="A3710" t="str">
            <v>Alexsandro Batista Baleeiro</v>
          </cell>
          <cell r="B3710">
            <v>37014755</v>
          </cell>
          <cell r="C3710">
            <v>20059960</v>
          </cell>
          <cell r="D3710">
            <v>45202</v>
          </cell>
        </row>
        <row r="3711">
          <cell r="A3711" t="str">
            <v>Alison William Lima Antunes</v>
          </cell>
          <cell r="B3711">
            <v>37014759</v>
          </cell>
          <cell r="C3711">
            <v>20059964</v>
          </cell>
          <cell r="D3711">
            <v>45202</v>
          </cell>
        </row>
        <row r="3712">
          <cell r="A3712" t="str">
            <v>Gabriel Brito Ribeiro</v>
          </cell>
          <cell r="B3712">
            <v>37014768</v>
          </cell>
          <cell r="C3712">
            <v>20059973</v>
          </cell>
          <cell r="D3712">
            <v>45202</v>
          </cell>
        </row>
        <row r="3713">
          <cell r="A3713" t="str">
            <v>Karin Hammes</v>
          </cell>
          <cell r="B3713">
            <v>37014774</v>
          </cell>
          <cell r="C3713">
            <v>20059979</v>
          </cell>
          <cell r="D3713">
            <v>45202</v>
          </cell>
        </row>
        <row r="3714">
          <cell r="A3714" t="str">
            <v>Ana Laura Reis Valois Dourado</v>
          </cell>
          <cell r="B3714">
            <v>37011091</v>
          </cell>
          <cell r="C3714">
            <v>20042163</v>
          </cell>
          <cell r="D3714">
            <v>44963</v>
          </cell>
        </row>
        <row r="3715">
          <cell r="A3715" t="str">
            <v>Mauro Lopes Junior</v>
          </cell>
          <cell r="B3715">
            <v>37014793</v>
          </cell>
          <cell r="C3715">
            <v>20060010</v>
          </cell>
          <cell r="D3715">
            <v>45202</v>
          </cell>
        </row>
        <row r="3716">
          <cell r="A3716" t="str">
            <v>Neemias Puquer Lima</v>
          </cell>
          <cell r="B3716">
            <v>37014810</v>
          </cell>
          <cell r="C3716">
            <v>20060074</v>
          </cell>
          <cell r="D3716">
            <v>45202</v>
          </cell>
        </row>
        <row r="3717">
          <cell r="A3717" t="str">
            <v>Vanessa dos Santos</v>
          </cell>
          <cell r="B3717">
            <v>37014893</v>
          </cell>
          <cell r="C3717">
            <v>20060486</v>
          </cell>
          <cell r="D3717">
            <v>45216</v>
          </cell>
        </row>
        <row r="3718">
          <cell r="A3718" t="str">
            <v>Claudinei Vieira Martinez</v>
          </cell>
          <cell r="B3718">
            <v>37014895</v>
          </cell>
          <cell r="C3718">
            <v>20060488</v>
          </cell>
          <cell r="D3718">
            <v>45216</v>
          </cell>
        </row>
        <row r="3719">
          <cell r="A3719" t="str">
            <v>Edmilson Paulino Lima</v>
          </cell>
          <cell r="B3719">
            <v>37014894</v>
          </cell>
          <cell r="C3719">
            <v>20060487</v>
          </cell>
          <cell r="D3719">
            <v>45216</v>
          </cell>
        </row>
        <row r="3720">
          <cell r="A3720" t="str">
            <v>Eder Benfica dos Santos</v>
          </cell>
          <cell r="B3720">
            <v>37014897</v>
          </cell>
          <cell r="C3720">
            <v>20060490</v>
          </cell>
          <cell r="D3720">
            <v>45216</v>
          </cell>
        </row>
        <row r="3721">
          <cell r="A3721" t="str">
            <v>Kleber Ferreira Leite</v>
          </cell>
          <cell r="B3721">
            <v>37014896</v>
          </cell>
          <cell r="C3721">
            <v>20060489</v>
          </cell>
          <cell r="D3721">
            <v>45216</v>
          </cell>
        </row>
        <row r="3722">
          <cell r="A3722" t="str">
            <v>Geyson Jose Santos Mafra</v>
          </cell>
          <cell r="B3722">
            <v>37014931</v>
          </cell>
          <cell r="C3722">
            <v>20060537</v>
          </cell>
          <cell r="D3722">
            <v>45216</v>
          </cell>
        </row>
        <row r="3723">
          <cell r="A3723" t="str">
            <v>Jonatan Teixeira Do Carmo Girata</v>
          </cell>
          <cell r="B3723">
            <v>37007391</v>
          </cell>
          <cell r="C3723">
            <v>20025431</v>
          </cell>
          <cell r="D3723">
            <v>44655</v>
          </cell>
        </row>
        <row r="3724">
          <cell r="A3724" t="str">
            <v>Gabriel Ramos de Lima</v>
          </cell>
          <cell r="B3724">
            <v>37014934</v>
          </cell>
          <cell r="C3724">
            <v>20060540</v>
          </cell>
          <cell r="D3724">
            <v>45216</v>
          </cell>
        </row>
        <row r="3725">
          <cell r="A3725" t="str">
            <v>Gustavo Henrique Machado Soares</v>
          </cell>
          <cell r="B3725">
            <v>37014978</v>
          </cell>
          <cell r="C3725">
            <v>20060699</v>
          </cell>
          <cell r="D3725">
            <v>45216</v>
          </cell>
        </row>
        <row r="3726">
          <cell r="A3726" t="str">
            <v>Dener Cunha de Souza</v>
          </cell>
          <cell r="B3726">
            <v>37014993</v>
          </cell>
          <cell r="C3726">
            <v>20060739</v>
          </cell>
          <cell r="D3726">
            <v>45216</v>
          </cell>
        </row>
        <row r="3727">
          <cell r="A3727" t="str">
            <v>Thalita Maria Santos da Silva</v>
          </cell>
          <cell r="B3727">
            <v>37014996</v>
          </cell>
          <cell r="C3727">
            <v>20060742</v>
          </cell>
          <cell r="D3727">
            <v>45216</v>
          </cell>
        </row>
        <row r="3728">
          <cell r="A3728" t="str">
            <v>Giovane Ribeiro Gomes de Faria</v>
          </cell>
          <cell r="B3728">
            <v>37015074</v>
          </cell>
          <cell r="C3728">
            <v>20061098</v>
          </cell>
          <cell r="D3728">
            <v>45237</v>
          </cell>
        </row>
        <row r="3729">
          <cell r="A3729" t="str">
            <v>Cenilson Ribeiro</v>
          </cell>
          <cell r="B3729">
            <v>37015090</v>
          </cell>
          <cell r="C3729">
            <v>20061264</v>
          </cell>
          <cell r="D3729">
            <v>45237</v>
          </cell>
        </row>
        <row r="3730">
          <cell r="A3730" t="str">
            <v>Cassiano de Souza dos Santos</v>
          </cell>
          <cell r="B3730">
            <v>37015126</v>
          </cell>
          <cell r="C3730">
            <v>20061352</v>
          </cell>
          <cell r="D3730">
            <v>45237</v>
          </cell>
        </row>
        <row r="3731">
          <cell r="A3731" t="str">
            <v>Bruno Rodrigues Gomes</v>
          </cell>
          <cell r="B3731">
            <v>37015129</v>
          </cell>
          <cell r="C3731">
            <v>20061355</v>
          </cell>
          <cell r="D3731">
            <v>45237</v>
          </cell>
        </row>
        <row r="3732">
          <cell r="A3732" t="str">
            <v>Fernando Ribeiro de Matos</v>
          </cell>
          <cell r="B3732">
            <v>37015183</v>
          </cell>
          <cell r="C3732">
            <v>20061499</v>
          </cell>
          <cell r="D3732">
            <v>45237</v>
          </cell>
        </row>
        <row r="3733">
          <cell r="A3733" t="str">
            <v>Raffael Da Silva Amorim</v>
          </cell>
          <cell r="B3733">
            <v>37009314</v>
          </cell>
          <cell r="C3733">
            <v>20033028</v>
          </cell>
          <cell r="D3733">
            <v>44809</v>
          </cell>
        </row>
        <row r="3734">
          <cell r="A3734" t="str">
            <v>Renato Menezes dos Santos</v>
          </cell>
          <cell r="B3734">
            <v>37015275</v>
          </cell>
          <cell r="C3734">
            <v>20061987</v>
          </cell>
          <cell r="D3734">
            <v>45243</v>
          </cell>
        </row>
        <row r="3735">
          <cell r="A3735" t="str">
            <v>Patricia de Souza Alves</v>
          </cell>
          <cell r="B3735">
            <v>37015318</v>
          </cell>
          <cell r="C3735">
            <v>20062206</v>
          </cell>
          <cell r="D3735">
            <v>45243</v>
          </cell>
        </row>
        <row r="3736">
          <cell r="A3736" t="str">
            <v>Igor Jose da Silva Pereira</v>
          </cell>
          <cell r="B3736">
            <v>37015331</v>
          </cell>
          <cell r="C3736">
            <v>20062315</v>
          </cell>
          <cell r="D3736">
            <v>45251</v>
          </cell>
        </row>
        <row r="3737">
          <cell r="A3737" t="str">
            <v>Natalia dos Santos</v>
          </cell>
          <cell r="B3737">
            <v>37015332</v>
          </cell>
          <cell r="C3737">
            <v>20062316</v>
          </cell>
          <cell r="D3737">
            <v>45251</v>
          </cell>
        </row>
        <row r="3738">
          <cell r="A3738" t="str">
            <v>Arieli Fernandes da Silva</v>
          </cell>
          <cell r="B3738">
            <v>37015335</v>
          </cell>
          <cell r="C3738">
            <v>20062319</v>
          </cell>
          <cell r="D3738">
            <v>45251</v>
          </cell>
        </row>
        <row r="3739">
          <cell r="A3739" t="str">
            <v>JOSEANE EVANGELISTA DA SILVA</v>
          </cell>
          <cell r="B3739">
            <v>37015375</v>
          </cell>
          <cell r="C3739">
            <v>20062384</v>
          </cell>
          <cell r="D3739">
            <v>45251</v>
          </cell>
        </row>
        <row r="3740">
          <cell r="A3740" t="str">
            <v>Wenderson Andrade Dos Santos</v>
          </cell>
          <cell r="B3740">
            <v>37015376</v>
          </cell>
          <cell r="C3740">
            <v>20062385</v>
          </cell>
          <cell r="D3740">
            <v>45251</v>
          </cell>
        </row>
        <row r="3741">
          <cell r="A3741" t="str">
            <v>RAFAELA JUSTINO DA SILVA</v>
          </cell>
          <cell r="B3741">
            <v>37015377</v>
          </cell>
          <cell r="C3741">
            <v>20062386</v>
          </cell>
          <cell r="D3741">
            <v>45251</v>
          </cell>
        </row>
        <row r="3742">
          <cell r="A3742" t="str">
            <v>GEISSI KELLI RODRIGUES CASUZA</v>
          </cell>
          <cell r="B3742">
            <v>37015385</v>
          </cell>
          <cell r="C3742">
            <v>20062394</v>
          </cell>
          <cell r="D3742">
            <v>45251</v>
          </cell>
        </row>
        <row r="3743">
          <cell r="A3743" t="str">
            <v>Charles Willian de Souza</v>
          </cell>
          <cell r="B3743">
            <v>37015404</v>
          </cell>
          <cell r="C3743">
            <v>20062434</v>
          </cell>
          <cell r="D3743">
            <v>45251</v>
          </cell>
        </row>
        <row r="3744">
          <cell r="A3744" t="str">
            <v>Helen Cristina Rodrigues</v>
          </cell>
          <cell r="B3744">
            <v>37015446</v>
          </cell>
          <cell r="C3744">
            <v>20062660</v>
          </cell>
          <cell r="D3744">
            <v>45265</v>
          </cell>
        </row>
        <row r="3745">
          <cell r="A3745" t="str">
            <v>Jose Edson da Silva</v>
          </cell>
          <cell r="B3745">
            <v>37015507</v>
          </cell>
          <cell r="C3745">
            <v>20062758</v>
          </cell>
          <cell r="D3745">
            <v>45265</v>
          </cell>
        </row>
        <row r="3746">
          <cell r="A3746" t="str">
            <v>Rodrigo Aires</v>
          </cell>
          <cell r="B3746">
            <v>37007201</v>
          </cell>
          <cell r="C3746">
            <v>20023004</v>
          </cell>
          <cell r="D3746">
            <v>44609</v>
          </cell>
        </row>
        <row r="3747">
          <cell r="A3747" t="str">
            <v>Mariana Victor Da Costa</v>
          </cell>
          <cell r="B3747">
            <v>37008042</v>
          </cell>
          <cell r="C3747">
            <v>20025925</v>
          </cell>
          <cell r="D3747">
            <v>44713</v>
          </cell>
        </row>
        <row r="3748">
          <cell r="A3748" t="str">
            <v>Patricia De Brito Brioschi</v>
          </cell>
          <cell r="B3748">
            <v>37009172</v>
          </cell>
          <cell r="C3748">
            <v>20031935</v>
          </cell>
          <cell r="D3748">
            <v>44795</v>
          </cell>
        </row>
        <row r="3749">
          <cell r="A3749" t="str">
            <v>Rodolfo Dos Santos Fernandes</v>
          </cell>
          <cell r="B3749">
            <v>37009595</v>
          </cell>
          <cell r="C3749">
            <v>20034912</v>
          </cell>
          <cell r="D3749">
            <v>44837</v>
          </cell>
        </row>
        <row r="3750">
          <cell r="A3750" t="str">
            <v>Ana Paula Carvalho De Paiva</v>
          </cell>
          <cell r="B3750">
            <v>37009671</v>
          </cell>
          <cell r="C3750">
            <v>20035879</v>
          </cell>
          <cell r="D3750">
            <v>44851</v>
          </cell>
        </row>
        <row r="3751">
          <cell r="A3751" t="str">
            <v>Carlos Henrique dos Santos Costa</v>
          </cell>
          <cell r="B3751">
            <v>37015510</v>
          </cell>
          <cell r="C3751">
            <v>20062766</v>
          </cell>
          <cell r="D3751">
            <v>45265</v>
          </cell>
        </row>
        <row r="3752">
          <cell r="A3752" t="str">
            <v>Gabriel Madeira da Silva Guanaes</v>
          </cell>
          <cell r="B3752">
            <v>37015535</v>
          </cell>
          <cell r="C3752">
            <v>20062814</v>
          </cell>
          <cell r="D3752">
            <v>45272</v>
          </cell>
        </row>
        <row r="3753">
          <cell r="A3753" t="str">
            <v>Wellington Mendes Maciel</v>
          </cell>
          <cell r="B3753">
            <v>37015537</v>
          </cell>
          <cell r="C3753">
            <v>20062816</v>
          </cell>
          <cell r="D3753">
            <v>45272</v>
          </cell>
        </row>
        <row r="3754">
          <cell r="A3754" t="str">
            <v>CELIO PEREIRA VIANA</v>
          </cell>
          <cell r="B3754">
            <v>37015564</v>
          </cell>
          <cell r="C3754">
            <v>20062950</v>
          </cell>
          <cell r="D3754">
            <v>45272</v>
          </cell>
        </row>
        <row r="3755">
          <cell r="A3755" t="str">
            <v>Jose Roberto Dias</v>
          </cell>
          <cell r="B3755">
            <v>37011636</v>
          </cell>
          <cell r="C3755">
            <v>20044807</v>
          </cell>
          <cell r="D3755">
            <v>44998</v>
          </cell>
        </row>
        <row r="3756">
          <cell r="A3756" t="str">
            <v>Orlando Arcanjo Cerqueira Junior</v>
          </cell>
          <cell r="B3756">
            <v>37010444</v>
          </cell>
          <cell r="C3756">
            <v>20039747</v>
          </cell>
          <cell r="D3756">
            <v>44907</v>
          </cell>
        </row>
        <row r="3757">
          <cell r="A3757" t="str">
            <v>Davi Gilberto Soares De Sousa</v>
          </cell>
          <cell r="B3757">
            <v>37010094</v>
          </cell>
          <cell r="C3757">
            <v>20038161</v>
          </cell>
          <cell r="D3757">
            <v>44881</v>
          </cell>
        </row>
        <row r="3758">
          <cell r="A3758" t="str">
            <v>Jailda da Silva Ribeiro</v>
          </cell>
          <cell r="B3758">
            <v>37010804</v>
          </cell>
          <cell r="C3758">
            <v>20041186</v>
          </cell>
          <cell r="D3758">
            <v>44942</v>
          </cell>
        </row>
        <row r="3759">
          <cell r="A3759" t="str">
            <v>Dyllan Gustavo Coutinho de Souza</v>
          </cell>
          <cell r="B3759">
            <v>37011690</v>
          </cell>
          <cell r="C3759">
            <v>20045214</v>
          </cell>
          <cell r="D3759">
            <v>44998</v>
          </cell>
        </row>
        <row r="3760">
          <cell r="A3760" t="str">
            <v>Marcus Vinicius Trivizoli Pereira</v>
          </cell>
          <cell r="B3760">
            <v>37012051</v>
          </cell>
          <cell r="C3760">
            <v>20047562</v>
          </cell>
          <cell r="D3760">
            <v>45027</v>
          </cell>
        </row>
        <row r="3761">
          <cell r="A3761" t="str">
            <v>Rafael De Azevedo Silva</v>
          </cell>
          <cell r="B3761">
            <v>37007292</v>
          </cell>
          <cell r="C3761">
            <v>20023663</v>
          </cell>
          <cell r="D3761">
            <v>44634</v>
          </cell>
        </row>
        <row r="3762">
          <cell r="A3762" t="str">
            <v>Chrystian Lorencon Alcantar</v>
          </cell>
          <cell r="B3762">
            <v>37011733</v>
          </cell>
          <cell r="C3762">
            <v>20045282</v>
          </cell>
          <cell r="D3762">
            <v>44998</v>
          </cell>
        </row>
        <row r="3763">
          <cell r="A3763" t="str">
            <v>Alaercio Rosa Martins</v>
          </cell>
          <cell r="B3763">
            <v>37012077</v>
          </cell>
          <cell r="C3763">
            <v>20047591</v>
          </cell>
          <cell r="D3763">
            <v>45027</v>
          </cell>
        </row>
        <row r="3764">
          <cell r="A3764" t="str">
            <v>Andre Felipe dos Santos Duran</v>
          </cell>
          <cell r="B3764">
            <v>37011972</v>
          </cell>
          <cell r="C3764">
            <v>20046990</v>
          </cell>
          <cell r="D3764">
            <v>45019</v>
          </cell>
        </row>
        <row r="3765">
          <cell r="A3765" t="str">
            <v>Matheus Cunha Dias</v>
          </cell>
          <cell r="B3765">
            <v>37009089</v>
          </cell>
          <cell r="C3765">
            <v>20031513</v>
          </cell>
          <cell r="D3765">
            <v>44788</v>
          </cell>
        </row>
        <row r="3766">
          <cell r="A3766" t="str">
            <v>ANA CLARA SOUSA DA SILVA</v>
          </cell>
          <cell r="B3766">
            <v>37015776</v>
          </cell>
          <cell r="C3766">
            <v>20063488</v>
          </cell>
          <cell r="D3766">
            <v>45300</v>
          </cell>
        </row>
        <row r="3767">
          <cell r="A3767" t="str">
            <v>Marilia Soares Moraes</v>
          </cell>
          <cell r="B3767">
            <v>37015780</v>
          </cell>
          <cell r="C3767">
            <v>20063492</v>
          </cell>
          <cell r="D3767">
            <v>45306</v>
          </cell>
        </row>
        <row r="3768">
          <cell r="A3768" t="str">
            <v>Andre Luiz Magaton Junior</v>
          </cell>
          <cell r="B3768">
            <v>37015756</v>
          </cell>
          <cell r="C3768">
            <v>20063441</v>
          </cell>
          <cell r="D3768">
            <v>45306</v>
          </cell>
        </row>
        <row r="3769">
          <cell r="A3769" t="str">
            <v>Erica Fabiana Gazola</v>
          </cell>
          <cell r="B3769">
            <v>37015819</v>
          </cell>
          <cell r="C3769">
            <v>20063533</v>
          </cell>
          <cell r="D3769">
            <v>45300</v>
          </cell>
        </row>
        <row r="3770">
          <cell r="A3770" t="str">
            <v>Tais Da Silva De Menezes</v>
          </cell>
          <cell r="B3770">
            <v>37015821</v>
          </cell>
          <cell r="C3770">
            <v>20063535</v>
          </cell>
          <cell r="D3770">
            <v>45300</v>
          </cell>
        </row>
        <row r="3771">
          <cell r="A3771" t="str">
            <v>Mylena Monteiro De Barros</v>
          </cell>
          <cell r="B3771">
            <v>37015885</v>
          </cell>
          <cell r="C3771">
            <v>20063563</v>
          </cell>
          <cell r="D3771">
            <v>45306</v>
          </cell>
        </row>
        <row r="3772">
          <cell r="A3772" t="str">
            <v>Marina De Ferran Tessari</v>
          </cell>
          <cell r="B3772">
            <v>37015894</v>
          </cell>
          <cell r="C3772">
            <v>20063572</v>
          </cell>
          <cell r="D3772">
            <v>45306</v>
          </cell>
        </row>
        <row r="3773">
          <cell r="A3773" t="str">
            <v>Gabriele Goncales Felippe</v>
          </cell>
          <cell r="B3773">
            <v>37015897</v>
          </cell>
          <cell r="C3773">
            <v>20063575</v>
          </cell>
          <cell r="D3773">
            <v>45306</v>
          </cell>
        </row>
        <row r="3774">
          <cell r="A3774" t="str">
            <v>Dayane Rafaela Rossignolo</v>
          </cell>
          <cell r="B3774">
            <v>37015952</v>
          </cell>
          <cell r="C3774">
            <v>20063678</v>
          </cell>
          <cell r="D3774">
            <v>45300</v>
          </cell>
        </row>
        <row r="3775">
          <cell r="A3775" t="str">
            <v>Valdiane Nunes dos Santos</v>
          </cell>
          <cell r="B3775">
            <v>37015997</v>
          </cell>
          <cell r="C3775">
            <v>20063690</v>
          </cell>
          <cell r="D3775">
            <v>45300</v>
          </cell>
        </row>
        <row r="3776">
          <cell r="A3776" t="str">
            <v>Gabriel Grauna da Silva</v>
          </cell>
          <cell r="B3776">
            <v>37016038</v>
          </cell>
          <cell r="C3776">
            <v>20063719</v>
          </cell>
          <cell r="D3776">
            <v>45300</v>
          </cell>
        </row>
        <row r="3777">
          <cell r="A3777" t="str">
            <v>EDJANE DA SILVA BEZERRA</v>
          </cell>
          <cell r="B3777">
            <v>37016042</v>
          </cell>
          <cell r="C3777">
            <v>20063723</v>
          </cell>
          <cell r="D3777">
            <v>45300</v>
          </cell>
        </row>
        <row r="3778">
          <cell r="A3778" t="str">
            <v>WELLINGTON ALVES DA SILVA</v>
          </cell>
          <cell r="B3778">
            <v>37016046</v>
          </cell>
          <cell r="C3778">
            <v>20063727</v>
          </cell>
          <cell r="D3778">
            <v>45300</v>
          </cell>
        </row>
        <row r="3779">
          <cell r="A3779" t="str">
            <v>Antonio Barbosa da Silva</v>
          </cell>
          <cell r="B3779">
            <v>37016113</v>
          </cell>
          <cell r="C3779">
            <v>20063731</v>
          </cell>
          <cell r="D3779">
            <v>45300</v>
          </cell>
        </row>
        <row r="3780">
          <cell r="A3780" t="str">
            <v>DANIEL SANTOS DE ARAUJO</v>
          </cell>
          <cell r="B3780">
            <v>37016065</v>
          </cell>
          <cell r="C3780">
            <v>20063746</v>
          </cell>
          <cell r="D3780">
            <v>45300</v>
          </cell>
        </row>
        <row r="3781">
          <cell r="A3781" t="str">
            <v>Eguinaldo de Souza Lopes</v>
          </cell>
          <cell r="B3781">
            <v>37016067</v>
          </cell>
          <cell r="C3781">
            <v>20063748</v>
          </cell>
          <cell r="D3781">
            <v>45300</v>
          </cell>
        </row>
        <row r="3782">
          <cell r="A3782" t="str">
            <v>Rosimar Dos Santos Delfina</v>
          </cell>
          <cell r="B3782">
            <v>37016072</v>
          </cell>
          <cell r="C3782">
            <v>20063753</v>
          </cell>
          <cell r="D3782">
            <v>45300</v>
          </cell>
        </row>
        <row r="3783">
          <cell r="A3783" t="str">
            <v>Felipe Steiner</v>
          </cell>
          <cell r="B3783">
            <v>37012983</v>
          </cell>
          <cell r="C3783">
            <v>20052185</v>
          </cell>
          <cell r="D3783">
            <v>45083</v>
          </cell>
        </row>
        <row r="3784">
          <cell r="A3784" t="str">
            <v>Gilsimar Marques de Souza</v>
          </cell>
          <cell r="B3784">
            <v>37016260</v>
          </cell>
          <cell r="C3784">
            <v>20063942</v>
          </cell>
          <cell r="D3784">
            <v>45314</v>
          </cell>
        </row>
        <row r="3785">
          <cell r="A3785" t="str">
            <v>Nelson Raphael Dias dos Santos</v>
          </cell>
          <cell r="B3785">
            <v>37016300</v>
          </cell>
          <cell r="C3785">
            <v>20063973</v>
          </cell>
          <cell r="D3785">
            <v>45314</v>
          </cell>
        </row>
        <row r="3786">
          <cell r="A3786" t="str">
            <v>Aparecido Samuel Lopes</v>
          </cell>
          <cell r="B3786">
            <v>37016338</v>
          </cell>
          <cell r="C3786">
            <v>20064042</v>
          </cell>
          <cell r="D3786">
            <v>45307</v>
          </cell>
        </row>
        <row r="3787">
          <cell r="A3787" t="str">
            <v>Wellison Silva Dos Santos</v>
          </cell>
          <cell r="B3787">
            <v>37009715</v>
          </cell>
          <cell r="C3787">
            <v>20035888</v>
          </cell>
          <cell r="D3787">
            <v>44851</v>
          </cell>
        </row>
        <row r="3788">
          <cell r="A3788" t="str">
            <v>Maria Rita Mendes do Nascimento</v>
          </cell>
          <cell r="B3788">
            <v>37016456</v>
          </cell>
          <cell r="C3788">
            <v>20064329</v>
          </cell>
          <cell r="D3788">
            <v>45328</v>
          </cell>
        </row>
        <row r="3789">
          <cell r="A3789" t="str">
            <v>Pedro Teixeira Leal</v>
          </cell>
          <cell r="B3789">
            <v>37007984</v>
          </cell>
          <cell r="C3789">
            <v>20026160</v>
          </cell>
          <cell r="D3789">
            <v>44713</v>
          </cell>
        </row>
        <row r="3790">
          <cell r="A3790" t="str">
            <v>Alejandro Gomes Souza</v>
          </cell>
          <cell r="B3790">
            <v>37016471</v>
          </cell>
          <cell r="C3790">
            <v>20064453</v>
          </cell>
          <cell r="D3790">
            <v>45328</v>
          </cell>
        </row>
        <row r="3791">
          <cell r="A3791" t="str">
            <v>Sebastiana Alves</v>
          </cell>
          <cell r="B3791">
            <v>37016477</v>
          </cell>
          <cell r="C3791">
            <v>20064459</v>
          </cell>
          <cell r="D3791">
            <v>45328</v>
          </cell>
        </row>
        <row r="3792">
          <cell r="A3792" t="str">
            <v>Samuel Pereira dos Santos</v>
          </cell>
          <cell r="B3792">
            <v>37016480</v>
          </cell>
          <cell r="C3792">
            <v>20064462</v>
          </cell>
          <cell r="D3792">
            <v>45328</v>
          </cell>
        </row>
        <row r="3793">
          <cell r="A3793" t="str">
            <v>Josenildo da Silva</v>
          </cell>
          <cell r="B3793">
            <v>37016488</v>
          </cell>
          <cell r="C3793">
            <v>20064470</v>
          </cell>
          <cell r="D3793">
            <v>45328</v>
          </cell>
        </row>
        <row r="3794">
          <cell r="A3794" t="str">
            <v>Danielly Valeria de Oliveira</v>
          </cell>
          <cell r="B3794">
            <v>37016507</v>
          </cell>
          <cell r="C3794">
            <v>20064489</v>
          </cell>
          <cell r="D3794">
            <v>45328</v>
          </cell>
        </row>
        <row r="3795">
          <cell r="A3795" t="str">
            <v>JUAREZ CARDOSO ARAGAO</v>
          </cell>
          <cell r="B3795">
            <v>37016512</v>
          </cell>
          <cell r="C3795">
            <v>20064494</v>
          </cell>
          <cell r="D3795">
            <v>45328</v>
          </cell>
        </row>
        <row r="3796">
          <cell r="A3796" t="str">
            <v>Eliane Souza dos Santos</v>
          </cell>
          <cell r="B3796">
            <v>37016518</v>
          </cell>
          <cell r="C3796">
            <v>20064500</v>
          </cell>
          <cell r="D3796">
            <v>45328</v>
          </cell>
        </row>
        <row r="3797">
          <cell r="A3797" t="str">
            <v>Raylson Rocha do Nascimento</v>
          </cell>
          <cell r="B3797">
            <v>37016541</v>
          </cell>
          <cell r="C3797">
            <v>20064535</v>
          </cell>
          <cell r="D3797">
            <v>45328</v>
          </cell>
        </row>
        <row r="3798">
          <cell r="A3798" t="str">
            <v>Fabio Firmino da Silva</v>
          </cell>
          <cell r="B3798">
            <v>37012993</v>
          </cell>
          <cell r="C3798">
            <v>20052230</v>
          </cell>
          <cell r="D3798">
            <v>45083</v>
          </cell>
        </row>
        <row r="3799">
          <cell r="A3799" t="str">
            <v>Marcos Vinicius Sousa de Jesus</v>
          </cell>
          <cell r="B3799">
            <v>37016600</v>
          </cell>
          <cell r="C3799">
            <v>20064641</v>
          </cell>
          <cell r="D3799">
            <v>45328</v>
          </cell>
        </row>
        <row r="3800">
          <cell r="A3800" t="str">
            <v>Maria Francisca Soares Da Silva Araujo</v>
          </cell>
          <cell r="B3800">
            <v>37016601</v>
          </cell>
          <cell r="C3800">
            <v>20064642</v>
          </cell>
          <cell r="D3800">
            <v>45328</v>
          </cell>
        </row>
        <row r="3801">
          <cell r="A3801" t="str">
            <v>Abinaan Maria da Silva</v>
          </cell>
          <cell r="B3801">
            <v>37016594</v>
          </cell>
          <cell r="C3801">
            <v>20064635</v>
          </cell>
          <cell r="D3801">
            <v>45328</v>
          </cell>
        </row>
        <row r="3802">
          <cell r="A3802" t="str">
            <v>Welton Gabriel da Silva Nascimento Dias</v>
          </cell>
          <cell r="B3802">
            <v>37016597</v>
          </cell>
          <cell r="C3802">
            <v>20064638</v>
          </cell>
          <cell r="D3802">
            <v>45328</v>
          </cell>
        </row>
        <row r="3803">
          <cell r="A3803" t="str">
            <v>Franciene Aragão da Costa</v>
          </cell>
          <cell r="B3803">
            <v>37016598</v>
          </cell>
          <cell r="C3803">
            <v>20064639</v>
          </cell>
          <cell r="D3803">
            <v>45328</v>
          </cell>
        </row>
        <row r="3804">
          <cell r="A3804" t="str">
            <v>Ailton Manoel Ferreira do Nascimento</v>
          </cell>
          <cell r="B3804">
            <v>37010265</v>
          </cell>
          <cell r="C3804">
            <v>20038994</v>
          </cell>
          <cell r="D3804">
            <v>44900</v>
          </cell>
        </row>
        <row r="3805">
          <cell r="A3805" t="str">
            <v>Josenildo Brito Guimaraes</v>
          </cell>
          <cell r="B3805">
            <v>37016615</v>
          </cell>
          <cell r="C3805">
            <v>20064710</v>
          </cell>
          <cell r="D3805">
            <v>45342</v>
          </cell>
        </row>
        <row r="3806">
          <cell r="A3806" t="str">
            <v>Willian Sanches Cunha</v>
          </cell>
          <cell r="B3806">
            <v>37016621</v>
          </cell>
          <cell r="C3806">
            <v>20064716</v>
          </cell>
          <cell r="D3806">
            <v>45342</v>
          </cell>
        </row>
        <row r="3807">
          <cell r="A3807" t="str">
            <v>Roni Pedro de Souza</v>
          </cell>
          <cell r="B3807">
            <v>37016614</v>
          </cell>
          <cell r="C3807">
            <v>20064709</v>
          </cell>
          <cell r="D3807">
            <v>45342</v>
          </cell>
        </row>
        <row r="3808">
          <cell r="A3808" t="str">
            <v>Francisco dos Santos Coutinho</v>
          </cell>
          <cell r="B3808">
            <v>37016616</v>
          </cell>
          <cell r="C3808">
            <v>20064711</v>
          </cell>
          <cell r="D3808">
            <v>45342</v>
          </cell>
        </row>
        <row r="3809">
          <cell r="A3809" t="str">
            <v>Maria Helena Montesso Durante</v>
          </cell>
          <cell r="B3809">
            <v>37016677</v>
          </cell>
          <cell r="C3809">
            <v>20064841</v>
          </cell>
          <cell r="D3809">
            <v>45342</v>
          </cell>
        </row>
        <row r="3810">
          <cell r="A3810" t="str">
            <v>Nicolas Santos</v>
          </cell>
          <cell r="B3810">
            <v>37016683</v>
          </cell>
          <cell r="C3810">
            <v>20064847</v>
          </cell>
          <cell r="D3810">
            <v>45342</v>
          </cell>
        </row>
        <row r="3811">
          <cell r="A3811" t="str">
            <v>Marcia de Souza Marques</v>
          </cell>
          <cell r="B3811">
            <v>37016682</v>
          </cell>
          <cell r="C3811">
            <v>20064846</v>
          </cell>
          <cell r="D3811">
            <v>45342</v>
          </cell>
        </row>
        <row r="3812">
          <cell r="A3812" t="str">
            <v>Maria Eduarda Rosa Faria</v>
          </cell>
          <cell r="B3812">
            <v>37016685</v>
          </cell>
          <cell r="C3812">
            <v>20064849</v>
          </cell>
          <cell r="D3812">
            <v>45342</v>
          </cell>
        </row>
        <row r="3813">
          <cell r="A3813" t="str">
            <v>Claudineia Gomes dos Santos</v>
          </cell>
          <cell r="B3813">
            <v>37016687</v>
          </cell>
          <cell r="C3813">
            <v>20064851</v>
          </cell>
          <cell r="D3813">
            <v>45342</v>
          </cell>
        </row>
        <row r="3814">
          <cell r="A3814" t="str">
            <v>João Paulo do Nascimento</v>
          </cell>
          <cell r="B3814">
            <v>37016689</v>
          </cell>
          <cell r="C3814">
            <v>20064853</v>
          </cell>
          <cell r="D3814">
            <v>45342</v>
          </cell>
        </row>
        <row r="3815">
          <cell r="A3815" t="str">
            <v>Marcela Santos de Almeida</v>
          </cell>
          <cell r="B3815">
            <v>37016693</v>
          </cell>
          <cell r="C3815">
            <v>20064857</v>
          </cell>
          <cell r="D3815">
            <v>45342</v>
          </cell>
        </row>
        <row r="3816">
          <cell r="A3816" t="str">
            <v>Karina de Almeida Souza</v>
          </cell>
          <cell r="B3816">
            <v>37016696</v>
          </cell>
          <cell r="C3816">
            <v>20064860</v>
          </cell>
          <cell r="D3816">
            <v>45342</v>
          </cell>
        </row>
        <row r="3817">
          <cell r="A3817" t="str">
            <v>Rosa Maria de Lima</v>
          </cell>
          <cell r="B3817">
            <v>37016697</v>
          </cell>
          <cell r="C3817">
            <v>20064876</v>
          </cell>
          <cell r="D3817">
            <v>45356</v>
          </cell>
        </row>
        <row r="3818">
          <cell r="A3818" t="str">
            <v>Paulo Izidoro Carvalho de Souza</v>
          </cell>
          <cell r="B3818">
            <v>37016701</v>
          </cell>
          <cell r="C3818">
            <v>20064895</v>
          </cell>
          <cell r="D3818">
            <v>45356</v>
          </cell>
        </row>
        <row r="3819">
          <cell r="A3819" t="str">
            <v>Emilly Vallesca Carvalho Ferreira</v>
          </cell>
          <cell r="B3819">
            <v>37016709</v>
          </cell>
          <cell r="C3819">
            <v>20064903</v>
          </cell>
          <cell r="D3819">
            <v>45356</v>
          </cell>
        </row>
        <row r="3820">
          <cell r="A3820" t="str">
            <v>Adriano Rodrigues de Souza</v>
          </cell>
          <cell r="B3820">
            <v>37016713</v>
          </cell>
          <cell r="C3820">
            <v>20064907</v>
          </cell>
          <cell r="D3820">
            <v>45356</v>
          </cell>
        </row>
        <row r="3821">
          <cell r="A3821" t="str">
            <v>Noessio Couto dos Santos</v>
          </cell>
          <cell r="B3821">
            <v>37016720</v>
          </cell>
          <cell r="C3821">
            <v>20064914</v>
          </cell>
          <cell r="D3821">
            <v>45356</v>
          </cell>
        </row>
        <row r="3822">
          <cell r="A3822" t="str">
            <v>Leonardo da Silva Ferreira</v>
          </cell>
          <cell r="B3822">
            <v>37016721</v>
          </cell>
          <cell r="C3822">
            <v>20064915</v>
          </cell>
          <cell r="D3822">
            <v>45356</v>
          </cell>
        </row>
        <row r="3823">
          <cell r="A3823" t="str">
            <v>Rodrigo Oliveira Lima da Silva</v>
          </cell>
          <cell r="B3823">
            <v>37016726</v>
          </cell>
          <cell r="C3823">
            <v>20064920</v>
          </cell>
          <cell r="D3823">
            <v>45356</v>
          </cell>
        </row>
        <row r="3824">
          <cell r="A3824" t="str">
            <v>Marcelo de Almeida</v>
          </cell>
          <cell r="B3824">
            <v>37016734</v>
          </cell>
          <cell r="C3824">
            <v>20065180</v>
          </cell>
          <cell r="D3824">
            <v>45356</v>
          </cell>
        </row>
        <row r="3825">
          <cell r="A3825" t="str">
            <v>Jonathan Ribeiro dos Santos</v>
          </cell>
          <cell r="B3825">
            <v>37016742</v>
          </cell>
          <cell r="C3825">
            <v>20065188</v>
          </cell>
          <cell r="D3825">
            <v>45356</v>
          </cell>
        </row>
        <row r="3826">
          <cell r="A3826" t="str">
            <v>Felipe Ramos Feitosa</v>
          </cell>
          <cell r="B3826">
            <v>37016731</v>
          </cell>
          <cell r="C3826">
            <v>20039020</v>
          </cell>
          <cell r="D3826">
            <v>45356</v>
          </cell>
        </row>
        <row r="3827">
          <cell r="A3827" t="str">
            <v>Beatriz Teixeira Dos Santos</v>
          </cell>
          <cell r="B3827">
            <v>37016748</v>
          </cell>
          <cell r="C3827">
            <v>20065194</v>
          </cell>
          <cell r="D3827">
            <v>45356</v>
          </cell>
        </row>
        <row r="3828">
          <cell r="A3828" t="str">
            <v>Thailysson Longuinho Freitas Silva</v>
          </cell>
          <cell r="B3828">
            <v>37016814</v>
          </cell>
          <cell r="C3828">
            <v>20065313</v>
          </cell>
          <cell r="D3828">
            <v>45356</v>
          </cell>
        </row>
        <row r="3829">
          <cell r="A3829" t="str">
            <v>Gabriel Gotardi Alves</v>
          </cell>
          <cell r="B3829">
            <v>37016820</v>
          </cell>
          <cell r="C3829">
            <v>20065319</v>
          </cell>
          <cell r="D3829">
            <v>45356</v>
          </cell>
        </row>
        <row r="3830">
          <cell r="A3830" t="str">
            <v>Yasmin Sens Fadel Gobbo</v>
          </cell>
          <cell r="B3830">
            <v>37016825</v>
          </cell>
          <cell r="C3830">
            <v>20065374</v>
          </cell>
          <cell r="D3830">
            <v>45363</v>
          </cell>
        </row>
        <row r="3831">
          <cell r="A3831" t="str">
            <v>Milton Gomes</v>
          </cell>
          <cell r="B3831">
            <v>37016863</v>
          </cell>
          <cell r="C3831">
            <v>20065442</v>
          </cell>
          <cell r="D3831">
            <v>45363</v>
          </cell>
        </row>
        <row r="3832">
          <cell r="A3832" t="str">
            <v>Andreia Siabra De Souza</v>
          </cell>
          <cell r="B3832">
            <v>37016872</v>
          </cell>
          <cell r="C3832">
            <v>20065468</v>
          </cell>
          <cell r="D3832">
            <v>45363</v>
          </cell>
        </row>
        <row r="3833">
          <cell r="A3833" t="str">
            <v>Taislei Roger Araujo Cruz Rodrigues</v>
          </cell>
          <cell r="B3833">
            <v>37016874</v>
          </cell>
          <cell r="C3833">
            <v>20065470</v>
          </cell>
          <cell r="D3833">
            <v>45363</v>
          </cell>
        </row>
        <row r="3834">
          <cell r="A3834" t="str">
            <v>Natalia De Souza Tucunduva</v>
          </cell>
          <cell r="B3834">
            <v>37016888</v>
          </cell>
          <cell r="C3834">
            <v>20065484</v>
          </cell>
          <cell r="D3834">
            <v>45363</v>
          </cell>
        </row>
        <row r="3835">
          <cell r="A3835" t="str">
            <v>Jefferson Rodrigues Ferreira</v>
          </cell>
          <cell r="B3835">
            <v>37016933</v>
          </cell>
          <cell r="C3835">
            <v>20065884</v>
          </cell>
          <cell r="D3835">
            <v>45370</v>
          </cell>
        </row>
        <row r="3836">
          <cell r="A3836" t="str">
            <v>Flavia Andrade Lima</v>
          </cell>
          <cell r="B3836">
            <v>37016951</v>
          </cell>
          <cell r="C3836">
            <v>20065902</v>
          </cell>
          <cell r="D3836">
            <v>45370</v>
          </cell>
        </row>
        <row r="3837">
          <cell r="A3837" t="str">
            <v>Nilton Cezar Batista da Cunha</v>
          </cell>
          <cell r="B3837">
            <v>37016964</v>
          </cell>
          <cell r="C3837">
            <v>20065915</v>
          </cell>
          <cell r="D3837">
            <v>45384</v>
          </cell>
        </row>
        <row r="3838">
          <cell r="A3838" t="str">
            <v>Euclides Marreiros Pereira</v>
          </cell>
          <cell r="B3838">
            <v>37016965</v>
          </cell>
          <cell r="C3838">
            <v>20065916</v>
          </cell>
          <cell r="D3838">
            <v>45370</v>
          </cell>
        </row>
        <row r="3839">
          <cell r="A3839" t="str">
            <v>Ranaly Aragao da Costa</v>
          </cell>
          <cell r="B3839">
            <v>37016988</v>
          </cell>
          <cell r="C3839">
            <v>20065939</v>
          </cell>
          <cell r="D3839">
            <v>45370</v>
          </cell>
        </row>
        <row r="3840">
          <cell r="A3840" t="str">
            <v>Luciana Tavares de Lira Fonseca</v>
          </cell>
          <cell r="B3840">
            <v>37017016</v>
          </cell>
          <cell r="C3840">
            <v>20065967</v>
          </cell>
          <cell r="D3840">
            <v>45370</v>
          </cell>
        </row>
        <row r="3841">
          <cell r="A3841" t="str">
            <v>Ricardo Ferreira de Azevedo</v>
          </cell>
          <cell r="B3841">
            <v>37009952</v>
          </cell>
          <cell r="C3841">
            <v>20037470</v>
          </cell>
          <cell r="D3841">
            <v>44872</v>
          </cell>
        </row>
        <row r="3842">
          <cell r="A3842" t="str">
            <v>Emanuel Lima Matos</v>
          </cell>
          <cell r="B3842">
            <v>37010528</v>
          </cell>
          <cell r="C3842">
            <v>20040265</v>
          </cell>
          <cell r="D3842">
            <v>44914</v>
          </cell>
        </row>
        <row r="3843">
          <cell r="A3843" t="str">
            <v>Jose Uilton da Silva Pereira Neto</v>
          </cell>
          <cell r="B3843">
            <v>37013816</v>
          </cell>
          <cell r="C3843">
            <v>20056502</v>
          </cell>
          <cell r="D3843">
            <v>45146</v>
          </cell>
        </row>
        <row r="3844">
          <cell r="A3844" t="str">
            <v>Antonio Carlos Almeida dos Santos</v>
          </cell>
          <cell r="B3844">
            <v>37017050</v>
          </cell>
          <cell r="C3844">
            <v>20066793</v>
          </cell>
          <cell r="D3844">
            <v>45384</v>
          </cell>
        </row>
        <row r="3845">
          <cell r="A3845" t="str">
            <v>Leonardo Nascimento Silva</v>
          </cell>
          <cell r="B3845">
            <v>37017051</v>
          </cell>
          <cell r="C3845">
            <v>20066794</v>
          </cell>
          <cell r="D3845">
            <v>45384</v>
          </cell>
        </row>
        <row r="3846">
          <cell r="A3846" t="str">
            <v>Tairone dos Reis Felix</v>
          </cell>
          <cell r="B3846">
            <v>37017054</v>
          </cell>
          <cell r="C3846">
            <v>20066797</v>
          </cell>
          <cell r="D3846">
            <v>45384</v>
          </cell>
        </row>
        <row r="3847">
          <cell r="A3847" t="str">
            <v>Wagner Luiz Roberto</v>
          </cell>
          <cell r="B3847">
            <v>37010449</v>
          </cell>
          <cell r="C3847">
            <v>20039956</v>
          </cell>
          <cell r="D3847">
            <v>44907</v>
          </cell>
        </row>
        <row r="3848">
          <cell r="A3848" t="str">
            <v>Bruno Luis Dias Vieira Gomes</v>
          </cell>
          <cell r="B3848">
            <v>37017056</v>
          </cell>
          <cell r="C3848">
            <v>20066824</v>
          </cell>
          <cell r="D3848">
            <v>45384</v>
          </cell>
        </row>
        <row r="3849">
          <cell r="A3849" t="str">
            <v>Weverton Magno Menezes Campos</v>
          </cell>
          <cell r="B3849">
            <v>37017061</v>
          </cell>
          <cell r="C3849">
            <v>20066829</v>
          </cell>
          <cell r="D3849">
            <v>45384</v>
          </cell>
        </row>
        <row r="3850">
          <cell r="A3850" t="str">
            <v>Luiza Santos do Nascimento</v>
          </cell>
          <cell r="B3850">
            <v>37017063</v>
          </cell>
          <cell r="C3850">
            <v>20066831</v>
          </cell>
          <cell r="D3850">
            <v>45384</v>
          </cell>
        </row>
        <row r="3851">
          <cell r="A3851" t="str">
            <v>Lucas do Nascimento</v>
          </cell>
          <cell r="B3851">
            <v>37017059</v>
          </cell>
          <cell r="C3851">
            <v>20066827</v>
          </cell>
          <cell r="D3851">
            <v>45384</v>
          </cell>
        </row>
        <row r="3852">
          <cell r="A3852" t="str">
            <v>Joao Paulo Machado Da Cruz</v>
          </cell>
          <cell r="B3852">
            <v>37017055</v>
          </cell>
          <cell r="C3852">
            <v>15008487</v>
          </cell>
          <cell r="D3852">
            <v>45384</v>
          </cell>
        </row>
        <row r="3853">
          <cell r="A3853" t="str">
            <v>Marcone do Nascimento Chagas</v>
          </cell>
          <cell r="B3853">
            <v>37017065</v>
          </cell>
          <cell r="C3853">
            <v>20067059</v>
          </cell>
          <cell r="D3853">
            <v>45384</v>
          </cell>
        </row>
        <row r="3854">
          <cell r="A3854" t="str">
            <v>Carlos Magno Franca Goncalves</v>
          </cell>
          <cell r="B3854">
            <v>37017077</v>
          </cell>
          <cell r="C3854">
            <v>20067071</v>
          </cell>
          <cell r="D3854">
            <v>45384</v>
          </cell>
        </row>
        <row r="3855">
          <cell r="A3855" t="str">
            <v>Manoel Vinicius Souza do Nascimento</v>
          </cell>
          <cell r="B3855">
            <v>37017066</v>
          </cell>
          <cell r="C3855">
            <v>20067060</v>
          </cell>
          <cell r="D3855">
            <v>45384</v>
          </cell>
        </row>
        <row r="3856">
          <cell r="A3856" t="str">
            <v>Adilson de Jesus Santana</v>
          </cell>
          <cell r="B3856">
            <v>37017072</v>
          </cell>
          <cell r="C3856">
            <v>20067066</v>
          </cell>
          <cell r="D3856">
            <v>45384</v>
          </cell>
        </row>
        <row r="3857">
          <cell r="A3857" t="str">
            <v>Anailson Jose da Conceicao</v>
          </cell>
          <cell r="B3857">
            <v>37017081</v>
          </cell>
          <cell r="C3857">
            <v>20067075</v>
          </cell>
          <cell r="D3857">
            <v>45384</v>
          </cell>
        </row>
        <row r="3858">
          <cell r="A3858" t="str">
            <v>Jaiane Santos Moreira</v>
          </cell>
          <cell r="B3858">
            <v>37017087</v>
          </cell>
          <cell r="C3858">
            <v>20067081</v>
          </cell>
          <cell r="D3858">
            <v>45384</v>
          </cell>
        </row>
        <row r="3859">
          <cell r="A3859" t="str">
            <v>Elder dos Santos</v>
          </cell>
          <cell r="B3859">
            <v>37017082</v>
          </cell>
          <cell r="C3859">
            <v>20067076</v>
          </cell>
          <cell r="D3859">
            <v>45384</v>
          </cell>
        </row>
        <row r="3860">
          <cell r="A3860" t="str">
            <v>Jadson Lima Pinto</v>
          </cell>
          <cell r="B3860">
            <v>37017083</v>
          </cell>
          <cell r="C3860">
            <v>20067077</v>
          </cell>
          <cell r="D3860">
            <v>45384</v>
          </cell>
        </row>
        <row r="3861">
          <cell r="A3861" t="str">
            <v>Pedro Barbosa Da Silva Filho</v>
          </cell>
          <cell r="B3861">
            <v>37017095</v>
          </cell>
          <cell r="C3861">
            <v>20067409</v>
          </cell>
          <cell r="D3861">
            <v>45384</v>
          </cell>
        </row>
        <row r="3862">
          <cell r="A3862" t="str">
            <v>Alisson Yuri Dias Macena</v>
          </cell>
          <cell r="B3862">
            <v>37017105</v>
          </cell>
          <cell r="C3862">
            <v>20067419</v>
          </cell>
          <cell r="D3862">
            <v>45384</v>
          </cell>
        </row>
        <row r="3863">
          <cell r="A3863" t="str">
            <v>Luan Melo Ribeiro</v>
          </cell>
          <cell r="B3863">
            <v>37017099</v>
          </cell>
          <cell r="C3863">
            <v>20067413</v>
          </cell>
          <cell r="D3863">
            <v>45384</v>
          </cell>
        </row>
        <row r="3864">
          <cell r="A3864" t="str">
            <v>Jeilton Bastos Pires Filho</v>
          </cell>
          <cell r="B3864">
            <v>37017107</v>
          </cell>
          <cell r="C3864">
            <v>20067421</v>
          </cell>
          <cell r="D3864">
            <v>45384</v>
          </cell>
        </row>
        <row r="3865">
          <cell r="A3865" t="str">
            <v>Ezequiel Oviedo Nunes</v>
          </cell>
          <cell r="B3865">
            <v>37017109</v>
          </cell>
          <cell r="C3865">
            <v>20067423</v>
          </cell>
          <cell r="D3865">
            <v>45384</v>
          </cell>
        </row>
        <row r="3866">
          <cell r="A3866" t="str">
            <v>Jose Leite de Noronha Neto</v>
          </cell>
          <cell r="B3866">
            <v>37017110</v>
          </cell>
          <cell r="C3866">
            <v>20067424</v>
          </cell>
          <cell r="D3866">
            <v>45384</v>
          </cell>
        </row>
        <row r="3867">
          <cell r="A3867" t="str">
            <v>Manoel Machado dos Santos</v>
          </cell>
          <cell r="B3867">
            <v>37017112</v>
          </cell>
          <cell r="C3867">
            <v>20067426</v>
          </cell>
          <cell r="D3867">
            <v>45384</v>
          </cell>
        </row>
        <row r="3868">
          <cell r="A3868" t="str">
            <v>Michel Santos Ferreira</v>
          </cell>
          <cell r="B3868">
            <v>37017115</v>
          </cell>
          <cell r="C3868">
            <v>20067429</v>
          </cell>
          <cell r="D3868">
            <v>45384</v>
          </cell>
        </row>
        <row r="3869">
          <cell r="A3869" t="str">
            <v>Wesley da Silva Moura</v>
          </cell>
          <cell r="B3869">
            <v>37017116</v>
          </cell>
          <cell r="C3869">
            <v>20067430</v>
          </cell>
          <cell r="D3869">
            <v>45384</v>
          </cell>
        </row>
        <row r="3870">
          <cell r="A3870" t="str">
            <v>Davi Apolinario Barreto</v>
          </cell>
          <cell r="B3870">
            <v>37017122</v>
          </cell>
          <cell r="C3870">
            <v>20067436</v>
          </cell>
          <cell r="D3870">
            <v>45384</v>
          </cell>
        </row>
        <row r="3871">
          <cell r="A3871" t="str">
            <v>Juarez Ferreira Dos Santos</v>
          </cell>
          <cell r="B3871">
            <v>37017125</v>
          </cell>
          <cell r="C3871">
            <v>15007065</v>
          </cell>
          <cell r="D3871">
            <v>45384</v>
          </cell>
        </row>
        <row r="3872">
          <cell r="A3872" t="str">
            <v>Celso Castro Da Silva</v>
          </cell>
          <cell r="B3872">
            <v>37009583</v>
          </cell>
          <cell r="C3872">
            <v>20035363</v>
          </cell>
          <cell r="D3872">
            <v>44837</v>
          </cell>
        </row>
        <row r="3873">
          <cell r="A3873" t="str">
            <v>Gustavo Bento da Silva Almeida</v>
          </cell>
          <cell r="B3873">
            <v>37017142</v>
          </cell>
          <cell r="C3873">
            <v>20067704</v>
          </cell>
          <cell r="D3873">
            <v>45391</v>
          </cell>
        </row>
        <row r="3874">
          <cell r="A3874" t="str">
            <v>Antonio Erasmo Pereira Junior</v>
          </cell>
          <cell r="B3874">
            <v>37017139</v>
          </cell>
          <cell r="C3874">
            <v>20067700</v>
          </cell>
          <cell r="D3874">
            <v>45391</v>
          </cell>
        </row>
        <row r="3875">
          <cell r="A3875" t="str">
            <v>Tatiel Teles da Silva Mendes</v>
          </cell>
          <cell r="B3875">
            <v>37017140</v>
          </cell>
          <cell r="C3875">
            <v>20067701</v>
          </cell>
          <cell r="D3875">
            <v>45391</v>
          </cell>
        </row>
        <row r="3876">
          <cell r="A3876" t="str">
            <v>Odair Alves Ribeiro</v>
          </cell>
          <cell r="B3876">
            <v>37017141</v>
          </cell>
          <cell r="C3876">
            <v>20067702</v>
          </cell>
          <cell r="D3876">
            <v>45391</v>
          </cell>
        </row>
        <row r="3877">
          <cell r="A3877" t="str">
            <v>Emmanuela Monteiro de Sousa Moura</v>
          </cell>
          <cell r="B3877">
            <v>37017144</v>
          </cell>
          <cell r="C3877">
            <v>20067707</v>
          </cell>
          <cell r="D3877">
            <v>45391</v>
          </cell>
        </row>
        <row r="3878">
          <cell r="A3878" t="str">
            <v>Eulogia Martinez Fernandez</v>
          </cell>
          <cell r="B3878">
            <v>37017151</v>
          </cell>
          <cell r="C3878">
            <v>20067715</v>
          </cell>
          <cell r="D3878">
            <v>45391</v>
          </cell>
        </row>
        <row r="3879">
          <cell r="A3879" t="str">
            <v>Luciane Vieira da Silva</v>
          </cell>
          <cell r="B3879">
            <v>37017158</v>
          </cell>
          <cell r="C3879">
            <v>20067959</v>
          </cell>
          <cell r="D3879">
            <v>45391</v>
          </cell>
        </row>
        <row r="3880">
          <cell r="A3880" t="str">
            <v>Sonia Cristina Martins Ferreira</v>
          </cell>
          <cell r="B3880">
            <v>37017148</v>
          </cell>
          <cell r="C3880">
            <v>20067712</v>
          </cell>
          <cell r="D3880">
            <v>45391</v>
          </cell>
        </row>
        <row r="3881">
          <cell r="A3881" t="str">
            <v>Aline Belarmino da Silva</v>
          </cell>
          <cell r="B3881">
            <v>37017154</v>
          </cell>
          <cell r="C3881">
            <v>20067718</v>
          </cell>
          <cell r="D3881">
            <v>45391</v>
          </cell>
        </row>
        <row r="3882">
          <cell r="A3882" t="str">
            <v>Ronivon Costa da Silva</v>
          </cell>
          <cell r="B3882">
            <v>37017156</v>
          </cell>
          <cell r="C3882">
            <v>20067955</v>
          </cell>
          <cell r="D3882">
            <v>45391</v>
          </cell>
        </row>
        <row r="3883">
          <cell r="A3883" t="str">
            <v>Edna Vangi Yule Brito</v>
          </cell>
          <cell r="B3883">
            <v>37017160</v>
          </cell>
          <cell r="C3883">
            <v>20067961</v>
          </cell>
          <cell r="D3883">
            <v>45391</v>
          </cell>
        </row>
        <row r="3884">
          <cell r="A3884" t="str">
            <v>Luciano Almeida da Cunha</v>
          </cell>
          <cell r="B3884">
            <v>37017163</v>
          </cell>
          <cell r="C3884">
            <v>20067964</v>
          </cell>
          <cell r="D3884">
            <v>45391</v>
          </cell>
        </row>
        <row r="3885">
          <cell r="A3885" t="str">
            <v>Katia Cristina Machado Leal</v>
          </cell>
          <cell r="B3885">
            <v>37017165</v>
          </cell>
          <cell r="C3885">
            <v>20067966</v>
          </cell>
          <cell r="D3885">
            <v>45391</v>
          </cell>
        </row>
        <row r="3886">
          <cell r="A3886" t="str">
            <v>Isa Claudia Dias dos Santos</v>
          </cell>
          <cell r="B3886">
            <v>37017168</v>
          </cell>
          <cell r="C3886">
            <v>20067969</v>
          </cell>
          <cell r="D3886">
            <v>45391</v>
          </cell>
        </row>
        <row r="3887">
          <cell r="A3887" t="str">
            <v>Erick Santos de Souza</v>
          </cell>
          <cell r="B3887">
            <v>37017175</v>
          </cell>
          <cell r="C3887">
            <v>20068009</v>
          </cell>
          <cell r="D3887">
            <v>45391</v>
          </cell>
        </row>
        <row r="3888">
          <cell r="A3888" t="str">
            <v>Ronaldo Raimundo dos Santos</v>
          </cell>
          <cell r="B3888">
            <v>37017179</v>
          </cell>
          <cell r="C3888">
            <v>20068034</v>
          </cell>
          <cell r="D3888">
            <v>45391</v>
          </cell>
        </row>
        <row r="3889">
          <cell r="A3889" t="str">
            <v>Edmilson Francisco Ribeiro</v>
          </cell>
          <cell r="B3889">
            <v>37017181</v>
          </cell>
          <cell r="C3889">
            <v>20068266</v>
          </cell>
          <cell r="D3889">
            <v>45391</v>
          </cell>
        </row>
        <row r="3890">
          <cell r="A3890" t="str">
            <v>Micheli Bispo de Jesus Da Silva</v>
          </cell>
          <cell r="B3890">
            <v>37017186</v>
          </cell>
          <cell r="C3890">
            <v>20068303</v>
          </cell>
          <cell r="D3890">
            <v>45391</v>
          </cell>
        </row>
        <row r="3891">
          <cell r="A3891" t="str">
            <v>Rafael Santos Oliveira</v>
          </cell>
          <cell r="B3891">
            <v>37017187</v>
          </cell>
          <cell r="C3891">
            <v>20068306</v>
          </cell>
          <cell r="D3891">
            <v>45391</v>
          </cell>
        </row>
        <row r="3892">
          <cell r="A3892" t="str">
            <v>Fernanda de Jesus Silva</v>
          </cell>
          <cell r="B3892">
            <v>37012830</v>
          </cell>
          <cell r="C3892">
            <v>20051785</v>
          </cell>
          <cell r="D3892">
            <v>45083</v>
          </cell>
        </row>
        <row r="3893">
          <cell r="A3893" t="str">
            <v>Weliton Henrique Cabral</v>
          </cell>
          <cell r="B3893">
            <v>37012350</v>
          </cell>
          <cell r="C3893">
            <v>20049626</v>
          </cell>
          <cell r="D3893">
            <v>45048</v>
          </cell>
        </row>
        <row r="3894">
          <cell r="A3894" t="str">
            <v>Edivan Santana Dos Santos</v>
          </cell>
          <cell r="B3894">
            <v>37001206</v>
          </cell>
          <cell r="C3894">
            <v>15006973</v>
          </cell>
          <cell r="D3894">
            <v>41464</v>
          </cell>
        </row>
        <row r="3895">
          <cell r="A3895" t="str">
            <v>Matheus Gomes Concone</v>
          </cell>
          <cell r="B3895">
            <v>37013760</v>
          </cell>
          <cell r="C3895">
            <v>20056395</v>
          </cell>
          <cell r="D3895">
            <v>45139</v>
          </cell>
        </row>
        <row r="3896">
          <cell r="A3896" t="str">
            <v>Valter Rodrigues Lopes</v>
          </cell>
          <cell r="B3896">
            <v>37017226</v>
          </cell>
          <cell r="C3896">
            <v>20068462</v>
          </cell>
          <cell r="D3896">
            <v>45398</v>
          </cell>
        </row>
        <row r="3897">
          <cell r="A3897" t="str">
            <v>Anderson Miranda Truber</v>
          </cell>
          <cell r="B3897">
            <v>37017247</v>
          </cell>
          <cell r="C3897">
            <v>20068484</v>
          </cell>
          <cell r="D3897">
            <v>45398</v>
          </cell>
        </row>
        <row r="3898">
          <cell r="A3898" t="str">
            <v>Alex Correa de Oliveira</v>
          </cell>
          <cell r="B3898">
            <v>37017250</v>
          </cell>
          <cell r="C3898">
            <v>20068487</v>
          </cell>
          <cell r="D3898">
            <v>45398</v>
          </cell>
        </row>
        <row r="3899">
          <cell r="A3899" t="str">
            <v>Rayssa Juliane Souza De Jesus</v>
          </cell>
          <cell r="B3899">
            <v>37017251</v>
          </cell>
          <cell r="C3899">
            <v>20068488</v>
          </cell>
          <cell r="D3899">
            <v>45398</v>
          </cell>
        </row>
        <row r="3900">
          <cell r="A3900" t="str">
            <v>Fabio Arguelho Filho</v>
          </cell>
          <cell r="B3900">
            <v>37017267</v>
          </cell>
          <cell r="C3900">
            <v>20068543</v>
          </cell>
          <cell r="D3900">
            <v>45398</v>
          </cell>
        </row>
        <row r="3901">
          <cell r="A3901" t="str">
            <v>Girnei Nascimento Moreira</v>
          </cell>
          <cell r="B3901">
            <v>37017269</v>
          </cell>
          <cell r="C3901">
            <v>20068561</v>
          </cell>
          <cell r="D3901">
            <v>45398</v>
          </cell>
        </row>
        <row r="3902">
          <cell r="A3902" t="str">
            <v>Agnaldo de Camargo</v>
          </cell>
          <cell r="B3902">
            <v>37017285</v>
          </cell>
          <cell r="C3902">
            <v>20068671</v>
          </cell>
          <cell r="D3902">
            <v>45398</v>
          </cell>
        </row>
        <row r="3903">
          <cell r="A3903" t="str">
            <v>Rodrigo Anderson Correa Leite</v>
          </cell>
          <cell r="B3903">
            <v>37011304</v>
          </cell>
          <cell r="C3903">
            <v>20042672</v>
          </cell>
          <cell r="D3903">
            <v>44970</v>
          </cell>
        </row>
        <row r="3904">
          <cell r="A3904" t="str">
            <v>Nataly Salomao De Matos</v>
          </cell>
          <cell r="B3904">
            <v>37008991</v>
          </cell>
          <cell r="C3904">
            <v>20030928</v>
          </cell>
          <cell r="D3904">
            <v>44781</v>
          </cell>
        </row>
        <row r="3905">
          <cell r="A3905" t="str">
            <v>Wiliam Henrique Pereira de Lima</v>
          </cell>
          <cell r="B3905">
            <v>37017384</v>
          </cell>
          <cell r="C3905">
            <v>20069529</v>
          </cell>
          <cell r="D3905">
            <v>45419</v>
          </cell>
        </row>
        <row r="3906">
          <cell r="A3906" t="str">
            <v>Luiz Felipe Cavalcante da Costa</v>
          </cell>
          <cell r="B3906">
            <v>37017386</v>
          </cell>
          <cell r="C3906">
            <v>20069531</v>
          </cell>
          <cell r="D3906">
            <v>45419</v>
          </cell>
        </row>
        <row r="3907">
          <cell r="A3907" t="str">
            <v>Manuela Oliveira Miranda</v>
          </cell>
          <cell r="B3907">
            <v>37017402</v>
          </cell>
          <cell r="C3907">
            <v>20069547</v>
          </cell>
          <cell r="D3907">
            <v>45419</v>
          </cell>
        </row>
        <row r="3908">
          <cell r="A3908" t="str">
            <v>Zuleica Barsilio Sa</v>
          </cell>
          <cell r="B3908">
            <v>37017420</v>
          </cell>
          <cell r="C3908">
            <v>20069565</v>
          </cell>
          <cell r="D3908">
            <v>45419</v>
          </cell>
        </row>
        <row r="3909">
          <cell r="A3909" t="str">
            <v>Taisa de Oliveira Lima</v>
          </cell>
          <cell r="B3909">
            <v>37017431</v>
          </cell>
          <cell r="C3909">
            <v>20069576</v>
          </cell>
          <cell r="D3909">
            <v>45419</v>
          </cell>
        </row>
        <row r="3910">
          <cell r="A3910" t="str">
            <v>Ana Luiza Hermogenes Pereira</v>
          </cell>
          <cell r="B3910">
            <v>37017440</v>
          </cell>
          <cell r="C3910">
            <v>20069585</v>
          </cell>
          <cell r="D3910">
            <v>45419</v>
          </cell>
        </row>
        <row r="3911">
          <cell r="A3911" t="str">
            <v>Marcos Antonio Ferreira de Souza</v>
          </cell>
          <cell r="B3911">
            <v>37017427</v>
          </cell>
          <cell r="C3911">
            <v>20069572</v>
          </cell>
          <cell r="D3911">
            <v>45419</v>
          </cell>
        </row>
        <row r="3912">
          <cell r="A3912" t="str">
            <v>Geova Dias Silva</v>
          </cell>
          <cell r="B3912">
            <v>37017429</v>
          </cell>
          <cell r="C3912">
            <v>20069574</v>
          </cell>
          <cell r="D3912">
            <v>45419</v>
          </cell>
        </row>
        <row r="3913">
          <cell r="A3913" t="str">
            <v>Fer Nanda Yasminn Jasmin Dos Santos</v>
          </cell>
          <cell r="B3913">
            <v>37017460</v>
          </cell>
          <cell r="C3913">
            <v>20069603</v>
          </cell>
          <cell r="D3913">
            <v>45419</v>
          </cell>
        </row>
        <row r="3914">
          <cell r="A3914" t="str">
            <v>Elizania de Jesus dos Santos</v>
          </cell>
          <cell r="B3914">
            <v>37017444</v>
          </cell>
          <cell r="C3914">
            <v>20069589</v>
          </cell>
          <cell r="D3914">
            <v>45419</v>
          </cell>
        </row>
        <row r="3915">
          <cell r="A3915" t="str">
            <v>Soeme Martins Salles</v>
          </cell>
          <cell r="B3915">
            <v>37017474</v>
          </cell>
          <cell r="C3915">
            <v>20069617</v>
          </cell>
          <cell r="D3915">
            <v>45419</v>
          </cell>
        </row>
        <row r="3916">
          <cell r="A3916" t="str">
            <v>João Carlos Ribeiro dos Santos</v>
          </cell>
          <cell r="B3916">
            <v>37017477</v>
          </cell>
          <cell r="C3916">
            <v>20069621</v>
          </cell>
          <cell r="D3916">
            <v>45419</v>
          </cell>
        </row>
        <row r="3917">
          <cell r="A3917" t="str">
            <v>Lucas da Solidade Soares</v>
          </cell>
          <cell r="B3917">
            <v>37017470</v>
          </cell>
          <cell r="C3917">
            <v>20069613</v>
          </cell>
          <cell r="D3917">
            <v>45419</v>
          </cell>
        </row>
        <row r="3918">
          <cell r="A3918" t="str">
            <v>Sandro Mauro Correa Ramos</v>
          </cell>
          <cell r="B3918">
            <v>37017481</v>
          </cell>
          <cell r="C3918">
            <v>20069625</v>
          </cell>
          <cell r="D3918">
            <v>45419</v>
          </cell>
        </row>
        <row r="3919">
          <cell r="A3919" t="str">
            <v>Kelly Jose Anacleto</v>
          </cell>
          <cell r="B3919">
            <v>37017503</v>
          </cell>
          <cell r="C3919">
            <v>20069647</v>
          </cell>
          <cell r="D3919">
            <v>45419</v>
          </cell>
        </row>
        <row r="3920">
          <cell r="A3920" t="str">
            <v>Aldo Da Cruz Martins</v>
          </cell>
          <cell r="B3920">
            <v>37017519</v>
          </cell>
          <cell r="C3920">
            <v>20069663</v>
          </cell>
          <cell r="D3920">
            <v>45419</v>
          </cell>
        </row>
        <row r="3921">
          <cell r="A3921" t="str">
            <v>Lucas da Silva Silveira</v>
          </cell>
          <cell r="B3921">
            <v>37017521</v>
          </cell>
          <cell r="C3921">
            <v>20069665</v>
          </cell>
          <cell r="D3921">
            <v>45419</v>
          </cell>
        </row>
        <row r="3922">
          <cell r="A3922" t="str">
            <v>Valdeson Ferreira de Sousa</v>
          </cell>
          <cell r="B3922">
            <v>37017530</v>
          </cell>
          <cell r="C3922">
            <v>20069683</v>
          </cell>
          <cell r="D3922">
            <v>45419</v>
          </cell>
        </row>
        <row r="3923">
          <cell r="A3923" t="str">
            <v>Gleison Laranjeira Freitas</v>
          </cell>
          <cell r="B3923">
            <v>37012193</v>
          </cell>
          <cell r="C3923">
            <v>20048544</v>
          </cell>
          <cell r="D3923">
            <v>45034</v>
          </cell>
        </row>
        <row r="3924">
          <cell r="A3924" t="str">
            <v>Larissa Nascimento Fanjas da Silva</v>
          </cell>
          <cell r="B3924">
            <v>37011182</v>
          </cell>
          <cell r="C3924">
            <v>20042528</v>
          </cell>
          <cell r="D3924">
            <v>44970</v>
          </cell>
        </row>
        <row r="3925">
          <cell r="A3925" t="str">
            <v>Wendell Ferreira De Lima</v>
          </cell>
          <cell r="B3925">
            <v>37004859</v>
          </cell>
          <cell r="C3925">
            <v>20008404</v>
          </cell>
          <cell r="D3925">
            <v>44082</v>
          </cell>
        </row>
        <row r="3926">
          <cell r="A3926" t="str">
            <v>Rodrigo Maruchi</v>
          </cell>
          <cell r="B3926">
            <v>37017561</v>
          </cell>
          <cell r="C3926">
            <v>20069940</v>
          </cell>
          <cell r="D3926">
            <v>45426</v>
          </cell>
        </row>
        <row r="3927">
          <cell r="A3927" t="str">
            <v>Eli da Silva de Jesus</v>
          </cell>
          <cell r="B3927">
            <v>37017580</v>
          </cell>
          <cell r="C3927">
            <v>20069959</v>
          </cell>
          <cell r="D3927">
            <v>45426</v>
          </cell>
        </row>
        <row r="3928">
          <cell r="A3928" t="str">
            <v>Serena Ferreira Rodrigues</v>
          </cell>
          <cell r="B3928">
            <v>37009752</v>
          </cell>
          <cell r="C3928">
            <v>20036473</v>
          </cell>
          <cell r="D3928">
            <v>44851</v>
          </cell>
        </row>
        <row r="3929">
          <cell r="A3929" t="str">
            <v>Alexandre Queiroz de Oliveira</v>
          </cell>
          <cell r="B3929">
            <v>37012505</v>
          </cell>
          <cell r="C3929">
            <v>20050217</v>
          </cell>
          <cell r="D3929">
            <v>45062</v>
          </cell>
        </row>
        <row r="3930">
          <cell r="A3930" t="str">
            <v>Isaque Batista De Oliveira</v>
          </cell>
          <cell r="B3930">
            <v>37008862</v>
          </cell>
          <cell r="C3930">
            <v>20034652</v>
          </cell>
          <cell r="D3930">
            <v>44777</v>
          </cell>
        </row>
        <row r="3931">
          <cell r="A3931" t="str">
            <v>Rodrigo Correia Elias</v>
          </cell>
          <cell r="B3931">
            <v>37017619</v>
          </cell>
          <cell r="C3931">
            <v>20070048</v>
          </cell>
          <cell r="D3931">
            <v>45426</v>
          </cell>
        </row>
        <row r="3932">
          <cell r="A3932" t="str">
            <v>Jeferson Antonio Dias da Silva</v>
          </cell>
          <cell r="B3932">
            <v>37013732</v>
          </cell>
          <cell r="C3932">
            <v>20056327</v>
          </cell>
          <cell r="D3932">
            <v>45139</v>
          </cell>
        </row>
        <row r="3933">
          <cell r="A3933" t="str">
            <v>Jeniffer Vanessa Quintana Mimmel</v>
          </cell>
          <cell r="B3933">
            <v>37011285</v>
          </cell>
          <cell r="C3933">
            <v>20042687</v>
          </cell>
          <cell r="D3933">
            <v>44970</v>
          </cell>
        </row>
        <row r="3934">
          <cell r="A3934" t="str">
            <v>Leticia Caroline Alves do Nascimento</v>
          </cell>
          <cell r="B3934">
            <v>37012560</v>
          </cell>
          <cell r="C3934">
            <v>20050468</v>
          </cell>
          <cell r="D3934">
            <v>45069</v>
          </cell>
        </row>
        <row r="3935">
          <cell r="A3935" t="str">
            <v>Ivan de Souza Donato</v>
          </cell>
          <cell r="B3935">
            <v>37017679</v>
          </cell>
          <cell r="C3935">
            <v>20070289</v>
          </cell>
          <cell r="D3935">
            <v>45433</v>
          </cell>
        </row>
        <row r="3936">
          <cell r="A3936" t="str">
            <v>Fabio Henrique de Araujo</v>
          </cell>
          <cell r="B3936">
            <v>37017733</v>
          </cell>
          <cell r="C3936">
            <v>20070367</v>
          </cell>
          <cell r="D3936">
            <v>45433</v>
          </cell>
        </row>
        <row r="3937">
          <cell r="A3937" t="str">
            <v>Simao Ciebes Alves Lima</v>
          </cell>
          <cell r="B3937">
            <v>37017732</v>
          </cell>
          <cell r="C3937">
            <v>20070366</v>
          </cell>
          <cell r="D3937">
            <v>45433</v>
          </cell>
        </row>
        <row r="3938">
          <cell r="A3938" t="str">
            <v>Antonio Aparecido Ribeiro dos Santos</v>
          </cell>
          <cell r="B3938">
            <v>37017770</v>
          </cell>
          <cell r="C3938">
            <v>20070659</v>
          </cell>
          <cell r="D3938">
            <v>45433</v>
          </cell>
        </row>
        <row r="3939">
          <cell r="A3939" t="str">
            <v>Lina Bobardi Santana Chaves</v>
          </cell>
          <cell r="B3939">
            <v>37017768</v>
          </cell>
          <cell r="C3939">
            <v>20070466</v>
          </cell>
          <cell r="D3939">
            <v>45433</v>
          </cell>
        </row>
        <row r="3940">
          <cell r="A3940" t="str">
            <v>Pedro dos Santos Jesus</v>
          </cell>
          <cell r="B3940">
            <v>37017775</v>
          </cell>
          <cell r="C3940">
            <v>20070664</v>
          </cell>
          <cell r="D3940">
            <v>45433</v>
          </cell>
        </row>
        <row r="3941">
          <cell r="A3941" t="str">
            <v>Edinaldo Faustino Pereira</v>
          </cell>
          <cell r="B3941">
            <v>37017777</v>
          </cell>
          <cell r="C3941">
            <v>20070666</v>
          </cell>
          <cell r="D3941">
            <v>45433</v>
          </cell>
        </row>
        <row r="3942">
          <cell r="A3942" t="str">
            <v>Natanael Damasceno Xavier</v>
          </cell>
          <cell r="B3942">
            <v>37017771</v>
          </cell>
          <cell r="C3942">
            <v>20070660</v>
          </cell>
          <cell r="D3942">
            <v>45433</v>
          </cell>
        </row>
        <row r="3943">
          <cell r="A3943" t="str">
            <v>Caio Santos de Aguiar</v>
          </cell>
          <cell r="B3943">
            <v>37017772</v>
          </cell>
          <cell r="C3943">
            <v>20070661</v>
          </cell>
          <cell r="D3943">
            <v>45433</v>
          </cell>
        </row>
        <row r="3944">
          <cell r="A3944" t="str">
            <v>Diego Pacheco da Costa</v>
          </cell>
          <cell r="B3944">
            <v>37017779</v>
          </cell>
          <cell r="C3944">
            <v>20070668</v>
          </cell>
          <cell r="D3944">
            <v>45433</v>
          </cell>
        </row>
        <row r="3945">
          <cell r="A3945" t="str">
            <v>Graziel da Silva Santos</v>
          </cell>
          <cell r="B3945">
            <v>37017781</v>
          </cell>
          <cell r="C3945">
            <v>20070670</v>
          </cell>
          <cell r="D3945">
            <v>45433</v>
          </cell>
        </row>
        <row r="3946">
          <cell r="A3946" t="str">
            <v>Luciano Conceição dos Santos</v>
          </cell>
          <cell r="B3946">
            <v>37017784</v>
          </cell>
          <cell r="C3946">
            <v>20070673</v>
          </cell>
          <cell r="D3946">
            <v>45433</v>
          </cell>
        </row>
        <row r="3947">
          <cell r="A3947" t="str">
            <v>Gustavo Vieira Marques</v>
          </cell>
          <cell r="B3947">
            <v>37017791</v>
          </cell>
          <cell r="C3947">
            <v>20070680</v>
          </cell>
          <cell r="D3947">
            <v>45433</v>
          </cell>
        </row>
        <row r="3948">
          <cell r="A3948" t="str">
            <v>Gilmario Dantas da Paixao</v>
          </cell>
          <cell r="B3948">
            <v>37017793</v>
          </cell>
          <cell r="C3948">
            <v>20070682</v>
          </cell>
          <cell r="D3948">
            <v>45433</v>
          </cell>
        </row>
        <row r="3949">
          <cell r="A3949" t="str">
            <v>Marina Alessandra de Oliveira Bogado</v>
          </cell>
          <cell r="B3949">
            <v>37017797</v>
          </cell>
          <cell r="C3949">
            <v>20070686</v>
          </cell>
          <cell r="D3949">
            <v>45433</v>
          </cell>
        </row>
        <row r="3950">
          <cell r="A3950" t="str">
            <v>Fabricio Ribeiro Santos</v>
          </cell>
          <cell r="B3950">
            <v>37017799</v>
          </cell>
          <cell r="C3950">
            <v>20070688</v>
          </cell>
          <cell r="D3950">
            <v>45433</v>
          </cell>
        </row>
        <row r="3951">
          <cell r="A3951" t="str">
            <v>Mauricio dos Santos</v>
          </cell>
          <cell r="B3951">
            <v>37017786</v>
          </cell>
          <cell r="C3951">
            <v>20070675</v>
          </cell>
          <cell r="D3951">
            <v>45433</v>
          </cell>
        </row>
        <row r="3952">
          <cell r="A3952" t="str">
            <v>Adailton dos Santos Conceicao</v>
          </cell>
          <cell r="B3952">
            <v>37017787</v>
          </cell>
          <cell r="C3952">
            <v>20070676</v>
          </cell>
          <cell r="D3952">
            <v>45433</v>
          </cell>
        </row>
        <row r="3953">
          <cell r="A3953" t="str">
            <v>Charles William Santos Silva</v>
          </cell>
          <cell r="B3953">
            <v>37017788</v>
          </cell>
          <cell r="C3953">
            <v>20070677</v>
          </cell>
          <cell r="D3953">
            <v>45433</v>
          </cell>
        </row>
        <row r="3954">
          <cell r="A3954" t="str">
            <v>Cristiano de Jesus dos Santos</v>
          </cell>
          <cell r="B3954">
            <v>37017795</v>
          </cell>
          <cell r="C3954">
            <v>20070684</v>
          </cell>
          <cell r="D3954">
            <v>45433</v>
          </cell>
        </row>
        <row r="3955">
          <cell r="A3955" t="str">
            <v>Ezequiel Silva de Souza</v>
          </cell>
          <cell r="B3955">
            <v>37017800</v>
          </cell>
          <cell r="C3955">
            <v>20070689</v>
          </cell>
          <cell r="D3955">
            <v>45433</v>
          </cell>
        </row>
        <row r="3956">
          <cell r="A3956" t="str">
            <v>Evaldo Alves da Silva</v>
          </cell>
          <cell r="B3956">
            <v>37017801</v>
          </cell>
          <cell r="C3956">
            <v>20070690</v>
          </cell>
          <cell r="D3956">
            <v>45433</v>
          </cell>
        </row>
        <row r="3957">
          <cell r="A3957" t="str">
            <v>Jose Luis dos Santos Junior</v>
          </cell>
          <cell r="B3957">
            <v>37017805</v>
          </cell>
          <cell r="C3957">
            <v>20070694</v>
          </cell>
          <cell r="D3957">
            <v>45433</v>
          </cell>
        </row>
        <row r="3958">
          <cell r="A3958" t="str">
            <v>Thales dos Santos Oliveira Soares Santos</v>
          </cell>
          <cell r="B3958">
            <v>37017809</v>
          </cell>
          <cell r="C3958">
            <v>20070698</v>
          </cell>
          <cell r="D3958">
            <v>45433</v>
          </cell>
        </row>
        <row r="3959">
          <cell r="A3959" t="str">
            <v>Fábio Henrique Dos Anjos</v>
          </cell>
          <cell r="B3959">
            <v>37017812</v>
          </cell>
          <cell r="C3959">
            <v>20070701</v>
          </cell>
          <cell r="D3959">
            <v>45433</v>
          </cell>
        </row>
        <row r="3960">
          <cell r="A3960" t="str">
            <v>Jilmarques Nascimento Belo</v>
          </cell>
          <cell r="B3960">
            <v>37017813</v>
          </cell>
          <cell r="C3960">
            <v>20070702</v>
          </cell>
          <cell r="D3960">
            <v>45433</v>
          </cell>
        </row>
        <row r="3961">
          <cell r="A3961" t="str">
            <v>Felipe Santiago Silva</v>
          </cell>
          <cell r="B3961">
            <v>37017815</v>
          </cell>
          <cell r="C3961">
            <v>20070704</v>
          </cell>
          <cell r="D3961">
            <v>45433</v>
          </cell>
        </row>
        <row r="3962">
          <cell r="A3962" t="str">
            <v>Gabriel Batista Borodiak</v>
          </cell>
          <cell r="B3962">
            <v>37017818</v>
          </cell>
          <cell r="C3962">
            <v>20070707</v>
          </cell>
          <cell r="D3962">
            <v>45433</v>
          </cell>
        </row>
        <row r="3963">
          <cell r="A3963" t="str">
            <v>Cassio Junior Souza</v>
          </cell>
          <cell r="B3963">
            <v>37017821</v>
          </cell>
          <cell r="C3963">
            <v>20070728</v>
          </cell>
          <cell r="D3963">
            <v>45433</v>
          </cell>
        </row>
        <row r="3964">
          <cell r="A3964" t="str">
            <v>Jose Domingos dos Santos Batista</v>
          </cell>
          <cell r="B3964">
            <v>37017828</v>
          </cell>
          <cell r="C3964">
            <v>20070735</v>
          </cell>
          <cell r="D3964">
            <v>45433</v>
          </cell>
        </row>
        <row r="3965">
          <cell r="A3965" t="str">
            <v>Jose Anilton de Jesus Portugal</v>
          </cell>
          <cell r="B3965">
            <v>37017835</v>
          </cell>
          <cell r="C3965">
            <v>20070742</v>
          </cell>
          <cell r="D3965">
            <v>45433</v>
          </cell>
        </row>
        <row r="3966">
          <cell r="A3966" t="str">
            <v>Marcelo de Almeida Santos</v>
          </cell>
          <cell r="B3966">
            <v>37017824</v>
          </cell>
          <cell r="C3966">
            <v>20070731</v>
          </cell>
          <cell r="D3966">
            <v>45433</v>
          </cell>
        </row>
        <row r="3967">
          <cell r="A3967" t="str">
            <v>Vagner Barreto dos Santos</v>
          </cell>
          <cell r="B3967">
            <v>37017825</v>
          </cell>
          <cell r="C3967">
            <v>20070732</v>
          </cell>
          <cell r="D3967">
            <v>45433</v>
          </cell>
        </row>
        <row r="3968">
          <cell r="A3968" t="str">
            <v>Nelson Willian Rocha Ferreira</v>
          </cell>
          <cell r="B3968">
            <v>37017827</v>
          </cell>
          <cell r="C3968">
            <v>20070734</v>
          </cell>
          <cell r="D3968">
            <v>45433</v>
          </cell>
        </row>
        <row r="3969">
          <cell r="A3969" t="str">
            <v>Rafael Pinheiro Rodrigues</v>
          </cell>
          <cell r="B3969">
            <v>37017836</v>
          </cell>
          <cell r="C3969">
            <v>20070743</v>
          </cell>
          <cell r="D3969">
            <v>45433</v>
          </cell>
        </row>
        <row r="3970">
          <cell r="A3970" t="str">
            <v>Arlindo Dias Mariano</v>
          </cell>
          <cell r="B3970">
            <v>37017861</v>
          </cell>
          <cell r="C3970">
            <v>20070891</v>
          </cell>
          <cell r="D3970">
            <v>45447</v>
          </cell>
        </row>
        <row r="3971">
          <cell r="A3971" t="str">
            <v>Adelar Gonçalves</v>
          </cell>
          <cell r="B3971">
            <v>37017863</v>
          </cell>
          <cell r="C3971">
            <v>20070893</v>
          </cell>
          <cell r="D3971">
            <v>45447</v>
          </cell>
        </row>
        <row r="3972">
          <cell r="A3972" t="str">
            <v>Alexandre Paixao Silva</v>
          </cell>
          <cell r="B3972">
            <v>37017864</v>
          </cell>
          <cell r="C3972">
            <v>20070894</v>
          </cell>
          <cell r="D3972">
            <v>45447</v>
          </cell>
        </row>
        <row r="3973">
          <cell r="A3973" t="str">
            <v>Leandro Pereira da Silva</v>
          </cell>
          <cell r="B3973">
            <v>37017874</v>
          </cell>
          <cell r="C3973">
            <v>20070921</v>
          </cell>
          <cell r="D3973">
            <v>45447</v>
          </cell>
        </row>
        <row r="3974">
          <cell r="A3974" t="str">
            <v>Paulo Henrique Pereira da Silveira</v>
          </cell>
          <cell r="B3974">
            <v>37017880</v>
          </cell>
          <cell r="C3974">
            <v>20070927</v>
          </cell>
          <cell r="D3974">
            <v>45447</v>
          </cell>
        </row>
        <row r="3975">
          <cell r="A3975" t="str">
            <v>Wilman de Souza Carvalho</v>
          </cell>
          <cell r="B3975">
            <v>37010784</v>
          </cell>
          <cell r="C3975">
            <v>20041166</v>
          </cell>
          <cell r="D3975">
            <v>44942</v>
          </cell>
        </row>
        <row r="3976">
          <cell r="A3976" t="str">
            <v>Josiel Carvalho Dos Santos</v>
          </cell>
          <cell r="B3976">
            <v>37008996</v>
          </cell>
          <cell r="C3976">
            <v>20031008</v>
          </cell>
          <cell r="D3976">
            <v>44781</v>
          </cell>
        </row>
        <row r="3977">
          <cell r="A3977" t="str">
            <v>Gustavo Aranda De Souza</v>
          </cell>
          <cell r="B3977">
            <v>37007731</v>
          </cell>
          <cell r="C3977">
            <v>20025813</v>
          </cell>
          <cell r="D3977">
            <v>44697</v>
          </cell>
        </row>
        <row r="3978">
          <cell r="A3978" t="str">
            <v>Jose Aparecido Rumanski Piassa</v>
          </cell>
          <cell r="B3978">
            <v>37011965</v>
          </cell>
          <cell r="C3978">
            <v>20046983</v>
          </cell>
          <cell r="D3978">
            <v>45019</v>
          </cell>
        </row>
        <row r="3979">
          <cell r="A3979" t="str">
            <v>Matheus da Silva Leal</v>
          </cell>
          <cell r="B3979">
            <v>37010092</v>
          </cell>
          <cell r="C3979">
            <v>20038169</v>
          </cell>
          <cell r="D3979">
            <v>44881</v>
          </cell>
        </row>
        <row r="3980">
          <cell r="A3980" t="str">
            <v>Caroline Ferreira Brenner Ceia Ramos</v>
          </cell>
          <cell r="B3980">
            <v>37017912</v>
          </cell>
          <cell r="C3980">
            <v>20070959</v>
          </cell>
          <cell r="D3980">
            <v>45447</v>
          </cell>
        </row>
        <row r="3981">
          <cell r="A3981" t="str">
            <v>Jose Jamerson da Silva</v>
          </cell>
          <cell r="B3981">
            <v>37014248</v>
          </cell>
          <cell r="C3981">
            <v>20058310</v>
          </cell>
          <cell r="D3981">
            <v>45174</v>
          </cell>
        </row>
        <row r="3982">
          <cell r="A3982" t="str">
            <v>Edivaldo Sirino dos Santos</v>
          </cell>
          <cell r="B3982">
            <v>37017946</v>
          </cell>
          <cell r="C3982">
            <v>20071214</v>
          </cell>
          <cell r="D3982">
            <v>45447</v>
          </cell>
        </row>
        <row r="3983">
          <cell r="A3983" t="str">
            <v>Rodrigo Santos</v>
          </cell>
          <cell r="B3983">
            <v>37017948</v>
          </cell>
          <cell r="C3983">
            <v>20071216</v>
          </cell>
          <cell r="D3983">
            <v>45447</v>
          </cell>
        </row>
        <row r="3984">
          <cell r="A3984" t="str">
            <v>Jose Lindomar Barbosa</v>
          </cell>
          <cell r="B3984">
            <v>37017969</v>
          </cell>
          <cell r="C3984">
            <v>20071237</v>
          </cell>
          <cell r="D3984">
            <v>45447</v>
          </cell>
        </row>
        <row r="3985">
          <cell r="A3985" t="str">
            <v>Joao Batista dos Santos Nunes</v>
          </cell>
          <cell r="B3985">
            <v>37014420</v>
          </cell>
          <cell r="C3985">
            <v>20058572</v>
          </cell>
          <cell r="D3985">
            <v>45174</v>
          </cell>
        </row>
        <row r="3986">
          <cell r="A3986" t="str">
            <v>Jose Iran da Silva</v>
          </cell>
          <cell r="B3986">
            <v>37018049</v>
          </cell>
          <cell r="C3986">
            <v>20071442</v>
          </cell>
          <cell r="D3986">
            <v>45454</v>
          </cell>
        </row>
        <row r="3987">
          <cell r="A3987" t="str">
            <v>Jorge Paulo Borges</v>
          </cell>
          <cell r="B3987">
            <v>37018058</v>
          </cell>
          <cell r="C3987">
            <v>20071451</v>
          </cell>
          <cell r="D3987">
            <v>45454</v>
          </cell>
        </row>
        <row r="3988">
          <cell r="A3988" t="str">
            <v>Genison Santos de Jesus</v>
          </cell>
          <cell r="B3988">
            <v>37018047</v>
          </cell>
          <cell r="C3988">
            <v>20071440</v>
          </cell>
          <cell r="D3988">
            <v>45454</v>
          </cell>
        </row>
        <row r="3989">
          <cell r="A3989" t="str">
            <v>Rafael Ramires da Silva</v>
          </cell>
          <cell r="B3989">
            <v>37018056</v>
          </cell>
          <cell r="C3989">
            <v>20071449</v>
          </cell>
          <cell r="D3989">
            <v>45454</v>
          </cell>
        </row>
        <row r="3990">
          <cell r="A3990" t="str">
            <v>Reginaldo Machado Bonfim</v>
          </cell>
          <cell r="B3990">
            <v>37018034</v>
          </cell>
          <cell r="C3990">
            <v>20071209</v>
          </cell>
          <cell r="D3990">
            <v>45454</v>
          </cell>
        </row>
        <row r="3991">
          <cell r="A3991" t="str">
            <v>Vanessa Conceicao</v>
          </cell>
          <cell r="B3991">
            <v>37010432</v>
          </cell>
          <cell r="C3991">
            <v>20039736</v>
          </cell>
          <cell r="D3991">
            <v>44907</v>
          </cell>
        </row>
        <row r="3992">
          <cell r="A3992" t="str">
            <v>Afonsa Arce Ortega</v>
          </cell>
          <cell r="B3992">
            <v>37010797</v>
          </cell>
          <cell r="C3992">
            <v>20041179</v>
          </cell>
          <cell r="D3992">
            <v>44942</v>
          </cell>
        </row>
        <row r="3993">
          <cell r="A3993" t="str">
            <v>Alexsandro Goncalves Dantas</v>
          </cell>
          <cell r="B3993">
            <v>37018129</v>
          </cell>
          <cell r="C3993">
            <v>20072277</v>
          </cell>
          <cell r="D3993">
            <v>45461</v>
          </cell>
        </row>
        <row r="3994">
          <cell r="A3994" t="str">
            <v>Elias Vieira dos Santos</v>
          </cell>
          <cell r="B3994">
            <v>37018132</v>
          </cell>
          <cell r="C3994">
            <v>20072280</v>
          </cell>
          <cell r="D3994">
            <v>45461</v>
          </cell>
        </row>
        <row r="3995">
          <cell r="A3995" t="str">
            <v>Welker Messias Laboisser</v>
          </cell>
          <cell r="B3995">
            <v>37018133</v>
          </cell>
          <cell r="C3995">
            <v>20072281</v>
          </cell>
          <cell r="D3995">
            <v>45461</v>
          </cell>
        </row>
        <row r="3996">
          <cell r="A3996" t="str">
            <v>Adriano dos Santos</v>
          </cell>
          <cell r="B3996">
            <v>37018136</v>
          </cell>
          <cell r="C3996">
            <v>20072284</v>
          </cell>
          <cell r="D3996">
            <v>45461</v>
          </cell>
        </row>
        <row r="3997">
          <cell r="A3997" t="str">
            <v>Glenda Proença da Silva</v>
          </cell>
          <cell r="B3997">
            <v>37018152</v>
          </cell>
          <cell r="C3997">
            <v>20072300</v>
          </cell>
          <cell r="D3997">
            <v>45461</v>
          </cell>
        </row>
        <row r="3998">
          <cell r="A3998" t="str">
            <v>Gabriele Couto De Lima</v>
          </cell>
          <cell r="B3998">
            <v>37018171</v>
          </cell>
          <cell r="C3998">
            <v>20072320</v>
          </cell>
          <cell r="D3998">
            <v>45461</v>
          </cell>
        </row>
        <row r="3999">
          <cell r="A3999" t="str">
            <v>Aparecida de Pascoa Caetano</v>
          </cell>
          <cell r="B3999">
            <v>37018257</v>
          </cell>
          <cell r="C3999">
            <v>20072765</v>
          </cell>
          <cell r="D3999">
            <v>45463</v>
          </cell>
        </row>
        <row r="4000">
          <cell r="A4000" t="str">
            <v>Cicera Marcia Gomes da Silva</v>
          </cell>
          <cell r="B4000">
            <v>37018258</v>
          </cell>
          <cell r="C4000">
            <v>20072768</v>
          </cell>
          <cell r="D4000">
            <v>45463</v>
          </cell>
        </row>
        <row r="4001">
          <cell r="A4001" t="str">
            <v>GUSTAVO FELIPE COSTA SOUZA</v>
          </cell>
          <cell r="B4001">
            <v>37018260</v>
          </cell>
          <cell r="C4001">
            <v>20072770</v>
          </cell>
          <cell r="D4001">
            <v>45463</v>
          </cell>
        </row>
        <row r="4002">
          <cell r="A4002" t="str">
            <v>Regis Fernandes Barbosa de Souza</v>
          </cell>
          <cell r="B4002">
            <v>37018262</v>
          </cell>
          <cell r="C4002">
            <v>20072772</v>
          </cell>
          <cell r="D4002">
            <v>45463</v>
          </cell>
        </row>
        <row r="4003">
          <cell r="A4003" t="str">
            <v>Jean Felipe de Oliveira</v>
          </cell>
          <cell r="B4003">
            <v>37018261</v>
          </cell>
          <cell r="C4003">
            <v>20072771</v>
          </cell>
          <cell r="D4003">
            <v>45463</v>
          </cell>
        </row>
        <row r="4004">
          <cell r="A4004" t="str">
            <v>Suellen Nayane Batista Barbosa</v>
          </cell>
          <cell r="B4004">
            <v>37018263</v>
          </cell>
          <cell r="C4004">
            <v>20072773</v>
          </cell>
          <cell r="D4004">
            <v>45463</v>
          </cell>
        </row>
        <row r="4005">
          <cell r="A4005" t="str">
            <v>Francine Alves Dias</v>
          </cell>
          <cell r="B4005">
            <v>37018269</v>
          </cell>
          <cell r="C4005">
            <v>20072796</v>
          </cell>
          <cell r="D4005">
            <v>45475</v>
          </cell>
        </row>
        <row r="4006">
          <cell r="A4006" t="str">
            <v>Carlos Rodrigo Goncalves dos Santos</v>
          </cell>
          <cell r="B4006">
            <v>37018274</v>
          </cell>
          <cell r="C4006">
            <v>20072801</v>
          </cell>
          <cell r="D4006">
            <v>45475</v>
          </cell>
        </row>
        <row r="4007">
          <cell r="A4007" t="str">
            <v>Sebastiao Ferreira Barbosa</v>
          </cell>
          <cell r="B4007">
            <v>37018275</v>
          </cell>
          <cell r="C4007">
            <v>20072823</v>
          </cell>
          <cell r="D4007">
            <v>45475</v>
          </cell>
        </row>
        <row r="4008">
          <cell r="A4008" t="str">
            <v>Ricardo Heverton Conceição da Silva</v>
          </cell>
          <cell r="B4008">
            <v>37018285</v>
          </cell>
          <cell r="C4008">
            <v>20072844</v>
          </cell>
          <cell r="D4008">
            <v>45475</v>
          </cell>
        </row>
        <row r="4009">
          <cell r="A4009" t="str">
            <v>Léo Kendy Fernandes Charrua</v>
          </cell>
          <cell r="B4009">
            <v>37018307</v>
          </cell>
          <cell r="C4009">
            <v>20072866</v>
          </cell>
          <cell r="D4009">
            <v>45475</v>
          </cell>
        </row>
        <row r="4010">
          <cell r="A4010" t="str">
            <v>Rafael Pereira Da Silva Santos</v>
          </cell>
          <cell r="B4010">
            <v>37018317</v>
          </cell>
          <cell r="C4010">
            <v>20073101</v>
          </cell>
          <cell r="D4010">
            <v>45475</v>
          </cell>
        </row>
        <row r="4011">
          <cell r="A4011" t="str">
            <v>Paulo Cesar da Silva</v>
          </cell>
          <cell r="B4011">
            <v>37018320</v>
          </cell>
          <cell r="C4011">
            <v>20073104</v>
          </cell>
          <cell r="D4011">
            <v>45475</v>
          </cell>
        </row>
        <row r="4012">
          <cell r="A4012" t="str">
            <v>Luciano Saltiva Alves</v>
          </cell>
          <cell r="B4012">
            <v>37018334</v>
          </cell>
          <cell r="C4012">
            <v>20073118</v>
          </cell>
          <cell r="D4012">
            <v>45475</v>
          </cell>
        </row>
        <row r="4013">
          <cell r="A4013" t="str">
            <v>Izabela Silva Nascimento</v>
          </cell>
          <cell r="B4013">
            <v>37018358</v>
          </cell>
          <cell r="C4013">
            <v>20073142</v>
          </cell>
          <cell r="D4013">
            <v>45475</v>
          </cell>
        </row>
        <row r="4014">
          <cell r="A4014" t="str">
            <v>Bruno Aparecido Mendonca Souza</v>
          </cell>
          <cell r="B4014">
            <v>37018348</v>
          </cell>
          <cell r="C4014">
            <v>20073132</v>
          </cell>
          <cell r="D4014">
            <v>45475</v>
          </cell>
        </row>
        <row r="4015">
          <cell r="A4015" t="str">
            <v>José Mario Favacho Pinheiro</v>
          </cell>
          <cell r="B4015">
            <v>37018368</v>
          </cell>
          <cell r="C4015">
            <v>20073152</v>
          </cell>
          <cell r="D4015">
            <v>45475</v>
          </cell>
        </row>
        <row r="4016">
          <cell r="A4016" t="str">
            <v>Luciano Soares Silva</v>
          </cell>
          <cell r="B4016">
            <v>37018402</v>
          </cell>
          <cell r="C4016">
            <v>20073187</v>
          </cell>
          <cell r="D4016">
            <v>45475</v>
          </cell>
        </row>
        <row r="4017">
          <cell r="A4017" t="str">
            <v>Taina Muller Gerotti</v>
          </cell>
          <cell r="B4017">
            <v>37009432</v>
          </cell>
          <cell r="C4017">
            <v>20033725</v>
          </cell>
          <cell r="D4017">
            <v>44823</v>
          </cell>
        </row>
        <row r="4018">
          <cell r="A4018" t="str">
            <v>Joao Pequeno Alves Neto</v>
          </cell>
          <cell r="B4018">
            <v>37012608</v>
          </cell>
          <cell r="C4018">
            <v>20051010</v>
          </cell>
          <cell r="D4018">
            <v>45069</v>
          </cell>
        </row>
        <row r="4019">
          <cell r="A4019" t="str">
            <v>Railton de Souza Lopes</v>
          </cell>
          <cell r="B4019">
            <v>37018412</v>
          </cell>
          <cell r="C4019">
            <v>20073604</v>
          </cell>
          <cell r="D4019">
            <v>45482</v>
          </cell>
        </row>
        <row r="4020">
          <cell r="A4020" t="str">
            <v>Marco Antonio Basso</v>
          </cell>
          <cell r="B4020">
            <v>37018432</v>
          </cell>
          <cell r="C4020">
            <v>20073627</v>
          </cell>
          <cell r="D4020">
            <v>45482</v>
          </cell>
        </row>
        <row r="4021">
          <cell r="A4021" t="str">
            <v>Ramon Dos Santos Braga</v>
          </cell>
          <cell r="B4021">
            <v>37010217</v>
          </cell>
          <cell r="C4021">
            <v>20038642</v>
          </cell>
          <cell r="D4021">
            <v>44886</v>
          </cell>
        </row>
        <row r="4022">
          <cell r="A4022" t="str">
            <v>Fernando De Oliveira Prado</v>
          </cell>
          <cell r="B4022">
            <v>37008870</v>
          </cell>
          <cell r="C4022">
            <v>20034648</v>
          </cell>
          <cell r="D4022">
            <v>44777</v>
          </cell>
        </row>
        <row r="4023">
          <cell r="A4023" t="str">
            <v>Luciene Aparecida Silva Santos</v>
          </cell>
          <cell r="B4023">
            <v>37011258</v>
          </cell>
          <cell r="C4023">
            <v>20042656</v>
          </cell>
          <cell r="D4023">
            <v>44970</v>
          </cell>
        </row>
        <row r="4024">
          <cell r="A4024" t="str">
            <v>Rafael Anderson Correa Leite</v>
          </cell>
          <cell r="B4024">
            <v>37010893</v>
          </cell>
          <cell r="C4024">
            <v>20041292</v>
          </cell>
          <cell r="D4024">
            <v>44942</v>
          </cell>
        </row>
        <row r="4025">
          <cell r="A4025" t="str">
            <v>Raissa Gabriele Miranda Da Silva</v>
          </cell>
          <cell r="B4025">
            <v>37014985</v>
          </cell>
          <cell r="C4025">
            <v>20060706</v>
          </cell>
          <cell r="D4025">
            <v>45216</v>
          </cell>
        </row>
        <row r="4026">
          <cell r="A4026" t="str">
            <v>Aline Aparecida Goncalves Borsato</v>
          </cell>
          <cell r="B4026">
            <v>37018540</v>
          </cell>
          <cell r="C4026">
            <v>20073966</v>
          </cell>
          <cell r="D4026">
            <v>45482</v>
          </cell>
        </row>
        <row r="4027">
          <cell r="A4027" t="str">
            <v>Luciana Neves Eugenio</v>
          </cell>
          <cell r="B4027">
            <v>37018541</v>
          </cell>
          <cell r="C4027">
            <v>20073967</v>
          </cell>
          <cell r="D4027">
            <v>45482</v>
          </cell>
        </row>
        <row r="4028">
          <cell r="A4028" t="str">
            <v>Rosemi Lima Fermiano</v>
          </cell>
          <cell r="B4028">
            <v>37018544</v>
          </cell>
          <cell r="C4028">
            <v>20073970</v>
          </cell>
          <cell r="D4028">
            <v>45482</v>
          </cell>
        </row>
        <row r="4029">
          <cell r="A4029" t="str">
            <v>Cintia Geovana De Freitas Limonge</v>
          </cell>
          <cell r="B4029">
            <v>37018548</v>
          </cell>
          <cell r="C4029">
            <v>20073974</v>
          </cell>
          <cell r="D4029">
            <v>45482</v>
          </cell>
        </row>
        <row r="4030">
          <cell r="A4030" t="str">
            <v>Valdomiro Goncalves de Souza Neto</v>
          </cell>
          <cell r="B4030">
            <v>37018545</v>
          </cell>
          <cell r="C4030">
            <v>20073971</v>
          </cell>
          <cell r="D4030">
            <v>45482</v>
          </cell>
        </row>
        <row r="4031">
          <cell r="A4031" t="str">
            <v>Rosely Euzebio da Silva</v>
          </cell>
          <cell r="B4031">
            <v>37018551</v>
          </cell>
          <cell r="C4031">
            <v>20073977</v>
          </cell>
          <cell r="D4031">
            <v>45482</v>
          </cell>
        </row>
        <row r="4032">
          <cell r="A4032" t="str">
            <v>Cristiane Alves Macedo Bruni</v>
          </cell>
          <cell r="B4032">
            <v>37018552</v>
          </cell>
          <cell r="C4032">
            <v>20073978</v>
          </cell>
          <cell r="D4032">
            <v>45482</v>
          </cell>
        </row>
        <row r="4033">
          <cell r="A4033" t="str">
            <v>Gabrieli Santos da Silva</v>
          </cell>
          <cell r="B4033">
            <v>37018584</v>
          </cell>
          <cell r="C4033">
            <v>20074156</v>
          </cell>
          <cell r="D4033">
            <v>45489</v>
          </cell>
        </row>
        <row r="4034">
          <cell r="A4034" t="str">
            <v>Larissa Carvalho da Silva</v>
          </cell>
          <cell r="B4034">
            <v>37018605</v>
          </cell>
          <cell r="C4034">
            <v>20074183</v>
          </cell>
          <cell r="D4034">
            <v>45489</v>
          </cell>
        </row>
        <row r="4035">
          <cell r="A4035" t="str">
            <v>Vagner Gois Farias</v>
          </cell>
          <cell r="B4035">
            <v>37018596</v>
          </cell>
          <cell r="C4035">
            <v>20074170</v>
          </cell>
          <cell r="D4035">
            <v>45489</v>
          </cell>
        </row>
        <row r="4036">
          <cell r="A4036" t="str">
            <v>Juari Souza Gomes</v>
          </cell>
          <cell r="B4036">
            <v>37018709</v>
          </cell>
          <cell r="C4036">
            <v>20074877</v>
          </cell>
          <cell r="D4036">
            <v>45510</v>
          </cell>
        </row>
        <row r="4037">
          <cell r="A4037" t="str">
            <v>Felipe Torres Torres da Silva</v>
          </cell>
          <cell r="B4037">
            <v>37018717</v>
          </cell>
          <cell r="C4037">
            <v>20074903</v>
          </cell>
          <cell r="D4037">
            <v>45510</v>
          </cell>
        </row>
        <row r="4038">
          <cell r="A4038" t="str">
            <v>Amanda Rodrigues Costa</v>
          </cell>
          <cell r="B4038">
            <v>37018730</v>
          </cell>
          <cell r="C4038">
            <v>20074930</v>
          </cell>
          <cell r="D4038">
            <v>45510</v>
          </cell>
        </row>
        <row r="4039">
          <cell r="A4039" t="str">
            <v>Domingos Da Silva</v>
          </cell>
          <cell r="B4039">
            <v>37018851</v>
          </cell>
          <cell r="C4039">
            <v>20075146</v>
          </cell>
          <cell r="D4039">
            <v>45510</v>
          </cell>
        </row>
        <row r="4040">
          <cell r="A4040" t="str">
            <v>Bruno Goncalves Conceicao</v>
          </cell>
          <cell r="B4040">
            <v>37012519</v>
          </cell>
          <cell r="C4040">
            <v>20050231</v>
          </cell>
          <cell r="D4040">
            <v>45062</v>
          </cell>
        </row>
        <row r="4041">
          <cell r="A4041" t="str">
            <v>Tarcísio Barboza Caires</v>
          </cell>
          <cell r="B4041">
            <v>37018860</v>
          </cell>
          <cell r="C4041">
            <v>20075473</v>
          </cell>
          <cell r="D4041">
            <v>45517</v>
          </cell>
        </row>
        <row r="4042">
          <cell r="A4042" t="str">
            <v>João Henrique dos Santos Souza</v>
          </cell>
          <cell r="B4042">
            <v>37018880</v>
          </cell>
          <cell r="C4042">
            <v>20075503</v>
          </cell>
          <cell r="D4042">
            <v>45517</v>
          </cell>
        </row>
        <row r="4043">
          <cell r="A4043" t="str">
            <v>Andressa Nogueira Sodre</v>
          </cell>
          <cell r="B4043">
            <v>37010597</v>
          </cell>
          <cell r="C4043">
            <v>20040512</v>
          </cell>
          <cell r="D4043">
            <v>44930</v>
          </cell>
        </row>
        <row r="4044">
          <cell r="A4044" t="str">
            <v>Adriano Lima da Silva</v>
          </cell>
          <cell r="B4044">
            <v>37018889</v>
          </cell>
          <cell r="C4044">
            <v>20075520</v>
          </cell>
          <cell r="D4044">
            <v>45517</v>
          </cell>
        </row>
        <row r="4045">
          <cell r="A4045" t="str">
            <v>Flavio Rosa Da Silva</v>
          </cell>
          <cell r="B4045">
            <v>37018892</v>
          </cell>
          <cell r="C4045">
            <v>20075548</v>
          </cell>
          <cell r="D4045">
            <v>45524</v>
          </cell>
        </row>
        <row r="4046">
          <cell r="A4046" t="str">
            <v>Daniella Carla José da Costa Rocha</v>
          </cell>
          <cell r="B4046">
            <v>37018927</v>
          </cell>
          <cell r="C4046">
            <v>20076061</v>
          </cell>
          <cell r="D4046">
            <v>45524</v>
          </cell>
        </row>
        <row r="4047">
          <cell r="A4047" t="str">
            <v>Anderson da Silva Francisco</v>
          </cell>
          <cell r="B4047">
            <v>37019017</v>
          </cell>
          <cell r="C4047">
            <v>20076841</v>
          </cell>
          <cell r="D4047">
            <v>45538</v>
          </cell>
        </row>
        <row r="4048">
          <cell r="A4048" t="str">
            <v>Francivanha Zacarias Reis</v>
          </cell>
          <cell r="B4048">
            <v>37019056</v>
          </cell>
          <cell r="C4048">
            <v>20076908</v>
          </cell>
          <cell r="D4048">
            <v>45538</v>
          </cell>
        </row>
        <row r="4049">
          <cell r="A4049" t="str">
            <v>Floriano de Souza</v>
          </cell>
          <cell r="B4049">
            <v>37019069</v>
          </cell>
          <cell r="C4049">
            <v>20076922</v>
          </cell>
          <cell r="D4049">
            <v>45538</v>
          </cell>
        </row>
        <row r="4050">
          <cell r="A4050" t="str">
            <v>Rogerio Jorge</v>
          </cell>
          <cell r="B4050">
            <v>37019091</v>
          </cell>
          <cell r="C4050">
            <v>20076944</v>
          </cell>
          <cell r="D4050">
            <v>45538</v>
          </cell>
        </row>
        <row r="4051">
          <cell r="A4051" t="str">
            <v>Ritchard Matheus Santos Souza</v>
          </cell>
          <cell r="B4051">
            <v>37016155</v>
          </cell>
          <cell r="C4051">
            <v>20063809</v>
          </cell>
          <cell r="D4051">
            <v>45307</v>
          </cell>
        </row>
        <row r="4052">
          <cell r="A4052" t="str">
            <v>Marcos Paulo Rodrigues Costa</v>
          </cell>
          <cell r="B4052">
            <v>37012562</v>
          </cell>
          <cell r="C4052">
            <v>20050471</v>
          </cell>
          <cell r="D4052">
            <v>45069</v>
          </cell>
        </row>
        <row r="4053">
          <cell r="A4053" t="str">
            <v>Marcia Cristiane Ribeiro Nunes</v>
          </cell>
          <cell r="B4053">
            <v>37009913</v>
          </cell>
          <cell r="C4053">
            <v>20037266</v>
          </cell>
          <cell r="D4053">
            <v>44872</v>
          </cell>
        </row>
        <row r="4054">
          <cell r="A4054" t="str">
            <v>Paulo Cezar Ferreira Neves Junior</v>
          </cell>
          <cell r="B4054">
            <v>37019120</v>
          </cell>
          <cell r="C4054">
            <v>20077273</v>
          </cell>
          <cell r="D4054">
            <v>45538</v>
          </cell>
        </row>
        <row r="4055">
          <cell r="A4055" t="str">
            <v>Jose Ronaldo Mendes Junior</v>
          </cell>
          <cell r="B4055">
            <v>37012319</v>
          </cell>
          <cell r="C4055">
            <v>20049277</v>
          </cell>
          <cell r="D4055">
            <v>45048</v>
          </cell>
        </row>
        <row r="4056">
          <cell r="A4056" t="str">
            <v>Paulo Guilherme Lopes Campos</v>
          </cell>
          <cell r="B4056">
            <v>37011958</v>
          </cell>
          <cell r="C4056">
            <v>20046858</v>
          </cell>
          <cell r="D4056">
            <v>45019</v>
          </cell>
        </row>
        <row r="4057">
          <cell r="A4057" t="str">
            <v>Rubens Bonifacio dos Santos</v>
          </cell>
          <cell r="B4057">
            <v>37011169</v>
          </cell>
          <cell r="C4057">
            <v>20042515</v>
          </cell>
          <cell r="D4057">
            <v>44970</v>
          </cell>
        </row>
        <row r="4058">
          <cell r="A4058" t="str">
            <v>Wanessa Kellykyn Crislynne Silva dos Santos</v>
          </cell>
          <cell r="B4058">
            <v>37019123</v>
          </cell>
          <cell r="C4058">
            <v>20077300</v>
          </cell>
          <cell r="D4058">
            <v>45545</v>
          </cell>
        </row>
        <row r="4059">
          <cell r="A4059" t="str">
            <v>Michelle Luana Santos de Oliveira Barbosa</v>
          </cell>
          <cell r="B4059">
            <v>37019129</v>
          </cell>
          <cell r="C4059">
            <v>20077313</v>
          </cell>
          <cell r="D4059">
            <v>45545</v>
          </cell>
        </row>
        <row r="4060">
          <cell r="A4060" t="str">
            <v>Jaciane dos Santos Pires</v>
          </cell>
          <cell r="B4060">
            <v>37019139</v>
          </cell>
          <cell r="C4060">
            <v>20077324</v>
          </cell>
          <cell r="D4060">
            <v>45545</v>
          </cell>
        </row>
        <row r="4061">
          <cell r="A4061" t="str">
            <v>Jessica Rodrigues da Silva</v>
          </cell>
          <cell r="B4061">
            <v>37019140</v>
          </cell>
          <cell r="C4061">
            <v>20077326</v>
          </cell>
          <cell r="D4061">
            <v>45545</v>
          </cell>
        </row>
        <row r="4062">
          <cell r="A4062" t="str">
            <v>Danilo Pinheiro Souza</v>
          </cell>
          <cell r="B4062">
            <v>37010420</v>
          </cell>
          <cell r="C4062">
            <v>20039724</v>
          </cell>
          <cell r="D4062">
            <v>44907</v>
          </cell>
        </row>
        <row r="4063">
          <cell r="A4063" t="str">
            <v>Roseane Tavares Alves</v>
          </cell>
          <cell r="B4063">
            <v>37019149</v>
          </cell>
          <cell r="C4063">
            <v>20077356</v>
          </cell>
          <cell r="D4063">
            <v>45545</v>
          </cell>
        </row>
        <row r="4064">
          <cell r="A4064" t="str">
            <v>Yara Fernanda Rodrigues da Cruz</v>
          </cell>
          <cell r="B4064">
            <v>37019157</v>
          </cell>
          <cell r="C4064">
            <v>20077364</v>
          </cell>
          <cell r="D4064">
            <v>45545</v>
          </cell>
        </row>
        <row r="4065">
          <cell r="A4065" t="str">
            <v>Erik De Oliveira Braga</v>
          </cell>
          <cell r="B4065">
            <v>37011714</v>
          </cell>
          <cell r="C4065">
            <v>20045238</v>
          </cell>
          <cell r="D4065">
            <v>44998</v>
          </cell>
        </row>
        <row r="4066">
          <cell r="A4066" t="str">
            <v>Camila Santos Dias</v>
          </cell>
          <cell r="B4066">
            <v>37014769</v>
          </cell>
          <cell r="C4066">
            <v>20059974</v>
          </cell>
          <cell r="D4066">
            <v>45202</v>
          </cell>
        </row>
        <row r="4067">
          <cell r="A4067" t="str">
            <v>Paulo Victor Ornellas</v>
          </cell>
          <cell r="B4067">
            <v>37014213</v>
          </cell>
          <cell r="C4067">
            <v>20058033</v>
          </cell>
          <cell r="D4067">
            <v>45174</v>
          </cell>
        </row>
        <row r="4068">
          <cell r="A4068" t="str">
            <v>Gabriel das Neves Sacramento</v>
          </cell>
          <cell r="B4068">
            <v>37013896</v>
          </cell>
          <cell r="C4068">
            <v>20057055</v>
          </cell>
          <cell r="D4068">
            <v>45146</v>
          </cell>
        </row>
        <row r="4069">
          <cell r="A4069" t="str">
            <v>Ana Karoline Silva dos Santos</v>
          </cell>
          <cell r="B4069">
            <v>37019160</v>
          </cell>
          <cell r="C4069">
            <v>20077367</v>
          </cell>
          <cell r="D4069">
            <v>45545</v>
          </cell>
        </row>
        <row r="4070">
          <cell r="A4070" t="str">
            <v>Mirely Amanda Santos de Lima</v>
          </cell>
          <cell r="B4070">
            <v>37019181</v>
          </cell>
          <cell r="C4070">
            <v>20077388</v>
          </cell>
          <cell r="D4070">
            <v>45545</v>
          </cell>
        </row>
        <row r="4071">
          <cell r="A4071" t="str">
            <v>Alex Eduardo Nogueira dos Santos</v>
          </cell>
          <cell r="B4071">
            <v>37019179</v>
          </cell>
          <cell r="C4071">
            <v>20077386</v>
          </cell>
          <cell r="D4071">
            <v>45545</v>
          </cell>
        </row>
        <row r="4072">
          <cell r="A4072" t="str">
            <v>Evanílson José de Araújo</v>
          </cell>
          <cell r="B4072">
            <v>37019182</v>
          </cell>
          <cell r="C4072">
            <v>20077389</v>
          </cell>
          <cell r="D4072">
            <v>45545</v>
          </cell>
        </row>
        <row r="4073">
          <cell r="A4073" t="str">
            <v>Ruan Pablo da Silva</v>
          </cell>
          <cell r="B4073">
            <v>37019260</v>
          </cell>
          <cell r="C4073">
            <v>20077941</v>
          </cell>
          <cell r="D4073">
            <v>45552</v>
          </cell>
        </row>
        <row r="4074">
          <cell r="A4074" t="str">
            <v>Elmar de Araujo Lima</v>
          </cell>
          <cell r="B4074">
            <v>37019250</v>
          </cell>
          <cell r="C4074">
            <v>20077931</v>
          </cell>
          <cell r="D4074">
            <v>45552</v>
          </cell>
        </row>
        <row r="4075">
          <cell r="A4075" t="str">
            <v>Evandro Valdez Vegotti Junior</v>
          </cell>
          <cell r="B4075">
            <v>37019285</v>
          </cell>
          <cell r="C4075">
            <v>20077967</v>
          </cell>
          <cell r="D4075">
            <v>45552</v>
          </cell>
        </row>
        <row r="4076">
          <cell r="A4076" t="str">
            <v>Junior da Silva Santos</v>
          </cell>
          <cell r="B4076">
            <v>37019299</v>
          </cell>
          <cell r="C4076">
            <v>20077994</v>
          </cell>
          <cell r="D4076">
            <v>45552</v>
          </cell>
        </row>
        <row r="4077">
          <cell r="A4077" t="str">
            <v>Anny Karolliny Miranda Prates</v>
          </cell>
          <cell r="B4077">
            <v>37012967</v>
          </cell>
          <cell r="C4077">
            <v>20052102</v>
          </cell>
          <cell r="D4077">
            <v>45090</v>
          </cell>
        </row>
        <row r="4078">
          <cell r="A4078" t="str">
            <v>Willians Jesus Michalowski</v>
          </cell>
          <cell r="B4078">
            <v>37000798</v>
          </cell>
          <cell r="C4078">
            <v>20010062</v>
          </cell>
          <cell r="D4078">
            <v>40455</v>
          </cell>
        </row>
        <row r="4079">
          <cell r="A4079" t="str">
            <v>Tamires Pereira Gomes</v>
          </cell>
          <cell r="B4079">
            <v>37008074</v>
          </cell>
          <cell r="C4079">
            <v>20026794</v>
          </cell>
          <cell r="D4079">
            <v>44713</v>
          </cell>
        </row>
        <row r="4080">
          <cell r="A4080" t="str">
            <v>Marcelo Luiz Pereira da Silva</v>
          </cell>
          <cell r="B4080">
            <v>37013680</v>
          </cell>
          <cell r="C4080">
            <v>20056243</v>
          </cell>
          <cell r="D4080">
            <v>45139</v>
          </cell>
        </row>
        <row r="4081">
          <cell r="A4081" t="str">
            <v>Sedenir Fernandes</v>
          </cell>
          <cell r="B4081">
            <v>37011475</v>
          </cell>
          <cell r="C4081">
            <v>20044134</v>
          </cell>
          <cell r="D4081">
            <v>44991</v>
          </cell>
        </row>
        <row r="4082">
          <cell r="A4082" t="str">
            <v>Bruno Ricardo De Oliveira Arruda</v>
          </cell>
          <cell r="B4082">
            <v>37007059</v>
          </cell>
          <cell r="C4082">
            <v>20022874</v>
          </cell>
          <cell r="D4082">
            <v>44593</v>
          </cell>
        </row>
        <row r="4083">
          <cell r="A4083" t="str">
            <v>Gustavo Ribeiro Pardim</v>
          </cell>
          <cell r="B4083">
            <v>37019371</v>
          </cell>
          <cell r="C4083">
            <v>20078352</v>
          </cell>
          <cell r="D4083">
            <v>45566</v>
          </cell>
        </row>
        <row r="4084">
          <cell r="A4084" t="str">
            <v>Flavia Milena Moresco</v>
          </cell>
          <cell r="B4084">
            <v>37019400</v>
          </cell>
          <cell r="C4084">
            <v>20078381</v>
          </cell>
          <cell r="D4084">
            <v>45566</v>
          </cell>
        </row>
        <row r="4085">
          <cell r="A4085" t="str">
            <v>Henrique Quero Polli</v>
          </cell>
          <cell r="B4085">
            <v>37019396</v>
          </cell>
          <cell r="C4085">
            <v>20078377</v>
          </cell>
          <cell r="D4085">
            <v>45566</v>
          </cell>
        </row>
        <row r="4086">
          <cell r="A4086" t="str">
            <v>Edson Roberto Da Silva Santana</v>
          </cell>
          <cell r="B4086">
            <v>37009686</v>
          </cell>
          <cell r="C4086">
            <v>20035988</v>
          </cell>
          <cell r="D4086">
            <v>44851</v>
          </cell>
        </row>
        <row r="4087">
          <cell r="A4087" t="str">
            <v>Carlos Roberio Maia Bandeira</v>
          </cell>
          <cell r="B4087" t="e">
            <v>#N/A</v>
          </cell>
          <cell r="C4087">
            <v>20078714</v>
          </cell>
          <cell r="D4087" t="e">
            <v>#N/A</v>
          </cell>
        </row>
        <row r="4088">
          <cell r="A4088" t="str">
            <v>José Aurino Matos de Sousa</v>
          </cell>
          <cell r="B4088" t="e">
            <v>#N/A</v>
          </cell>
          <cell r="C4088">
            <v>20078746</v>
          </cell>
          <cell r="D4088" t="e">
            <v>#N/A</v>
          </cell>
        </row>
        <row r="4089">
          <cell r="A4089" t="str">
            <v>Andrey Roberto Oliveira Antunes</v>
          </cell>
          <cell r="B4089" t="e">
            <v>#N/A</v>
          </cell>
          <cell r="C4089">
            <v>20079367</v>
          </cell>
          <cell r="D4089" t="e">
            <v>#N/A</v>
          </cell>
        </row>
        <row r="4090">
          <cell r="A4090" t="str">
            <v>Matheus Feitosa Pereira</v>
          </cell>
          <cell r="B4090" t="e">
            <v>#N/A</v>
          </cell>
          <cell r="C4090">
            <v>20079368</v>
          </cell>
          <cell r="D4090" t="e">
            <v>#N/A</v>
          </cell>
        </row>
        <row r="4091">
          <cell r="A4091" t="str">
            <v>Bruno Bispo Oliveira Santos</v>
          </cell>
          <cell r="B4091" t="e">
            <v>#N/A</v>
          </cell>
          <cell r="C4091">
            <v>20079944</v>
          </cell>
          <cell r="D4091" t="e">
            <v>#N/A</v>
          </cell>
        </row>
        <row r="4092">
          <cell r="A4092" t="str">
            <v>Gilvan Pereira Santos</v>
          </cell>
          <cell r="B4092" t="e">
            <v>#N/A</v>
          </cell>
          <cell r="C4092">
            <v>20079959</v>
          </cell>
          <cell r="D4092" t="e">
            <v>#N/A</v>
          </cell>
        </row>
        <row r="4093">
          <cell r="A4093" t="str">
            <v>Símaco Salvatino de Paiva</v>
          </cell>
          <cell r="B4093" t="e">
            <v>#N/A</v>
          </cell>
          <cell r="C4093">
            <v>20079961</v>
          </cell>
          <cell r="D4093" t="e">
            <v>#N/A</v>
          </cell>
        </row>
        <row r="4094">
          <cell r="A4094" t="str">
            <v>David Henrique Batalha de Moraes</v>
          </cell>
          <cell r="B4094" t="e">
            <v>#N/A</v>
          </cell>
          <cell r="C4094">
            <v>20079972</v>
          </cell>
          <cell r="D4094" t="e">
            <v>#N/A</v>
          </cell>
        </row>
        <row r="4095">
          <cell r="A4095" t="str">
            <v>Jeniffer de Araujo de Carvalho</v>
          </cell>
          <cell r="B4095" t="e">
            <v>#N/A</v>
          </cell>
          <cell r="C4095">
            <v>20079973</v>
          </cell>
          <cell r="D4095" t="e">
            <v>#N/A</v>
          </cell>
        </row>
        <row r="4096">
          <cell r="A4096" t="str">
            <v>Carlos Henrique dos Santos Barbosa</v>
          </cell>
          <cell r="B4096" t="e">
            <v>#N/A</v>
          </cell>
          <cell r="C4096">
            <v>20079977</v>
          </cell>
          <cell r="D4096" t="e">
            <v>#N/A</v>
          </cell>
        </row>
        <row r="4097">
          <cell r="A4097" t="str">
            <v>Baptista João Boanha</v>
          </cell>
          <cell r="B4097" t="e">
            <v>#N/A</v>
          </cell>
          <cell r="C4097">
            <v>20079979</v>
          </cell>
          <cell r="D4097" t="e">
            <v>#N/A</v>
          </cell>
        </row>
        <row r="4098">
          <cell r="A4098" t="str">
            <v>Clara Vitoria Sousa Alves</v>
          </cell>
          <cell r="B4098" t="e">
            <v>#N/A</v>
          </cell>
          <cell r="C4098">
            <v>20079991</v>
          </cell>
          <cell r="D4098" t="e">
            <v>#N/A</v>
          </cell>
        </row>
        <row r="4099">
          <cell r="A4099" t="str">
            <v>João Paulo Santos da Silva</v>
          </cell>
          <cell r="B4099" t="e">
            <v>#N/A</v>
          </cell>
          <cell r="C4099">
            <v>20079993</v>
          </cell>
          <cell r="D4099" t="e">
            <v>#N/A</v>
          </cell>
        </row>
        <row r="4100">
          <cell r="A4100" t="str">
            <v>Maria Francisca Silva dos Santos</v>
          </cell>
          <cell r="B4100" t="e">
            <v>#N/A</v>
          </cell>
          <cell r="C4100">
            <v>20079999</v>
          </cell>
          <cell r="D4100" t="e">
            <v>#N/A</v>
          </cell>
        </row>
        <row r="4101">
          <cell r="A4101" t="str">
            <v>Angela Cristina dos Santos Jardim</v>
          </cell>
          <cell r="B4101" t="e">
            <v>#N/A</v>
          </cell>
          <cell r="C4101">
            <v>20079980</v>
          </cell>
          <cell r="D4101" t="e">
            <v>#N/A</v>
          </cell>
        </row>
        <row r="4102">
          <cell r="A4102" t="str">
            <v>Ledinalva Pinheiro da Silva</v>
          </cell>
          <cell r="B4102" t="e">
            <v>#N/A</v>
          </cell>
          <cell r="C4102">
            <v>20079984</v>
          </cell>
          <cell r="D4102" t="e">
            <v>#N/A</v>
          </cell>
        </row>
        <row r="4103">
          <cell r="A4103" t="str">
            <v>Joelson Jesus Dos Santos</v>
          </cell>
          <cell r="B4103" t="e">
            <v>#N/A</v>
          </cell>
          <cell r="C4103">
            <v>20079987</v>
          </cell>
          <cell r="D4103" t="e">
            <v>#N/A</v>
          </cell>
        </row>
        <row r="4104">
          <cell r="A4104" t="str">
            <v>Marcela Carvalho Rocha</v>
          </cell>
          <cell r="B4104" t="e">
            <v>#N/A</v>
          </cell>
          <cell r="C4104">
            <v>20079994</v>
          </cell>
          <cell r="D4104" t="e">
            <v>#N/A</v>
          </cell>
        </row>
        <row r="4105">
          <cell r="A4105" t="str">
            <v>Naiana dos Santos Leal</v>
          </cell>
          <cell r="B4105" t="e">
            <v>#N/A</v>
          </cell>
          <cell r="C4105">
            <v>20079997</v>
          </cell>
          <cell r="D4105" t="e">
            <v>#N/A</v>
          </cell>
        </row>
        <row r="4106">
          <cell r="A4106" t="str">
            <v>Tairine Sousa da Silva</v>
          </cell>
          <cell r="B4106" t="e">
            <v>#N/A</v>
          </cell>
          <cell r="C4106">
            <v>20046387</v>
          </cell>
          <cell r="D4106" t="e">
            <v>#N/A</v>
          </cell>
        </row>
        <row r="4107">
          <cell r="A4107" t="str">
            <v>Tamara Rocha Melo</v>
          </cell>
          <cell r="B4107" t="e">
            <v>#N/A</v>
          </cell>
          <cell r="C4107">
            <v>20079998</v>
          </cell>
          <cell r="D4107" t="e">
            <v>#N/A</v>
          </cell>
        </row>
        <row r="4108">
          <cell r="A4108" t="str">
            <v>Diana Domiciano de Souza</v>
          </cell>
          <cell r="B4108" t="e">
            <v>#N/A</v>
          </cell>
          <cell r="C4108">
            <v>20080015</v>
          </cell>
          <cell r="D4108" t="e">
            <v>#N/A</v>
          </cell>
        </row>
        <row r="4109">
          <cell r="A4109" t="str">
            <v>Raquel Joaquim de Aragão</v>
          </cell>
          <cell r="B4109" t="e">
            <v>#N/A</v>
          </cell>
          <cell r="C4109">
            <v>20080003</v>
          </cell>
          <cell r="D4109" t="e">
            <v>#N/A</v>
          </cell>
        </row>
        <row r="4110">
          <cell r="A4110" t="str">
            <v>Robson Murilo Alves Osuna</v>
          </cell>
          <cell r="B4110" t="e">
            <v>#N/A</v>
          </cell>
          <cell r="C4110">
            <v>20080010</v>
          </cell>
          <cell r="D4110" t="e">
            <v>#N/A</v>
          </cell>
        </row>
        <row r="4111">
          <cell r="A4111" t="str">
            <v>Wilton José da Silva Nascimento</v>
          </cell>
          <cell r="B4111" t="e">
            <v>#N/A</v>
          </cell>
          <cell r="C4111">
            <v>20080016</v>
          </cell>
          <cell r="D4111" t="e">
            <v>#N/A</v>
          </cell>
        </row>
        <row r="4112">
          <cell r="A4112" t="str">
            <v>Fabio Pereira Marques</v>
          </cell>
          <cell r="B4112">
            <v>37010099</v>
          </cell>
          <cell r="C4112">
            <v>20037945</v>
          </cell>
          <cell r="D4112">
            <v>44881</v>
          </cell>
        </row>
        <row r="4113">
          <cell r="A4113" t="str">
            <v>Devanir Paes de Oliveira</v>
          </cell>
          <cell r="B4113">
            <v>37010216</v>
          </cell>
          <cell r="C4113">
            <v>20038637</v>
          </cell>
          <cell r="D4113">
            <v>44886</v>
          </cell>
        </row>
        <row r="4114">
          <cell r="A4114" t="str">
            <v>Jeferson Alves de Barros</v>
          </cell>
          <cell r="B4114">
            <v>37010219</v>
          </cell>
          <cell r="C4114">
            <v>20038638</v>
          </cell>
          <cell r="D4114">
            <v>44886</v>
          </cell>
        </row>
        <row r="4115">
          <cell r="A4115" t="str">
            <v>Aguinaldo Pereira de Souza</v>
          </cell>
          <cell r="B4115">
            <v>37010243</v>
          </cell>
          <cell r="C4115">
            <v>20038854</v>
          </cell>
          <cell r="D4115">
            <v>44900</v>
          </cell>
        </row>
        <row r="4116">
          <cell r="A4116" t="str">
            <v>Leandro Messias dos Santos</v>
          </cell>
          <cell r="B4116">
            <v>37010270</v>
          </cell>
          <cell r="C4116">
            <v>20038999</v>
          </cell>
          <cell r="D4116">
            <v>44900</v>
          </cell>
        </row>
        <row r="4117">
          <cell r="A4117" t="str">
            <v>Luiz Henrique Alves Pereira de Andrade</v>
          </cell>
          <cell r="B4117">
            <v>37010363</v>
          </cell>
          <cell r="C4117">
            <v>20039091</v>
          </cell>
          <cell r="D4117">
            <v>44900</v>
          </cell>
        </row>
        <row r="4118">
          <cell r="A4118" t="str">
            <v>Patrick Oliveira Arruda</v>
          </cell>
          <cell r="B4118">
            <v>37010370</v>
          </cell>
          <cell r="C4118">
            <v>20039098</v>
          </cell>
          <cell r="D4118">
            <v>44900</v>
          </cell>
        </row>
        <row r="4119">
          <cell r="A4119" t="str">
            <v>Felipe Junior Marques Coelho</v>
          </cell>
          <cell r="B4119">
            <v>37010447</v>
          </cell>
          <cell r="C4119">
            <v>20039954</v>
          </cell>
          <cell r="D4119">
            <v>44907</v>
          </cell>
        </row>
        <row r="4120">
          <cell r="A4120" t="str">
            <v>Lucas Profirio Nogueira</v>
          </cell>
          <cell r="B4120">
            <v>37010496</v>
          </cell>
          <cell r="C4120">
            <v>20040229</v>
          </cell>
          <cell r="D4120">
            <v>44914</v>
          </cell>
        </row>
        <row r="4121">
          <cell r="A4121" t="str">
            <v>Samuel Ferreira da Silva</v>
          </cell>
          <cell r="B4121">
            <v>37010593</v>
          </cell>
          <cell r="C4121">
            <v>20040508</v>
          </cell>
          <cell r="D4121">
            <v>44930</v>
          </cell>
        </row>
        <row r="4122">
          <cell r="A4122" t="str">
            <v>Elivelton Pache Damico</v>
          </cell>
          <cell r="B4122">
            <v>37010632</v>
          </cell>
          <cell r="C4122">
            <v>20040547</v>
          </cell>
          <cell r="D4122">
            <v>44930</v>
          </cell>
        </row>
        <row r="4123">
          <cell r="A4123" t="str">
            <v>Ezequiel Ferreira dos Santos</v>
          </cell>
          <cell r="B4123">
            <v>37010688</v>
          </cell>
          <cell r="C4123">
            <v>20040660</v>
          </cell>
          <cell r="D4123">
            <v>44930</v>
          </cell>
        </row>
        <row r="4124">
          <cell r="A4124" t="str">
            <v>Daniele Paszko Monteiro</v>
          </cell>
          <cell r="B4124">
            <v>37010777</v>
          </cell>
          <cell r="C4124">
            <v>20041159</v>
          </cell>
          <cell r="D4124">
            <v>44942</v>
          </cell>
        </row>
        <row r="4125">
          <cell r="A4125" t="str">
            <v>Rhuan Christian Alves Miranda</v>
          </cell>
          <cell r="B4125">
            <v>37010795</v>
          </cell>
          <cell r="C4125">
            <v>20041177</v>
          </cell>
          <cell r="D4125">
            <v>44942</v>
          </cell>
        </row>
        <row r="4126">
          <cell r="A4126" t="str">
            <v>Gilberto Alves Feitosa</v>
          </cell>
          <cell r="B4126">
            <v>37011078</v>
          </cell>
          <cell r="C4126">
            <v>20042144</v>
          </cell>
          <cell r="D4126">
            <v>44963</v>
          </cell>
        </row>
        <row r="4127">
          <cell r="A4127" t="str">
            <v>Joao Pedro de Andrade Scavassa</v>
          </cell>
          <cell r="B4127">
            <v>37011093</v>
          </cell>
          <cell r="C4127">
            <v>20042165</v>
          </cell>
          <cell r="D4127">
            <v>44963</v>
          </cell>
        </row>
        <row r="4128">
          <cell r="A4128" t="str">
            <v>Anderson Santos de Oliveira</v>
          </cell>
          <cell r="B4128">
            <v>37011095</v>
          </cell>
          <cell r="C4128">
            <v>20042167</v>
          </cell>
          <cell r="D4128">
            <v>44963</v>
          </cell>
        </row>
        <row r="4129">
          <cell r="A4129" t="str">
            <v>Alex Silva de Barros</v>
          </cell>
          <cell r="B4129">
            <v>37011096</v>
          </cell>
          <cell r="C4129">
            <v>20042168</v>
          </cell>
          <cell r="D4129">
            <v>44963</v>
          </cell>
        </row>
        <row r="4130">
          <cell r="A4130" t="str">
            <v>Elso Junior da Silva</v>
          </cell>
          <cell r="B4130">
            <v>37011141</v>
          </cell>
          <cell r="C4130">
            <v>20042372</v>
          </cell>
          <cell r="D4130">
            <v>44970</v>
          </cell>
        </row>
        <row r="4131">
          <cell r="A4131" t="str">
            <v>Antonio Carlos de Souza Lacerda</v>
          </cell>
          <cell r="B4131">
            <v>37011147</v>
          </cell>
          <cell r="C4131">
            <v>20042493</v>
          </cell>
          <cell r="D4131">
            <v>44970</v>
          </cell>
        </row>
        <row r="4132">
          <cell r="A4132" t="str">
            <v>Marcio Jose Gregorio da Silva</v>
          </cell>
          <cell r="B4132">
            <v>37011152</v>
          </cell>
          <cell r="C4132">
            <v>20042498</v>
          </cell>
          <cell r="D4132">
            <v>44970</v>
          </cell>
        </row>
        <row r="4133">
          <cell r="A4133" t="str">
            <v>Jezue Dias Leal</v>
          </cell>
          <cell r="B4133">
            <v>37011196</v>
          </cell>
          <cell r="C4133">
            <v>20042542</v>
          </cell>
          <cell r="D4133">
            <v>44970</v>
          </cell>
        </row>
        <row r="4134">
          <cell r="A4134" t="str">
            <v>Antonio Aparecido do Nascimento</v>
          </cell>
          <cell r="B4134">
            <v>37011436</v>
          </cell>
          <cell r="C4134">
            <v>20044064</v>
          </cell>
          <cell r="D4134">
            <v>44986</v>
          </cell>
        </row>
        <row r="4135">
          <cell r="A4135" t="str">
            <v>Gilberto Leite da Silva</v>
          </cell>
          <cell r="B4135">
            <v>37011519</v>
          </cell>
          <cell r="C4135">
            <v>20044410</v>
          </cell>
          <cell r="D4135">
            <v>44991</v>
          </cell>
        </row>
        <row r="4136">
          <cell r="A4136" t="str">
            <v>Joao Fabio Borges Flores</v>
          </cell>
          <cell r="B4136">
            <v>37011685</v>
          </cell>
          <cell r="C4136">
            <v>20045209</v>
          </cell>
          <cell r="D4136">
            <v>44998</v>
          </cell>
        </row>
        <row r="4137">
          <cell r="A4137" t="str">
            <v>Wendi Souza dos Santos</v>
          </cell>
          <cell r="B4137">
            <v>37011693</v>
          </cell>
          <cell r="C4137">
            <v>20045217</v>
          </cell>
          <cell r="D4137">
            <v>44998</v>
          </cell>
        </row>
        <row r="4138">
          <cell r="A4138" t="str">
            <v>Robson Paulino de Souza</v>
          </cell>
          <cell r="B4138">
            <v>37011826</v>
          </cell>
          <cell r="C4138">
            <v>20045920</v>
          </cell>
          <cell r="D4138">
            <v>45005</v>
          </cell>
        </row>
        <row r="4139">
          <cell r="A4139" t="str">
            <v>Gilcimar Aparecido Gregorio de Souza</v>
          </cell>
          <cell r="B4139">
            <v>37011835</v>
          </cell>
          <cell r="C4139">
            <v>20045929</v>
          </cell>
          <cell r="D4139">
            <v>45005</v>
          </cell>
        </row>
        <row r="4140">
          <cell r="A4140" t="str">
            <v>John Michael Salina De Souza</v>
          </cell>
          <cell r="B4140">
            <v>37011837</v>
          </cell>
          <cell r="C4140">
            <v>20045931</v>
          </cell>
          <cell r="D4140">
            <v>45005</v>
          </cell>
        </row>
        <row r="4141">
          <cell r="A4141" t="str">
            <v>Jeferson de Oliveira da Silva Peralta</v>
          </cell>
          <cell r="B4141">
            <v>37011836</v>
          </cell>
          <cell r="C4141">
            <v>20045930</v>
          </cell>
          <cell r="D4141">
            <v>45005</v>
          </cell>
        </row>
        <row r="4142">
          <cell r="A4142" t="str">
            <v>Johnatas do Nascimento Moltocaro</v>
          </cell>
          <cell r="B4142">
            <v>37011838</v>
          </cell>
          <cell r="C4142">
            <v>20045932</v>
          </cell>
          <cell r="D4142">
            <v>45005</v>
          </cell>
        </row>
        <row r="4143">
          <cell r="A4143" t="str">
            <v>Cleverton Jose Lima da Costa</v>
          </cell>
          <cell r="B4143">
            <v>37012964</v>
          </cell>
          <cell r="C4143">
            <v>20052098</v>
          </cell>
          <cell r="D4143">
            <v>45090</v>
          </cell>
        </row>
        <row r="4144">
          <cell r="A4144" t="str">
            <v>GENIVALDO VIEIRA DE LOSSENA</v>
          </cell>
          <cell r="B4144">
            <v>37013099</v>
          </cell>
          <cell r="C4144">
            <v>20052818</v>
          </cell>
          <cell r="D4144">
            <v>45097</v>
          </cell>
        </row>
        <row r="4145">
          <cell r="A4145" t="str">
            <v>Douglas Ferreira dos Santos</v>
          </cell>
          <cell r="B4145">
            <v>37013302</v>
          </cell>
          <cell r="C4145">
            <v>20053664</v>
          </cell>
          <cell r="D4145">
            <v>45111</v>
          </cell>
        </row>
        <row r="4146">
          <cell r="A4146" t="str">
            <v>Claudio Dos Santos Magnani</v>
          </cell>
          <cell r="B4146">
            <v>37013404</v>
          </cell>
          <cell r="C4146">
            <v>20054515</v>
          </cell>
          <cell r="D4146">
            <v>45118</v>
          </cell>
        </row>
        <row r="4147">
          <cell r="A4147" t="str">
            <v>Amaraldo Ferreira dos Santos</v>
          </cell>
          <cell r="B4147">
            <v>37013466</v>
          </cell>
          <cell r="C4147">
            <v>20055362</v>
          </cell>
          <cell r="D4147">
            <v>45125</v>
          </cell>
        </row>
        <row r="4148">
          <cell r="A4148" t="str">
            <v>Jean Carvalho Evangelista</v>
          </cell>
          <cell r="B4148">
            <v>37013650</v>
          </cell>
          <cell r="C4148">
            <v>20055942</v>
          </cell>
          <cell r="D4148">
            <v>45139</v>
          </cell>
        </row>
        <row r="4149">
          <cell r="A4149" t="str">
            <v>Luis Henrique Ponciano</v>
          </cell>
          <cell r="B4149">
            <v>37013789</v>
          </cell>
          <cell r="C4149">
            <v>20056440</v>
          </cell>
          <cell r="D4149">
            <v>45139</v>
          </cell>
        </row>
        <row r="4150">
          <cell r="A4150" t="str">
            <v>Henrique Souza de Oliveira</v>
          </cell>
          <cell r="B4150">
            <v>37013954</v>
          </cell>
          <cell r="C4150">
            <v>20057358</v>
          </cell>
          <cell r="D4150">
            <v>45153</v>
          </cell>
        </row>
        <row r="4151">
          <cell r="A4151" t="str">
            <v>Divino Carlos do Nascimento Filho</v>
          </cell>
          <cell r="B4151">
            <v>37013962</v>
          </cell>
          <cell r="C4151">
            <v>20057443</v>
          </cell>
          <cell r="D4151">
            <v>45153</v>
          </cell>
        </row>
        <row r="4152">
          <cell r="A4152" t="str">
            <v>Alexandro Lima da Silva</v>
          </cell>
          <cell r="B4152">
            <v>37014071</v>
          </cell>
          <cell r="C4152">
            <v>20057787</v>
          </cell>
          <cell r="D4152">
            <v>45160</v>
          </cell>
        </row>
        <row r="4153">
          <cell r="A4153" t="str">
            <v>Renan Duarte Goncalves</v>
          </cell>
          <cell r="B4153">
            <v>37014187</v>
          </cell>
          <cell r="C4153">
            <v>20057986</v>
          </cell>
          <cell r="D4153">
            <v>45174</v>
          </cell>
        </row>
        <row r="4154">
          <cell r="A4154" t="str">
            <v>Luiz Aparecido Florencio da Silva</v>
          </cell>
          <cell r="B4154">
            <v>37014188</v>
          </cell>
          <cell r="C4154">
            <v>20057987</v>
          </cell>
          <cell r="D4154">
            <v>45174</v>
          </cell>
        </row>
        <row r="4155">
          <cell r="A4155" t="str">
            <v>Jhenison de Jesus Oliveira</v>
          </cell>
          <cell r="B4155">
            <v>37014513</v>
          </cell>
          <cell r="C4155">
            <v>20059039</v>
          </cell>
          <cell r="D4155">
            <v>45188</v>
          </cell>
        </row>
        <row r="4156">
          <cell r="A4156" t="str">
            <v>Ricardo Barbosa Dutra</v>
          </cell>
          <cell r="B4156">
            <v>37014690</v>
          </cell>
          <cell r="C4156">
            <v>20059449</v>
          </cell>
          <cell r="D4156">
            <v>45188</v>
          </cell>
        </row>
        <row r="4157">
          <cell r="A4157" t="str">
            <v>Eduardo Alves Borges Neto</v>
          </cell>
          <cell r="B4157">
            <v>37014726</v>
          </cell>
          <cell r="C4157">
            <v>20059786</v>
          </cell>
          <cell r="D4157">
            <v>45202</v>
          </cell>
        </row>
        <row r="4158">
          <cell r="A4158" t="str">
            <v>Kaique Xavier Siqueira</v>
          </cell>
          <cell r="B4158">
            <v>37015543</v>
          </cell>
          <cell r="C4158">
            <v>20062929</v>
          </cell>
          <cell r="D4158">
            <v>45272</v>
          </cell>
        </row>
        <row r="4159">
          <cell r="A4159" t="str">
            <v>Fabio da Silva Junior</v>
          </cell>
          <cell r="B4159">
            <v>37015597</v>
          </cell>
          <cell r="C4159">
            <v>20062958</v>
          </cell>
          <cell r="D4159">
            <v>45272</v>
          </cell>
        </row>
        <row r="4160">
          <cell r="A4160" t="str">
            <v>Emerson Conceicao da Silva</v>
          </cell>
          <cell r="B4160">
            <v>37016536</v>
          </cell>
          <cell r="C4160">
            <v>20064530</v>
          </cell>
          <cell r="D4160">
            <v>45328</v>
          </cell>
        </row>
        <row r="4161">
          <cell r="A4161" t="str">
            <v>Kaio Vieira Bomfim</v>
          </cell>
          <cell r="B4161">
            <v>37016638</v>
          </cell>
          <cell r="C4161">
            <v>20064739</v>
          </cell>
          <cell r="D4161">
            <v>45342</v>
          </cell>
        </row>
        <row r="4162">
          <cell r="A4162" t="str">
            <v>Valdemir Chaves Mancuelho</v>
          </cell>
          <cell r="B4162">
            <v>37016686</v>
          </cell>
          <cell r="C4162">
            <v>20064850</v>
          </cell>
          <cell r="D4162">
            <v>45342</v>
          </cell>
        </row>
        <row r="4163">
          <cell r="A4163" t="str">
            <v>Ricardo Vagner Silva de Jesus</v>
          </cell>
          <cell r="B4163">
            <v>37016702</v>
          </cell>
          <cell r="C4163">
            <v>20064896</v>
          </cell>
          <cell r="D4163">
            <v>45356</v>
          </cell>
        </row>
        <row r="4164">
          <cell r="A4164" t="str">
            <v>Renan Lopes Ricci Roefero</v>
          </cell>
          <cell r="B4164">
            <v>37016738</v>
          </cell>
          <cell r="C4164">
            <v>20065184</v>
          </cell>
          <cell r="D4164">
            <v>45356</v>
          </cell>
        </row>
        <row r="4165">
          <cell r="A4165" t="str">
            <v>Alex Santos de Oliveira</v>
          </cell>
          <cell r="B4165">
            <v>37016736</v>
          </cell>
          <cell r="C4165">
            <v>20065182</v>
          </cell>
          <cell r="D4165">
            <v>45356</v>
          </cell>
        </row>
        <row r="4166">
          <cell r="A4166" t="str">
            <v>Lucas Esser de Souza</v>
          </cell>
          <cell r="B4166">
            <v>37016745</v>
          </cell>
          <cell r="C4166">
            <v>20065191</v>
          </cell>
          <cell r="D4166">
            <v>45356</v>
          </cell>
        </row>
        <row r="4167">
          <cell r="A4167" t="str">
            <v>Fabio Junior Ferreira de Padua</v>
          </cell>
          <cell r="B4167">
            <v>37016756</v>
          </cell>
          <cell r="C4167">
            <v>20065202</v>
          </cell>
          <cell r="D4167">
            <v>45356</v>
          </cell>
        </row>
        <row r="4168">
          <cell r="A4168" t="str">
            <v>Everton Igor Roberto Gomes Marques</v>
          </cell>
          <cell r="B4168">
            <v>37016765</v>
          </cell>
          <cell r="C4168">
            <v>20065259</v>
          </cell>
          <cell r="D4168">
            <v>45356</v>
          </cell>
        </row>
        <row r="4169">
          <cell r="A4169" t="str">
            <v>Jose Marciano da Conceicao</v>
          </cell>
          <cell r="B4169">
            <v>37016845</v>
          </cell>
          <cell r="C4169">
            <v>20065424</v>
          </cell>
          <cell r="D4169">
            <v>45363</v>
          </cell>
        </row>
        <row r="4170">
          <cell r="A4170" t="str">
            <v>Francisco Sinesio Ferreira Junior</v>
          </cell>
          <cell r="B4170">
            <v>37016926</v>
          </cell>
          <cell r="C4170">
            <v>20065877</v>
          </cell>
          <cell r="D4170">
            <v>45370</v>
          </cell>
        </row>
        <row r="4171">
          <cell r="A4171" t="str">
            <v>Cleiton Vicente Ferreira</v>
          </cell>
          <cell r="B4171">
            <v>37016948</v>
          </cell>
          <cell r="C4171">
            <v>20065899</v>
          </cell>
          <cell r="D4171">
            <v>45370</v>
          </cell>
        </row>
        <row r="4172">
          <cell r="A4172" t="str">
            <v>Flavio Justino da Silva</v>
          </cell>
          <cell r="B4172">
            <v>37016966</v>
          </cell>
          <cell r="C4172">
            <v>20065919</v>
          </cell>
          <cell r="D4172">
            <v>45370</v>
          </cell>
        </row>
        <row r="4173">
          <cell r="A4173" t="str">
            <v>Jhonatan William dos Santos</v>
          </cell>
          <cell r="B4173">
            <v>37016991</v>
          </cell>
          <cell r="C4173">
            <v>20065942</v>
          </cell>
          <cell r="D4173">
            <v>45370</v>
          </cell>
        </row>
        <row r="4174">
          <cell r="A4174" t="str">
            <v>Jonas Sousa Santos</v>
          </cell>
          <cell r="B4174">
            <v>37010315</v>
          </cell>
          <cell r="C4174">
            <v>20039023</v>
          </cell>
          <cell r="D4174">
            <v>44900</v>
          </cell>
        </row>
        <row r="4175">
          <cell r="A4175" t="str">
            <v>Lucas Emanuel Gomes</v>
          </cell>
          <cell r="B4175">
            <v>37017038</v>
          </cell>
          <cell r="C4175">
            <v>20066638</v>
          </cell>
          <cell r="D4175">
            <v>45384</v>
          </cell>
        </row>
        <row r="4176">
          <cell r="A4176" t="str">
            <v>Joao Vitor da Silva Borges</v>
          </cell>
          <cell r="B4176">
            <v>37017035</v>
          </cell>
          <cell r="C4176">
            <v>20066634</v>
          </cell>
          <cell r="D4176">
            <v>45384</v>
          </cell>
        </row>
        <row r="4177">
          <cell r="A4177" t="str">
            <v>Augusto Borges Leal Junior</v>
          </cell>
          <cell r="B4177">
            <v>37017102</v>
          </cell>
          <cell r="C4177">
            <v>20067416</v>
          </cell>
          <cell r="D4177">
            <v>45384</v>
          </cell>
        </row>
        <row r="4178">
          <cell r="A4178" t="str">
            <v>Lorran Matheus Barbosa dos Santos</v>
          </cell>
          <cell r="B4178">
            <v>37017152</v>
          </cell>
          <cell r="C4178">
            <v>20067716</v>
          </cell>
          <cell r="D4178">
            <v>45391</v>
          </cell>
        </row>
        <row r="4179">
          <cell r="A4179" t="str">
            <v>Milton Jose dos Santos</v>
          </cell>
          <cell r="B4179">
            <v>37017216</v>
          </cell>
          <cell r="C4179">
            <v>20068437</v>
          </cell>
          <cell r="D4179">
            <v>45398</v>
          </cell>
        </row>
        <row r="4180">
          <cell r="A4180" t="str">
            <v>Elizeo Alves De Lima</v>
          </cell>
          <cell r="B4180">
            <v>37017266</v>
          </cell>
          <cell r="C4180">
            <v>20068533</v>
          </cell>
          <cell r="D4180">
            <v>45398</v>
          </cell>
        </row>
        <row r="4181">
          <cell r="A4181" t="str">
            <v>Fabio Neves Rocha</v>
          </cell>
          <cell r="B4181">
            <v>37017268</v>
          </cell>
          <cell r="C4181">
            <v>20068552</v>
          </cell>
          <cell r="D4181">
            <v>45398</v>
          </cell>
        </row>
        <row r="4182">
          <cell r="A4182" t="str">
            <v>Renato De Souza Bonfim</v>
          </cell>
          <cell r="B4182">
            <v>37017270</v>
          </cell>
          <cell r="C4182">
            <v>20068567</v>
          </cell>
          <cell r="D4182">
            <v>45398</v>
          </cell>
        </row>
        <row r="4183">
          <cell r="A4183" t="str">
            <v>Juliano Marques Mariano</v>
          </cell>
          <cell r="B4183">
            <v>37017507</v>
          </cell>
          <cell r="C4183">
            <v>20069651</v>
          </cell>
          <cell r="D4183">
            <v>45419</v>
          </cell>
        </row>
        <row r="4184">
          <cell r="A4184" t="str">
            <v>Natan Araujo Leal</v>
          </cell>
          <cell r="B4184">
            <v>37017922</v>
          </cell>
          <cell r="C4184">
            <v>20070969</v>
          </cell>
          <cell r="D4184">
            <v>45447</v>
          </cell>
        </row>
        <row r="4185">
          <cell r="A4185" t="str">
            <v>Luciano da Conceicao</v>
          </cell>
          <cell r="B4185">
            <v>37018157</v>
          </cell>
          <cell r="C4185">
            <v>20072306</v>
          </cell>
          <cell r="D4185">
            <v>45461</v>
          </cell>
        </row>
        <row r="4186">
          <cell r="A4186" t="str">
            <v>Claudiney da Silva Affonso</v>
          </cell>
          <cell r="B4186">
            <v>37018159</v>
          </cell>
          <cell r="C4186">
            <v>20072308</v>
          </cell>
          <cell r="D4186">
            <v>45461</v>
          </cell>
        </row>
        <row r="4187">
          <cell r="A4187" t="str">
            <v>Italo Alves dos Santos</v>
          </cell>
          <cell r="B4187">
            <v>37018353</v>
          </cell>
          <cell r="C4187">
            <v>20073137</v>
          </cell>
          <cell r="D4187">
            <v>45475</v>
          </cell>
        </row>
        <row r="4188">
          <cell r="A4188" t="str">
            <v>Diemenson Rodrigues da Silva Quebra</v>
          </cell>
          <cell r="B4188">
            <v>37018681</v>
          </cell>
          <cell r="C4188">
            <v>20074748</v>
          </cell>
          <cell r="D4188">
            <v>45491</v>
          </cell>
        </row>
        <row r="4189">
          <cell r="A4189" t="str">
            <v>Lucas Dias Gomes De Moraes</v>
          </cell>
          <cell r="B4189">
            <v>37018682</v>
          </cell>
          <cell r="C4189">
            <v>20074749</v>
          </cell>
          <cell r="D4189">
            <v>45491</v>
          </cell>
        </row>
        <row r="4190">
          <cell r="A4190" t="str">
            <v>Paulo Sergio Luiz Alves</v>
          </cell>
          <cell r="B4190">
            <v>37018683</v>
          </cell>
          <cell r="C4190">
            <v>20074750</v>
          </cell>
          <cell r="D4190">
            <v>45491</v>
          </cell>
        </row>
        <row r="4191">
          <cell r="A4191" t="str">
            <v>João Francisco Monteiro</v>
          </cell>
          <cell r="B4191">
            <v>37018686</v>
          </cell>
          <cell r="C4191">
            <v>20074762</v>
          </cell>
          <cell r="D4191">
            <v>45491</v>
          </cell>
        </row>
        <row r="4192">
          <cell r="A4192" t="str">
            <v>Carlos Eduardo Mariano Polido</v>
          </cell>
          <cell r="B4192">
            <v>37018687</v>
          </cell>
          <cell r="C4192">
            <v>20074763</v>
          </cell>
          <cell r="D4192">
            <v>45491</v>
          </cell>
        </row>
        <row r="4193">
          <cell r="A4193" t="str">
            <v>Matheus Magalhaes da Silva</v>
          </cell>
          <cell r="B4193">
            <v>37018688</v>
          </cell>
          <cell r="C4193">
            <v>20074764</v>
          </cell>
          <cell r="D4193">
            <v>45491</v>
          </cell>
        </row>
        <row r="4194">
          <cell r="A4194" t="str">
            <v>Jonas Barbosa de Souza</v>
          </cell>
          <cell r="B4194">
            <v>37018754</v>
          </cell>
          <cell r="C4194">
            <v>20037927</v>
          </cell>
          <cell r="D4194">
            <v>45510</v>
          </cell>
        </row>
        <row r="4195">
          <cell r="A4195" t="str">
            <v>Claudiney Affonso Júnior</v>
          </cell>
          <cell r="B4195">
            <v>37018824</v>
          </cell>
          <cell r="C4195">
            <v>20075119</v>
          </cell>
          <cell r="D4195">
            <v>45510</v>
          </cell>
        </row>
        <row r="4196">
          <cell r="A4196" t="str">
            <v>Leandro dos Santos Silva</v>
          </cell>
          <cell r="B4196">
            <v>37019034</v>
          </cell>
          <cell r="C4196">
            <v>20076886</v>
          </cell>
          <cell r="D4196">
            <v>45538</v>
          </cell>
        </row>
        <row r="4197">
          <cell r="A4197" t="str">
            <v>Robison dos Santos Padim</v>
          </cell>
          <cell r="B4197">
            <v>37019040</v>
          </cell>
          <cell r="C4197">
            <v>20076892</v>
          </cell>
          <cell r="D4197">
            <v>45538</v>
          </cell>
        </row>
        <row r="4198">
          <cell r="A4198" t="str">
            <v>Fabio Rodrigues Pereira</v>
          </cell>
          <cell r="B4198">
            <v>37019045</v>
          </cell>
          <cell r="C4198">
            <v>20076897</v>
          </cell>
          <cell r="D4198">
            <v>45538</v>
          </cell>
        </row>
        <row r="4199">
          <cell r="A4199" t="str">
            <v>Maicon Martins Leal</v>
          </cell>
          <cell r="B4199">
            <v>37019055</v>
          </cell>
          <cell r="C4199">
            <v>20076907</v>
          </cell>
          <cell r="D4199">
            <v>45538</v>
          </cell>
        </row>
        <row r="4200">
          <cell r="A4200" t="str">
            <v>Marco Aurelio Carvalho dos Anjos</v>
          </cell>
          <cell r="B4200">
            <v>37011723</v>
          </cell>
          <cell r="C4200">
            <v>20045272</v>
          </cell>
          <cell r="D4200">
            <v>44998</v>
          </cell>
        </row>
        <row r="4201">
          <cell r="A4201" t="str">
            <v>Andre Vieira Mussopapo</v>
          </cell>
          <cell r="B4201">
            <v>37019164</v>
          </cell>
          <cell r="C4201">
            <v>20077371</v>
          </cell>
          <cell r="D4201">
            <v>45545</v>
          </cell>
        </row>
        <row r="4202">
          <cell r="A4202" t="str">
            <v>Julio Seles Leão</v>
          </cell>
          <cell r="B4202">
            <v>37019176</v>
          </cell>
          <cell r="C4202">
            <v>20077383</v>
          </cell>
          <cell r="D4202">
            <v>45545</v>
          </cell>
        </row>
        <row r="4203">
          <cell r="A4203" t="str">
            <v>Alexandre Pinto de Oliveira</v>
          </cell>
          <cell r="B4203">
            <v>37019364</v>
          </cell>
          <cell r="C4203">
            <v>20078345</v>
          </cell>
          <cell r="D4203">
            <v>45566</v>
          </cell>
        </row>
        <row r="4204">
          <cell r="A4204" t="str">
            <v>David Pelegrino dos Santos</v>
          </cell>
          <cell r="B4204">
            <v>37019370</v>
          </cell>
          <cell r="C4204">
            <v>20078351</v>
          </cell>
          <cell r="D4204">
            <v>45566</v>
          </cell>
        </row>
        <row r="4205">
          <cell r="A4205" t="str">
            <v>Samuel Caetano Bitemcurti</v>
          </cell>
          <cell r="B4205" t="e">
            <v>#N/A</v>
          </cell>
          <cell r="C4205">
            <v>20080009</v>
          </cell>
          <cell r="D4205" t="e">
            <v>#N/A</v>
          </cell>
        </row>
        <row r="4206">
          <cell r="A4206" t="str">
            <v>Cristiano Minetto</v>
          </cell>
          <cell r="B4206">
            <v>37009823</v>
          </cell>
          <cell r="C4206">
            <v>20037102</v>
          </cell>
          <cell r="D4206">
            <v>44872</v>
          </cell>
        </row>
        <row r="4207">
          <cell r="A4207" t="str">
            <v>Esdras Teixeira De Souza Oliveira</v>
          </cell>
          <cell r="B4207">
            <v>37001964</v>
          </cell>
          <cell r="C4207">
            <v>20009016</v>
          </cell>
          <cell r="D4207">
            <v>42891</v>
          </cell>
        </row>
        <row r="4208">
          <cell r="A4208" t="str">
            <v>Marcos Felix Cirilo</v>
          </cell>
          <cell r="B4208">
            <v>37011085</v>
          </cell>
          <cell r="C4208">
            <v>20042157</v>
          </cell>
          <cell r="D4208">
            <v>44970</v>
          </cell>
        </row>
        <row r="4209">
          <cell r="A4209" t="str">
            <v>Danilo Pereira Soares</v>
          </cell>
          <cell r="B4209">
            <v>37011138</v>
          </cell>
          <cell r="C4209">
            <v>20042369</v>
          </cell>
          <cell r="D4209">
            <v>44970</v>
          </cell>
        </row>
        <row r="4210">
          <cell r="A4210" t="str">
            <v>Junior Cesar dos Santos Oliveira</v>
          </cell>
          <cell r="B4210">
            <v>37011571</v>
          </cell>
          <cell r="C4210">
            <v>20044517</v>
          </cell>
          <cell r="D4210">
            <v>44991</v>
          </cell>
        </row>
        <row r="4211">
          <cell r="A4211" t="str">
            <v>Philippe Souza Oliveira</v>
          </cell>
          <cell r="B4211">
            <v>37011809</v>
          </cell>
          <cell r="C4211">
            <v>20045903</v>
          </cell>
          <cell r="D4211">
            <v>45005</v>
          </cell>
        </row>
        <row r="4212">
          <cell r="A4212" t="str">
            <v>Thiago da Silva Gomes</v>
          </cell>
          <cell r="B4212">
            <v>37012040</v>
          </cell>
          <cell r="C4212">
            <v>20047551</v>
          </cell>
          <cell r="D4212">
            <v>45027</v>
          </cell>
        </row>
        <row r="4213">
          <cell r="A4213" t="str">
            <v>Tiago Pereira dos Santos</v>
          </cell>
          <cell r="B4213">
            <v>37012234</v>
          </cell>
          <cell r="C4213">
            <v>20048945</v>
          </cell>
          <cell r="D4213">
            <v>45048</v>
          </cell>
        </row>
        <row r="4214">
          <cell r="A4214" t="str">
            <v>Jonas da Silva dos Santos</v>
          </cell>
          <cell r="B4214">
            <v>37013294</v>
          </cell>
          <cell r="C4214">
            <v>20053656</v>
          </cell>
          <cell r="D4214">
            <v>45111</v>
          </cell>
        </row>
        <row r="4215">
          <cell r="A4215" t="str">
            <v>Lucas Alves de Araujo</v>
          </cell>
          <cell r="B4215">
            <v>37013296</v>
          </cell>
          <cell r="C4215">
            <v>20053658</v>
          </cell>
          <cell r="D4215">
            <v>45111</v>
          </cell>
        </row>
        <row r="4216">
          <cell r="A4216" t="str">
            <v>Gabriel Augusto De Lima Morais</v>
          </cell>
          <cell r="B4216">
            <v>37013303</v>
          </cell>
          <cell r="C4216">
            <v>20053665</v>
          </cell>
          <cell r="D4216">
            <v>45111</v>
          </cell>
        </row>
        <row r="4217">
          <cell r="A4217" t="str">
            <v>Renyson Willians Medeiros Silva</v>
          </cell>
          <cell r="B4217">
            <v>37013364</v>
          </cell>
          <cell r="C4217">
            <v>20054021</v>
          </cell>
          <cell r="D4217">
            <v>45118</v>
          </cell>
        </row>
        <row r="4218">
          <cell r="A4218" t="str">
            <v>Adrielly Oliveira Pereira</v>
          </cell>
          <cell r="B4218">
            <v>37013437</v>
          </cell>
          <cell r="C4218">
            <v>20054919</v>
          </cell>
          <cell r="D4218">
            <v>45125</v>
          </cell>
        </row>
        <row r="4219">
          <cell r="A4219" t="str">
            <v>Diego Goncalves da Conceicao</v>
          </cell>
          <cell r="B4219">
            <v>37013886</v>
          </cell>
          <cell r="C4219">
            <v>20057045</v>
          </cell>
          <cell r="D4219">
            <v>45146</v>
          </cell>
        </row>
        <row r="4220">
          <cell r="A4220" t="str">
            <v>Emerson Pereira de Oliveira Amorins</v>
          </cell>
          <cell r="B4220">
            <v>37010771</v>
          </cell>
          <cell r="C4220">
            <v>20040997</v>
          </cell>
          <cell r="D4220">
            <v>44935</v>
          </cell>
        </row>
        <row r="4221">
          <cell r="A4221" t="str">
            <v>Antonio Camilo Borges Neto</v>
          </cell>
          <cell r="B4221">
            <v>37014635</v>
          </cell>
          <cell r="C4221">
            <v>20059374</v>
          </cell>
          <cell r="D4221">
            <v>45188</v>
          </cell>
        </row>
        <row r="4222">
          <cell r="A4222" t="str">
            <v>Mauricio Batista De Avila Almeida</v>
          </cell>
          <cell r="B4222">
            <v>37014795</v>
          </cell>
          <cell r="C4222">
            <v>20060012</v>
          </cell>
          <cell r="D4222">
            <v>45202</v>
          </cell>
        </row>
        <row r="4223">
          <cell r="A4223" t="str">
            <v>Orley Claudino da Silva</v>
          </cell>
          <cell r="B4223">
            <v>37014805</v>
          </cell>
          <cell r="C4223">
            <v>20060069</v>
          </cell>
          <cell r="D4223">
            <v>45202</v>
          </cell>
        </row>
        <row r="4224">
          <cell r="A4224" t="str">
            <v>MARIA GONCALO DO NASCIMENTO</v>
          </cell>
          <cell r="B4224">
            <v>37015400</v>
          </cell>
          <cell r="C4224">
            <v>20062409</v>
          </cell>
          <cell r="D4224">
            <v>45251</v>
          </cell>
        </row>
        <row r="4225">
          <cell r="A4225" t="str">
            <v>Edson Rodrigues de Souza</v>
          </cell>
          <cell r="B4225">
            <v>37015463</v>
          </cell>
          <cell r="C4225">
            <v>20062712</v>
          </cell>
          <cell r="D4225">
            <v>45265</v>
          </cell>
        </row>
        <row r="4226">
          <cell r="A4226" t="str">
            <v>Erasmo Ferreira Fernandes</v>
          </cell>
          <cell r="B4226">
            <v>37015467</v>
          </cell>
          <cell r="C4226">
            <v>20062716</v>
          </cell>
          <cell r="D4226">
            <v>45265</v>
          </cell>
        </row>
        <row r="4227">
          <cell r="A4227" t="str">
            <v>Diego da Silva Gomes</v>
          </cell>
          <cell r="B4227">
            <v>37015486</v>
          </cell>
          <cell r="C4227">
            <v>20062737</v>
          </cell>
          <cell r="D4227">
            <v>45265</v>
          </cell>
        </row>
        <row r="4228">
          <cell r="A4228" t="str">
            <v>Mateus Henrique da Silva</v>
          </cell>
          <cell r="B4228">
            <v>37015539</v>
          </cell>
          <cell r="C4228">
            <v>20062925</v>
          </cell>
          <cell r="D4228">
            <v>45272</v>
          </cell>
        </row>
        <row r="4229">
          <cell r="A4229" t="str">
            <v>Jose Luis Lemes da Silva</v>
          </cell>
          <cell r="B4229">
            <v>37015561</v>
          </cell>
          <cell r="C4229">
            <v>20062947</v>
          </cell>
          <cell r="D4229">
            <v>45272</v>
          </cell>
        </row>
        <row r="4230">
          <cell r="A4230" t="str">
            <v>Marcos Vinicius Paixao Nunes</v>
          </cell>
          <cell r="B4230">
            <v>37015563</v>
          </cell>
          <cell r="C4230">
            <v>20062949</v>
          </cell>
          <cell r="D4230">
            <v>45272</v>
          </cell>
        </row>
        <row r="4231">
          <cell r="A4231" t="str">
            <v>Jose Carlos da Silva</v>
          </cell>
          <cell r="B4231">
            <v>37015600</v>
          </cell>
          <cell r="C4231">
            <v>20062998</v>
          </cell>
          <cell r="D4231">
            <v>45272</v>
          </cell>
        </row>
        <row r="4232">
          <cell r="A4232" t="str">
            <v>Paulo Victor de Sa Amara</v>
          </cell>
          <cell r="B4232">
            <v>37015614</v>
          </cell>
          <cell r="C4232">
            <v>20063012</v>
          </cell>
          <cell r="D4232">
            <v>45272</v>
          </cell>
        </row>
        <row r="4233">
          <cell r="A4233" t="str">
            <v>Mario Ferreira de Matos</v>
          </cell>
          <cell r="B4233">
            <v>37015633</v>
          </cell>
          <cell r="C4233">
            <v>20063044</v>
          </cell>
          <cell r="D4233">
            <v>45272</v>
          </cell>
        </row>
        <row r="4234">
          <cell r="A4234" t="str">
            <v>Edson Severo Barbosa</v>
          </cell>
          <cell r="B4234">
            <v>37015630</v>
          </cell>
          <cell r="C4234">
            <v>20060003</v>
          </cell>
          <cell r="D4234">
            <v>45272</v>
          </cell>
        </row>
        <row r="4235">
          <cell r="A4235" t="str">
            <v>Maicon da Silva Lino</v>
          </cell>
          <cell r="B4235">
            <v>37015635</v>
          </cell>
          <cell r="C4235">
            <v>20063046</v>
          </cell>
          <cell r="D4235">
            <v>45272</v>
          </cell>
        </row>
        <row r="4236">
          <cell r="A4236" t="str">
            <v>JOSE RAIMUNDO SANTOS JUNIOR</v>
          </cell>
          <cell r="B4236">
            <v>37015824</v>
          </cell>
          <cell r="C4236">
            <v>20063538</v>
          </cell>
          <cell r="D4236">
            <v>45300</v>
          </cell>
        </row>
        <row r="4237">
          <cell r="A4237" t="str">
            <v>Marco Aurelio Rodrigues de Souza</v>
          </cell>
          <cell r="B4237">
            <v>37015945</v>
          </cell>
          <cell r="C4237">
            <v>20063671</v>
          </cell>
          <cell r="D4237">
            <v>45300</v>
          </cell>
        </row>
        <row r="4238">
          <cell r="A4238" t="str">
            <v>Ruhan Igor De Carvalho</v>
          </cell>
          <cell r="B4238">
            <v>37015948</v>
          </cell>
          <cell r="C4238">
            <v>20063674</v>
          </cell>
          <cell r="D4238">
            <v>45300</v>
          </cell>
        </row>
        <row r="4239">
          <cell r="A4239" t="str">
            <v>Celso de Oliveira Junior</v>
          </cell>
          <cell r="B4239">
            <v>37016137</v>
          </cell>
          <cell r="C4239">
            <v>20063795</v>
          </cell>
          <cell r="D4239">
            <v>45300</v>
          </cell>
        </row>
        <row r="4240">
          <cell r="A4240" t="str">
            <v>Calebe Maico de Souza Rodrigues</v>
          </cell>
          <cell r="B4240">
            <v>37016365</v>
          </cell>
          <cell r="C4240">
            <v>20064041</v>
          </cell>
          <cell r="D4240">
            <v>45307</v>
          </cell>
        </row>
        <row r="4241">
          <cell r="A4241" t="str">
            <v>Gabriel Gomes Concone</v>
          </cell>
          <cell r="B4241">
            <v>37010033</v>
          </cell>
          <cell r="C4241">
            <v>20037938</v>
          </cell>
          <cell r="D4241">
            <v>44881</v>
          </cell>
        </row>
        <row r="4242">
          <cell r="A4242" t="str">
            <v>Joao Lucas de Souza Silva</v>
          </cell>
          <cell r="B4242">
            <v>37016540</v>
          </cell>
          <cell r="C4242">
            <v>20064534</v>
          </cell>
          <cell r="D4242">
            <v>45328</v>
          </cell>
        </row>
        <row r="4243">
          <cell r="A4243" t="str">
            <v>Edivaldo Lino de Morais</v>
          </cell>
          <cell r="B4243">
            <v>37016611</v>
          </cell>
          <cell r="C4243">
            <v>20064703</v>
          </cell>
          <cell r="D4243">
            <v>45342</v>
          </cell>
        </row>
        <row r="4244">
          <cell r="A4244" t="str">
            <v>Alisson Santos Araujo</v>
          </cell>
          <cell r="B4244">
            <v>37016699</v>
          </cell>
          <cell r="C4244">
            <v>20064878</v>
          </cell>
          <cell r="D4244">
            <v>45356</v>
          </cell>
        </row>
        <row r="4245">
          <cell r="A4245" t="str">
            <v>JAQUES TORNISIELO</v>
          </cell>
          <cell r="B4245">
            <v>37016715</v>
          </cell>
          <cell r="C4245">
            <v>20064909</v>
          </cell>
          <cell r="D4245">
            <v>45356</v>
          </cell>
        </row>
        <row r="4246">
          <cell r="A4246" t="str">
            <v>Afonso Junior Batista Gauna</v>
          </cell>
          <cell r="B4246">
            <v>37016733</v>
          </cell>
          <cell r="C4246">
            <v>20065179</v>
          </cell>
          <cell r="D4246">
            <v>45356</v>
          </cell>
        </row>
        <row r="4247">
          <cell r="A4247" t="str">
            <v>Claudio Roberto kasprzak</v>
          </cell>
          <cell r="B4247">
            <v>37016743</v>
          </cell>
          <cell r="C4247">
            <v>20065189</v>
          </cell>
          <cell r="D4247">
            <v>45356</v>
          </cell>
        </row>
        <row r="4248">
          <cell r="A4248" t="str">
            <v>Roosevelt Antunes Lopes</v>
          </cell>
          <cell r="B4248">
            <v>37016749</v>
          </cell>
          <cell r="C4248">
            <v>20065195</v>
          </cell>
          <cell r="D4248">
            <v>45356</v>
          </cell>
        </row>
        <row r="4249">
          <cell r="A4249" t="str">
            <v>Lucas Gabriel Raimundo Da Costa</v>
          </cell>
          <cell r="B4249">
            <v>37016751</v>
          </cell>
          <cell r="C4249">
            <v>20065197</v>
          </cell>
          <cell r="D4249">
            <v>45356</v>
          </cell>
        </row>
        <row r="4250">
          <cell r="A4250" t="str">
            <v>Lucas Albuquerque da Silva</v>
          </cell>
          <cell r="B4250">
            <v>37016754</v>
          </cell>
          <cell r="C4250">
            <v>20065200</v>
          </cell>
          <cell r="D4250">
            <v>45356</v>
          </cell>
        </row>
        <row r="4251">
          <cell r="A4251" t="str">
            <v>Pamela Fernandes Martins</v>
          </cell>
          <cell r="B4251">
            <v>37016780</v>
          </cell>
          <cell r="C4251">
            <v>20065279</v>
          </cell>
          <cell r="D4251">
            <v>45356</v>
          </cell>
        </row>
        <row r="4252">
          <cell r="A4252" t="str">
            <v>Valdinei Junior Bianchino Dias</v>
          </cell>
          <cell r="B4252">
            <v>37016778</v>
          </cell>
          <cell r="C4252">
            <v>20065277</v>
          </cell>
          <cell r="D4252">
            <v>45356</v>
          </cell>
        </row>
        <row r="4253">
          <cell r="A4253" t="str">
            <v>Cassiano Vieira Machado</v>
          </cell>
          <cell r="B4253">
            <v>37016783</v>
          </cell>
          <cell r="C4253">
            <v>20065282</v>
          </cell>
          <cell r="D4253">
            <v>45356</v>
          </cell>
        </row>
        <row r="4254">
          <cell r="A4254" t="str">
            <v>Mateus Jesus de Souza</v>
          </cell>
          <cell r="B4254">
            <v>37016784</v>
          </cell>
          <cell r="C4254">
            <v>20065283</v>
          </cell>
          <cell r="D4254">
            <v>45356</v>
          </cell>
        </row>
        <row r="4255">
          <cell r="A4255" t="str">
            <v>Vitor Avelino Carneiro</v>
          </cell>
          <cell r="B4255">
            <v>37016824</v>
          </cell>
          <cell r="C4255">
            <v>20065373</v>
          </cell>
          <cell r="D4255">
            <v>45363</v>
          </cell>
        </row>
        <row r="4256">
          <cell r="A4256" t="str">
            <v>Joanderson Ferreira De Souza Reis</v>
          </cell>
          <cell r="B4256">
            <v>37016830</v>
          </cell>
          <cell r="C4256">
            <v>20065393</v>
          </cell>
          <cell r="D4256">
            <v>45363</v>
          </cell>
        </row>
        <row r="4257">
          <cell r="A4257" t="str">
            <v>Daniel da Silva</v>
          </cell>
          <cell r="B4257">
            <v>37016834</v>
          </cell>
          <cell r="C4257">
            <v>20065397</v>
          </cell>
          <cell r="D4257">
            <v>45363</v>
          </cell>
        </row>
        <row r="4258">
          <cell r="A4258" t="str">
            <v>Carlos Cesar Joaquim</v>
          </cell>
          <cell r="B4258">
            <v>37016841</v>
          </cell>
          <cell r="C4258">
            <v>20065420</v>
          </cell>
          <cell r="D4258">
            <v>45363</v>
          </cell>
        </row>
        <row r="4259">
          <cell r="A4259" t="str">
            <v>Flavio Nakazato Rodrigues</v>
          </cell>
          <cell r="B4259">
            <v>37016842</v>
          </cell>
          <cell r="C4259">
            <v>20065421</v>
          </cell>
          <cell r="D4259">
            <v>45363</v>
          </cell>
        </row>
        <row r="4260">
          <cell r="A4260" t="str">
            <v>Rafael de Sousa Campos</v>
          </cell>
          <cell r="B4260">
            <v>37016853</v>
          </cell>
          <cell r="C4260">
            <v>20065432</v>
          </cell>
          <cell r="D4260">
            <v>45363</v>
          </cell>
        </row>
        <row r="4261">
          <cell r="A4261" t="str">
            <v>Cleber Mario Coelho Brandao</v>
          </cell>
          <cell r="B4261">
            <v>37016865</v>
          </cell>
          <cell r="C4261">
            <v>20065444</v>
          </cell>
          <cell r="D4261">
            <v>45363</v>
          </cell>
        </row>
        <row r="4262">
          <cell r="A4262" t="str">
            <v>Valdiney Henrique de Souza</v>
          </cell>
          <cell r="B4262">
            <v>37016862</v>
          </cell>
          <cell r="C4262">
            <v>20065441</v>
          </cell>
          <cell r="D4262">
            <v>45363</v>
          </cell>
        </row>
        <row r="4263">
          <cell r="A4263" t="str">
            <v>Celio Alves de Goes</v>
          </cell>
          <cell r="B4263">
            <v>37016875</v>
          </cell>
          <cell r="C4263">
            <v>20065471</v>
          </cell>
          <cell r="D4263">
            <v>45363</v>
          </cell>
        </row>
        <row r="4264">
          <cell r="A4264" t="str">
            <v>Bruno Hugo Carvalho Barros</v>
          </cell>
          <cell r="B4264">
            <v>37013295</v>
          </cell>
          <cell r="C4264">
            <v>20053657</v>
          </cell>
          <cell r="D4264">
            <v>45111</v>
          </cell>
        </row>
        <row r="4265">
          <cell r="A4265" t="str">
            <v>Marcos Antonio Ferreira da Silva</v>
          </cell>
          <cell r="B4265">
            <v>37016950</v>
          </cell>
          <cell r="C4265">
            <v>20065901</v>
          </cell>
          <cell r="D4265">
            <v>45370</v>
          </cell>
        </row>
        <row r="4266">
          <cell r="A4266" t="str">
            <v>Ualisson da Conceicao Aragao</v>
          </cell>
          <cell r="B4266">
            <v>37017019</v>
          </cell>
          <cell r="C4266">
            <v>20065970</v>
          </cell>
          <cell r="D4266">
            <v>45370</v>
          </cell>
        </row>
        <row r="4267">
          <cell r="A4267" t="str">
            <v>Jones William Simeao</v>
          </cell>
          <cell r="B4267">
            <v>37017041</v>
          </cell>
          <cell r="C4267">
            <v>20066641</v>
          </cell>
          <cell r="D4267">
            <v>45384</v>
          </cell>
        </row>
        <row r="4268">
          <cell r="A4268" t="str">
            <v>NILSON FERREIRA DA SILVA</v>
          </cell>
          <cell r="B4268">
            <v>37017043</v>
          </cell>
          <cell r="C4268">
            <v>20066687</v>
          </cell>
          <cell r="D4268">
            <v>45384</v>
          </cell>
        </row>
        <row r="4269">
          <cell r="A4269" t="str">
            <v>Vitor Guilherme dos Santos Silva</v>
          </cell>
          <cell r="B4269">
            <v>37017053</v>
          </cell>
          <cell r="C4269">
            <v>20066796</v>
          </cell>
          <cell r="D4269">
            <v>45384</v>
          </cell>
        </row>
        <row r="4270">
          <cell r="A4270" t="str">
            <v>Sergio da Silva Pinheiro</v>
          </cell>
          <cell r="B4270">
            <v>37010087</v>
          </cell>
          <cell r="C4270">
            <v>20038187</v>
          </cell>
          <cell r="D4270">
            <v>44881</v>
          </cell>
        </row>
        <row r="4271">
          <cell r="A4271" t="str">
            <v>Rafael da Silva Lima</v>
          </cell>
          <cell r="B4271">
            <v>37017086</v>
          </cell>
          <cell r="C4271">
            <v>20067080</v>
          </cell>
          <cell r="D4271">
            <v>45384</v>
          </cell>
        </row>
        <row r="4272">
          <cell r="A4272" t="str">
            <v>Renildo Da Conceicao Oliveira</v>
          </cell>
          <cell r="B4272">
            <v>37017093</v>
          </cell>
          <cell r="C4272">
            <v>20067407</v>
          </cell>
          <cell r="D4272">
            <v>45384</v>
          </cell>
        </row>
        <row r="4273">
          <cell r="A4273" t="str">
            <v>Josnei Teixeira Brunetti</v>
          </cell>
          <cell r="B4273">
            <v>37017171</v>
          </cell>
          <cell r="C4273">
            <v>20067981</v>
          </cell>
          <cell r="D4273">
            <v>45391</v>
          </cell>
        </row>
        <row r="4274">
          <cell r="A4274" t="str">
            <v>Ludimilla Daianne Bastos Dos Santos Pereira</v>
          </cell>
          <cell r="B4274">
            <v>37004781</v>
          </cell>
          <cell r="C4274">
            <v>20007285</v>
          </cell>
          <cell r="D4274">
            <v>44067</v>
          </cell>
        </row>
        <row r="4275">
          <cell r="A4275" t="str">
            <v>Nilton Cesar Perina</v>
          </cell>
          <cell r="B4275">
            <v>37017284</v>
          </cell>
          <cell r="C4275">
            <v>20068670</v>
          </cell>
          <cell r="D4275">
            <v>45398</v>
          </cell>
        </row>
        <row r="4276">
          <cell r="A4276" t="str">
            <v>Natali Fernandes da Silva</v>
          </cell>
          <cell r="B4276">
            <v>37017362</v>
          </cell>
          <cell r="C4276">
            <v>20069486</v>
          </cell>
          <cell r="D4276">
            <v>45419</v>
          </cell>
        </row>
        <row r="4277">
          <cell r="A4277" t="str">
            <v>Geovane de Oliveira Aguilheira</v>
          </cell>
          <cell r="B4277">
            <v>37017401</v>
          </cell>
          <cell r="C4277">
            <v>20069546</v>
          </cell>
          <cell r="D4277">
            <v>45419</v>
          </cell>
        </row>
        <row r="4278">
          <cell r="A4278" t="str">
            <v>Gilmar de Oliveira</v>
          </cell>
          <cell r="B4278">
            <v>37017412</v>
          </cell>
          <cell r="C4278">
            <v>20069557</v>
          </cell>
          <cell r="D4278">
            <v>45419</v>
          </cell>
        </row>
        <row r="4279">
          <cell r="A4279" t="str">
            <v>Lara Cristina Costa Cavalcante</v>
          </cell>
          <cell r="B4279">
            <v>37017418</v>
          </cell>
          <cell r="C4279">
            <v>20069563</v>
          </cell>
          <cell r="D4279">
            <v>45419</v>
          </cell>
        </row>
        <row r="4280">
          <cell r="A4280" t="str">
            <v>Luan Uygor Rodrigues Minde</v>
          </cell>
          <cell r="B4280">
            <v>37017434</v>
          </cell>
          <cell r="C4280">
            <v>20069579</v>
          </cell>
          <cell r="D4280">
            <v>45419</v>
          </cell>
        </row>
        <row r="4281">
          <cell r="A4281" t="str">
            <v>Vanilson dos Santos</v>
          </cell>
          <cell r="B4281">
            <v>37017437</v>
          </cell>
          <cell r="C4281">
            <v>20069582</v>
          </cell>
          <cell r="D4281">
            <v>45419</v>
          </cell>
        </row>
        <row r="4282">
          <cell r="A4282" t="str">
            <v>Lucas Vinicius Albuquerque Duque</v>
          </cell>
          <cell r="B4282">
            <v>37017439</v>
          </cell>
          <cell r="C4282">
            <v>20069584</v>
          </cell>
          <cell r="D4282">
            <v>45419</v>
          </cell>
        </row>
        <row r="4283">
          <cell r="A4283" t="str">
            <v>Debrandi Nunes Filho</v>
          </cell>
          <cell r="B4283">
            <v>37017441</v>
          </cell>
          <cell r="C4283">
            <v>20069586</v>
          </cell>
          <cell r="D4283">
            <v>45419</v>
          </cell>
        </row>
        <row r="4284">
          <cell r="A4284" t="str">
            <v>Reginaldo Pereira de Souza</v>
          </cell>
          <cell r="B4284">
            <v>37017458</v>
          </cell>
          <cell r="C4284">
            <v>20069600</v>
          </cell>
          <cell r="D4284">
            <v>45419</v>
          </cell>
        </row>
        <row r="4285">
          <cell r="A4285" t="str">
            <v>Bruno Dos Santos Aguiar</v>
          </cell>
          <cell r="B4285">
            <v>37017459</v>
          </cell>
          <cell r="C4285">
            <v>20069601</v>
          </cell>
          <cell r="D4285">
            <v>45419</v>
          </cell>
        </row>
        <row r="4286">
          <cell r="A4286" t="str">
            <v>Aline Carol Andrade</v>
          </cell>
          <cell r="B4286">
            <v>37017462</v>
          </cell>
          <cell r="C4286">
            <v>20069605</v>
          </cell>
          <cell r="D4286">
            <v>45419</v>
          </cell>
        </row>
        <row r="4287">
          <cell r="A4287" t="str">
            <v>Victor Hugo Ferreira da Rosa</v>
          </cell>
          <cell r="B4287">
            <v>37017465</v>
          </cell>
          <cell r="C4287">
            <v>20069608</v>
          </cell>
          <cell r="D4287">
            <v>45419</v>
          </cell>
        </row>
        <row r="4288">
          <cell r="A4288" t="str">
            <v>Jose Souza de Almeida</v>
          </cell>
          <cell r="B4288">
            <v>37017466</v>
          </cell>
          <cell r="C4288">
            <v>20069609</v>
          </cell>
          <cell r="D4288">
            <v>45419</v>
          </cell>
        </row>
        <row r="4289">
          <cell r="A4289" t="str">
            <v>Vancleiton Batista Barbosa</v>
          </cell>
          <cell r="B4289">
            <v>37017476</v>
          </cell>
          <cell r="C4289">
            <v>20069619</v>
          </cell>
          <cell r="D4289">
            <v>45419</v>
          </cell>
        </row>
        <row r="4290">
          <cell r="A4290" t="str">
            <v>Janaele Caetano Da Cruz</v>
          </cell>
          <cell r="B4290">
            <v>37017495</v>
          </cell>
          <cell r="C4290">
            <v>20069639</v>
          </cell>
          <cell r="D4290">
            <v>45419</v>
          </cell>
        </row>
        <row r="4291">
          <cell r="A4291" t="str">
            <v>Jeneffer Junior Barboza De Sousa</v>
          </cell>
          <cell r="B4291">
            <v>37017499</v>
          </cell>
          <cell r="C4291">
            <v>20069643</v>
          </cell>
          <cell r="D4291">
            <v>45419</v>
          </cell>
        </row>
        <row r="4292">
          <cell r="A4292" t="str">
            <v>Maria Roberta de Jesus Costa</v>
          </cell>
          <cell r="B4292">
            <v>37017500</v>
          </cell>
          <cell r="C4292">
            <v>20069644</v>
          </cell>
          <cell r="D4292">
            <v>45419</v>
          </cell>
        </row>
        <row r="4293">
          <cell r="A4293" t="str">
            <v>Jonathas Felipe Caetano Silva</v>
          </cell>
          <cell r="B4293">
            <v>37017498</v>
          </cell>
          <cell r="C4293">
            <v>20069642</v>
          </cell>
          <cell r="D4293">
            <v>45419</v>
          </cell>
        </row>
        <row r="4294">
          <cell r="A4294" t="str">
            <v>Felipe Lopes da Silva</v>
          </cell>
          <cell r="B4294">
            <v>37017552</v>
          </cell>
          <cell r="C4294">
            <v>20069929</v>
          </cell>
          <cell r="D4294">
            <v>45426</v>
          </cell>
        </row>
        <row r="4295">
          <cell r="A4295" t="str">
            <v>Sabrina Santos Souza</v>
          </cell>
          <cell r="B4295">
            <v>37017559</v>
          </cell>
          <cell r="C4295">
            <v>20069938</v>
          </cell>
          <cell r="D4295">
            <v>45426</v>
          </cell>
        </row>
        <row r="4296">
          <cell r="A4296" t="str">
            <v>Guilherme Moreno de Gois</v>
          </cell>
          <cell r="B4296">
            <v>37017590</v>
          </cell>
          <cell r="C4296">
            <v>20069969</v>
          </cell>
          <cell r="D4296">
            <v>45426</v>
          </cell>
        </row>
        <row r="4297">
          <cell r="A4297" t="str">
            <v>Edvaldo Garcia Manoel</v>
          </cell>
          <cell r="B4297">
            <v>37017633</v>
          </cell>
          <cell r="C4297">
            <v>20070243</v>
          </cell>
          <cell r="D4297">
            <v>45433</v>
          </cell>
        </row>
        <row r="4298">
          <cell r="A4298" t="str">
            <v>Evandro Pereira dos Santos</v>
          </cell>
          <cell r="B4298">
            <v>37017634</v>
          </cell>
          <cell r="C4298">
            <v>20070244</v>
          </cell>
          <cell r="D4298">
            <v>45433</v>
          </cell>
        </row>
        <row r="4299">
          <cell r="A4299" t="str">
            <v>Jesus da Costa Freitas</v>
          </cell>
          <cell r="B4299">
            <v>37017638</v>
          </cell>
          <cell r="C4299">
            <v>20070248</v>
          </cell>
          <cell r="D4299">
            <v>45433</v>
          </cell>
        </row>
        <row r="4300">
          <cell r="A4300" t="str">
            <v>Soraia Campos Almeida</v>
          </cell>
          <cell r="B4300">
            <v>37017657</v>
          </cell>
          <cell r="C4300">
            <v>20070267</v>
          </cell>
          <cell r="D4300">
            <v>45433</v>
          </cell>
        </row>
        <row r="4301">
          <cell r="A4301" t="str">
            <v>Vinicius Almeida Barbosa</v>
          </cell>
          <cell r="B4301">
            <v>37017676</v>
          </cell>
          <cell r="C4301">
            <v>20070286</v>
          </cell>
          <cell r="D4301">
            <v>45433</v>
          </cell>
        </row>
        <row r="4302">
          <cell r="A4302" t="str">
            <v>Clovis Garcia da Silva</v>
          </cell>
          <cell r="B4302">
            <v>37017650</v>
          </cell>
          <cell r="C4302">
            <v>20070260</v>
          </cell>
          <cell r="D4302">
            <v>45433</v>
          </cell>
        </row>
        <row r="4303">
          <cell r="A4303" t="str">
            <v>Maria Rita da Silva Lopes</v>
          </cell>
          <cell r="B4303">
            <v>37017674</v>
          </cell>
          <cell r="C4303">
            <v>20070284</v>
          </cell>
          <cell r="D4303">
            <v>45433</v>
          </cell>
        </row>
        <row r="4304">
          <cell r="A4304" t="str">
            <v>Antonio RIbeiro Junior</v>
          </cell>
          <cell r="B4304">
            <v>37017675</v>
          </cell>
          <cell r="C4304">
            <v>20070285</v>
          </cell>
          <cell r="D4304">
            <v>45433</v>
          </cell>
        </row>
        <row r="4305">
          <cell r="A4305" t="str">
            <v>Plinio Marcos Dusilek Junior</v>
          </cell>
          <cell r="B4305">
            <v>37017687</v>
          </cell>
          <cell r="C4305">
            <v>20070310</v>
          </cell>
          <cell r="D4305">
            <v>45433</v>
          </cell>
        </row>
        <row r="4306">
          <cell r="A4306" t="str">
            <v>Junior Christiano Matozinho</v>
          </cell>
          <cell r="B4306">
            <v>37017692</v>
          </cell>
          <cell r="C4306">
            <v>20070318</v>
          </cell>
          <cell r="D4306">
            <v>45433</v>
          </cell>
        </row>
        <row r="4307">
          <cell r="A4307" t="str">
            <v>Maycon Junior Silva de Oliveira</v>
          </cell>
          <cell r="B4307">
            <v>37017688</v>
          </cell>
          <cell r="C4307">
            <v>20070314</v>
          </cell>
          <cell r="D4307">
            <v>45433</v>
          </cell>
        </row>
        <row r="4308">
          <cell r="A4308" t="str">
            <v>Renato Martins</v>
          </cell>
          <cell r="B4308">
            <v>37017697</v>
          </cell>
          <cell r="C4308">
            <v>20070323</v>
          </cell>
          <cell r="D4308">
            <v>45433</v>
          </cell>
        </row>
        <row r="4309">
          <cell r="A4309" t="str">
            <v>Lucas Mariano da Silva</v>
          </cell>
          <cell r="B4309">
            <v>37017701</v>
          </cell>
          <cell r="C4309">
            <v>20070327</v>
          </cell>
          <cell r="D4309">
            <v>45433</v>
          </cell>
        </row>
        <row r="4310">
          <cell r="A4310" t="str">
            <v>Thaise Santos Martins</v>
          </cell>
          <cell r="B4310">
            <v>37017716</v>
          </cell>
          <cell r="C4310">
            <v>20070343</v>
          </cell>
          <cell r="D4310">
            <v>45433</v>
          </cell>
        </row>
        <row r="4311">
          <cell r="A4311" t="str">
            <v>Jonathan Willian Giuli</v>
          </cell>
          <cell r="B4311">
            <v>37017718</v>
          </cell>
          <cell r="C4311">
            <v>20070345</v>
          </cell>
          <cell r="D4311">
            <v>45433</v>
          </cell>
        </row>
        <row r="4312">
          <cell r="A4312" t="str">
            <v>Leandro Cruz Matias</v>
          </cell>
          <cell r="B4312">
            <v>37017725</v>
          </cell>
          <cell r="C4312">
            <v>20070359</v>
          </cell>
          <cell r="D4312">
            <v>45433</v>
          </cell>
        </row>
        <row r="4313">
          <cell r="A4313" t="str">
            <v>Luan Christian Bueno Costa</v>
          </cell>
          <cell r="B4313">
            <v>37017727</v>
          </cell>
          <cell r="C4313">
            <v>20070361</v>
          </cell>
          <cell r="D4313">
            <v>45433</v>
          </cell>
        </row>
        <row r="4314">
          <cell r="A4314" t="str">
            <v>Rian Matheus Spina</v>
          </cell>
          <cell r="B4314">
            <v>37017737</v>
          </cell>
          <cell r="C4314">
            <v>20070371</v>
          </cell>
          <cell r="D4314">
            <v>45433</v>
          </cell>
        </row>
        <row r="4315">
          <cell r="A4315" t="str">
            <v>Tiago Rodrigues Santana</v>
          </cell>
          <cell r="B4315">
            <v>37017738</v>
          </cell>
          <cell r="C4315">
            <v>20070372</v>
          </cell>
          <cell r="D4315">
            <v>45433</v>
          </cell>
        </row>
        <row r="4316">
          <cell r="A4316" t="str">
            <v>Rogerio Gomes de Souza</v>
          </cell>
          <cell r="B4316">
            <v>37017746</v>
          </cell>
          <cell r="C4316">
            <v>20070380</v>
          </cell>
          <cell r="D4316">
            <v>45433</v>
          </cell>
        </row>
        <row r="4317">
          <cell r="A4317" t="str">
            <v>Kaio da   Silva Reis</v>
          </cell>
          <cell r="B4317">
            <v>37017747</v>
          </cell>
          <cell r="C4317">
            <v>20070381</v>
          </cell>
          <cell r="D4317">
            <v>45433</v>
          </cell>
        </row>
        <row r="4318">
          <cell r="A4318" t="str">
            <v>Marcos Batista da Costa</v>
          </cell>
          <cell r="B4318">
            <v>37017740</v>
          </cell>
          <cell r="C4318">
            <v>20070374</v>
          </cell>
          <cell r="D4318">
            <v>45433</v>
          </cell>
        </row>
        <row r="4319">
          <cell r="A4319" t="str">
            <v>Luiz Andre Aparecido</v>
          </cell>
          <cell r="B4319">
            <v>37017742</v>
          </cell>
          <cell r="C4319">
            <v>20070376</v>
          </cell>
          <cell r="D4319">
            <v>45433</v>
          </cell>
        </row>
        <row r="4320">
          <cell r="A4320" t="str">
            <v>Lucas Matheus da Silva Lima</v>
          </cell>
          <cell r="B4320">
            <v>37017743</v>
          </cell>
          <cell r="C4320">
            <v>20070377</v>
          </cell>
          <cell r="D4320">
            <v>45433</v>
          </cell>
        </row>
        <row r="4321">
          <cell r="A4321" t="str">
            <v>Anderson Barbosa dos Santos</v>
          </cell>
          <cell r="B4321">
            <v>37017773</v>
          </cell>
          <cell r="C4321">
            <v>20070662</v>
          </cell>
          <cell r="D4321">
            <v>45433</v>
          </cell>
        </row>
        <row r="4322">
          <cell r="A4322" t="str">
            <v>Adinailton Bispo dos Santos</v>
          </cell>
          <cell r="B4322">
            <v>37017778</v>
          </cell>
          <cell r="C4322">
            <v>20070667</v>
          </cell>
          <cell r="D4322">
            <v>45433</v>
          </cell>
        </row>
        <row r="4323">
          <cell r="A4323" t="str">
            <v>Claudio Alce Rodrigues</v>
          </cell>
          <cell r="B4323">
            <v>37017798</v>
          </cell>
          <cell r="C4323">
            <v>20070687</v>
          </cell>
          <cell r="D4323">
            <v>45433</v>
          </cell>
        </row>
        <row r="4324">
          <cell r="A4324" t="str">
            <v>Lucas Ferreira de Souza</v>
          </cell>
          <cell r="B4324">
            <v>37017783</v>
          </cell>
          <cell r="C4324">
            <v>20070672</v>
          </cell>
          <cell r="D4324">
            <v>45433</v>
          </cell>
        </row>
        <row r="4325">
          <cell r="A4325" t="str">
            <v>Mateus Carneiro Carvalho</v>
          </cell>
          <cell r="B4325">
            <v>37017796</v>
          </cell>
          <cell r="C4325">
            <v>20070685</v>
          </cell>
          <cell r="D4325">
            <v>45447</v>
          </cell>
        </row>
        <row r="4326">
          <cell r="A4326" t="str">
            <v>Marilza Dos Santos</v>
          </cell>
          <cell r="B4326">
            <v>37017808</v>
          </cell>
          <cell r="C4326">
            <v>20070697</v>
          </cell>
          <cell r="D4326">
            <v>45433</v>
          </cell>
        </row>
        <row r="4327">
          <cell r="A4327" t="str">
            <v>Rodrigo Camargo</v>
          </cell>
          <cell r="B4327">
            <v>37017817</v>
          </cell>
          <cell r="C4327">
            <v>20070706</v>
          </cell>
          <cell r="D4327">
            <v>45433</v>
          </cell>
        </row>
        <row r="4328">
          <cell r="A4328" t="str">
            <v>Erinaldo Ferreira dos Santos</v>
          </cell>
          <cell r="B4328">
            <v>37017832</v>
          </cell>
          <cell r="C4328">
            <v>20070739</v>
          </cell>
          <cell r="D4328">
            <v>45433</v>
          </cell>
        </row>
        <row r="4329">
          <cell r="A4329" t="str">
            <v>Reinaldo de Souza Brito</v>
          </cell>
          <cell r="B4329">
            <v>37017837</v>
          </cell>
          <cell r="C4329">
            <v>20070744</v>
          </cell>
          <cell r="D4329">
            <v>45433</v>
          </cell>
        </row>
        <row r="4330">
          <cell r="A4330" t="str">
            <v>Eliane Goncalvez</v>
          </cell>
          <cell r="B4330">
            <v>37017834</v>
          </cell>
          <cell r="C4330">
            <v>20070741</v>
          </cell>
          <cell r="D4330">
            <v>45433</v>
          </cell>
        </row>
        <row r="4331">
          <cell r="A4331" t="str">
            <v>Jose Edu de Morais</v>
          </cell>
          <cell r="B4331">
            <v>37017838</v>
          </cell>
          <cell r="C4331">
            <v>20070768</v>
          </cell>
          <cell r="D4331">
            <v>45433</v>
          </cell>
        </row>
        <row r="4332">
          <cell r="A4332" t="str">
            <v>Claudio Fagundes Major</v>
          </cell>
          <cell r="B4332">
            <v>37017847</v>
          </cell>
          <cell r="C4332">
            <v>20070854</v>
          </cell>
          <cell r="D4332">
            <v>45447</v>
          </cell>
        </row>
        <row r="4333">
          <cell r="A4333" t="str">
            <v>Diego Santos Amorim</v>
          </cell>
          <cell r="B4333">
            <v>37017857</v>
          </cell>
          <cell r="C4333">
            <v>20070887</v>
          </cell>
          <cell r="D4333">
            <v>45447</v>
          </cell>
        </row>
        <row r="4334">
          <cell r="A4334" t="str">
            <v>Andrei Dias Italo</v>
          </cell>
          <cell r="B4334">
            <v>37017865</v>
          </cell>
          <cell r="C4334">
            <v>20070895</v>
          </cell>
          <cell r="D4334">
            <v>45447</v>
          </cell>
        </row>
        <row r="4335">
          <cell r="A4335" t="str">
            <v>Elton Nascimento Franca Dias</v>
          </cell>
          <cell r="B4335">
            <v>37011930</v>
          </cell>
          <cell r="C4335">
            <v>20046759</v>
          </cell>
          <cell r="D4335">
            <v>45019</v>
          </cell>
        </row>
        <row r="4336">
          <cell r="A4336" t="str">
            <v>Jose Uelton Leite dos Santos</v>
          </cell>
          <cell r="B4336">
            <v>37018145</v>
          </cell>
          <cell r="C4336">
            <v>20072293</v>
          </cell>
          <cell r="D4336">
            <v>45461</v>
          </cell>
        </row>
        <row r="4337">
          <cell r="A4337" t="str">
            <v>Danilo Militao Rosa Souza</v>
          </cell>
          <cell r="B4337">
            <v>37018188</v>
          </cell>
          <cell r="C4337">
            <v>20072302</v>
          </cell>
          <cell r="D4337">
            <v>45461</v>
          </cell>
        </row>
        <row r="4338">
          <cell r="A4338" t="str">
            <v>Tiago Carlos Batista</v>
          </cell>
          <cell r="B4338">
            <v>37018167</v>
          </cell>
          <cell r="C4338">
            <v>20072316</v>
          </cell>
          <cell r="D4338">
            <v>45461</v>
          </cell>
        </row>
        <row r="4339">
          <cell r="A4339" t="str">
            <v>Dargon Juan Cariolano Salvia</v>
          </cell>
          <cell r="B4339">
            <v>37018259</v>
          </cell>
          <cell r="C4339">
            <v>20072769</v>
          </cell>
          <cell r="D4339">
            <v>45463</v>
          </cell>
        </row>
        <row r="4340">
          <cell r="A4340" t="str">
            <v>Pablo Lopes Ricci Roefero</v>
          </cell>
          <cell r="B4340">
            <v>37018267</v>
          </cell>
          <cell r="C4340">
            <v>20072794</v>
          </cell>
          <cell r="D4340">
            <v>45475</v>
          </cell>
        </row>
        <row r="4341">
          <cell r="A4341" t="str">
            <v>Monique Neves Puertas</v>
          </cell>
          <cell r="B4341">
            <v>37018272</v>
          </cell>
          <cell r="C4341">
            <v>20072799</v>
          </cell>
          <cell r="D4341">
            <v>45475</v>
          </cell>
        </row>
        <row r="4342">
          <cell r="A4342" t="str">
            <v>Gabriel Araujo Nozawa</v>
          </cell>
          <cell r="B4342">
            <v>37018277</v>
          </cell>
          <cell r="C4342">
            <v>20072826</v>
          </cell>
          <cell r="D4342">
            <v>45475</v>
          </cell>
        </row>
        <row r="4343">
          <cell r="A4343" t="str">
            <v>Jéssica Pereira</v>
          </cell>
          <cell r="B4343">
            <v>37018279</v>
          </cell>
          <cell r="C4343">
            <v>20072828</v>
          </cell>
          <cell r="D4343">
            <v>45475</v>
          </cell>
        </row>
        <row r="4344">
          <cell r="A4344" t="str">
            <v>Ingrid Souza Carvalho</v>
          </cell>
          <cell r="B4344" t="e">
            <v>#N/A</v>
          </cell>
          <cell r="C4344">
            <v>20072850</v>
          </cell>
          <cell r="D4344" t="e">
            <v>#N/A</v>
          </cell>
        </row>
        <row r="4345">
          <cell r="A4345" t="str">
            <v>Eugenia Pereira Gomes Costa</v>
          </cell>
          <cell r="B4345">
            <v>37018297</v>
          </cell>
          <cell r="C4345">
            <v>20072856</v>
          </cell>
          <cell r="D4345">
            <v>45475</v>
          </cell>
        </row>
        <row r="4346">
          <cell r="A4346" t="str">
            <v>Gustavo Felipe Campgnollo Barbosa</v>
          </cell>
          <cell r="B4346">
            <v>37018332</v>
          </cell>
          <cell r="C4346">
            <v>20073116</v>
          </cell>
          <cell r="D4346">
            <v>45475</v>
          </cell>
        </row>
        <row r="4347">
          <cell r="A4347" t="str">
            <v>Adilson Gomes da Silva</v>
          </cell>
          <cell r="B4347">
            <v>37018333</v>
          </cell>
          <cell r="C4347">
            <v>20073117</v>
          </cell>
          <cell r="D4347">
            <v>45475</v>
          </cell>
        </row>
        <row r="4348">
          <cell r="A4348" t="str">
            <v>MARCELI PEREIRA DE ALMEIDA</v>
          </cell>
          <cell r="B4348">
            <v>37018335</v>
          </cell>
          <cell r="C4348">
            <v>20073119</v>
          </cell>
          <cell r="D4348">
            <v>45475</v>
          </cell>
        </row>
        <row r="4349">
          <cell r="A4349" t="str">
            <v>Robson Oliveira da Silva</v>
          </cell>
          <cell r="B4349">
            <v>37018350</v>
          </cell>
          <cell r="C4349">
            <v>20073134</v>
          </cell>
          <cell r="D4349">
            <v>45475</v>
          </cell>
        </row>
        <row r="4350">
          <cell r="A4350" t="str">
            <v>Laira Fernanda de Andrade da Costa</v>
          </cell>
          <cell r="B4350">
            <v>37018365</v>
          </cell>
          <cell r="C4350">
            <v>20073149</v>
          </cell>
          <cell r="D4350">
            <v>45475</v>
          </cell>
        </row>
        <row r="4351">
          <cell r="A4351" t="str">
            <v>Hugo Felipe Vaz Rodrigues</v>
          </cell>
          <cell r="B4351">
            <v>37018370</v>
          </cell>
          <cell r="C4351">
            <v>20073154</v>
          </cell>
          <cell r="D4351">
            <v>45475</v>
          </cell>
        </row>
        <row r="4352">
          <cell r="A4352" t="str">
            <v>Valdenira de Souza Neves</v>
          </cell>
          <cell r="B4352">
            <v>37018376</v>
          </cell>
          <cell r="C4352">
            <v>20073160</v>
          </cell>
          <cell r="D4352">
            <v>45475</v>
          </cell>
        </row>
        <row r="4353">
          <cell r="A4353" t="str">
            <v>Diego Josias dos Santos Melo</v>
          </cell>
          <cell r="B4353">
            <v>37018385</v>
          </cell>
          <cell r="C4353">
            <v>20073169</v>
          </cell>
          <cell r="D4353">
            <v>45475</v>
          </cell>
        </row>
        <row r="4354">
          <cell r="A4354" t="str">
            <v>Mauricio Maximo dos Santos</v>
          </cell>
          <cell r="B4354">
            <v>37018394</v>
          </cell>
          <cell r="C4354">
            <v>20073178</v>
          </cell>
          <cell r="D4354">
            <v>45475</v>
          </cell>
        </row>
        <row r="4355">
          <cell r="A4355" t="str">
            <v>Lucas da Silva Lima</v>
          </cell>
          <cell r="B4355">
            <v>37018389</v>
          </cell>
          <cell r="C4355">
            <v>20073173</v>
          </cell>
          <cell r="D4355">
            <v>45475</v>
          </cell>
        </row>
        <row r="4356">
          <cell r="A4356" t="str">
            <v>Vanilda dos Santos</v>
          </cell>
          <cell r="B4356">
            <v>37018390</v>
          </cell>
          <cell r="C4356">
            <v>20073174</v>
          </cell>
          <cell r="D4356">
            <v>45475</v>
          </cell>
        </row>
        <row r="4357">
          <cell r="A4357" t="str">
            <v>Nayane Oliveira Santos</v>
          </cell>
          <cell r="B4357">
            <v>37018399</v>
          </cell>
          <cell r="C4357">
            <v>20073184</v>
          </cell>
          <cell r="D4357">
            <v>45475</v>
          </cell>
        </row>
        <row r="4358">
          <cell r="A4358" t="str">
            <v>Simone Silva Nascimento</v>
          </cell>
          <cell r="B4358">
            <v>37018395</v>
          </cell>
          <cell r="C4358">
            <v>20073180</v>
          </cell>
          <cell r="D4358">
            <v>45475</v>
          </cell>
        </row>
        <row r="4359">
          <cell r="A4359" t="str">
            <v>Nilza Kátia Lobo</v>
          </cell>
          <cell r="B4359">
            <v>37018400</v>
          </cell>
          <cell r="C4359">
            <v>20073185</v>
          </cell>
          <cell r="D4359">
            <v>45475</v>
          </cell>
        </row>
        <row r="4360">
          <cell r="A4360" t="str">
            <v>Robson Amorim de Assis</v>
          </cell>
          <cell r="B4360">
            <v>37012278</v>
          </cell>
          <cell r="C4360">
            <v>20049224</v>
          </cell>
          <cell r="D4360">
            <v>45048</v>
          </cell>
        </row>
        <row r="4361">
          <cell r="A4361" t="str">
            <v>Ulisses Barbosa dias</v>
          </cell>
          <cell r="B4361">
            <v>37018417</v>
          </cell>
          <cell r="C4361">
            <v>20073609</v>
          </cell>
          <cell r="D4361">
            <v>45475</v>
          </cell>
        </row>
        <row r="4362">
          <cell r="A4362" t="str">
            <v>Tais Ribeiro</v>
          </cell>
          <cell r="B4362">
            <v>37018420</v>
          </cell>
          <cell r="C4362">
            <v>20073612</v>
          </cell>
          <cell r="D4362">
            <v>45475</v>
          </cell>
        </row>
        <row r="4363">
          <cell r="A4363" t="str">
            <v>Antonio Silva de Carvalho</v>
          </cell>
          <cell r="B4363">
            <v>37018422</v>
          </cell>
          <cell r="C4363">
            <v>20073614</v>
          </cell>
          <cell r="D4363">
            <v>45475</v>
          </cell>
        </row>
        <row r="4364">
          <cell r="A4364" t="str">
            <v>Yagho Rawan Pavani Ramos</v>
          </cell>
          <cell r="B4364">
            <v>37018453</v>
          </cell>
          <cell r="C4364">
            <v>20073649</v>
          </cell>
          <cell r="D4364">
            <v>45482</v>
          </cell>
        </row>
        <row r="4365">
          <cell r="A4365" t="str">
            <v>Djanane Silva das Virgens Cunha de Menezes</v>
          </cell>
          <cell r="B4365">
            <v>37018466</v>
          </cell>
          <cell r="C4365">
            <v>20073662</v>
          </cell>
          <cell r="D4365">
            <v>45482</v>
          </cell>
        </row>
        <row r="4366">
          <cell r="A4366" t="str">
            <v>Claudio Aparecido Lopes</v>
          </cell>
          <cell r="B4366">
            <v>37018462</v>
          </cell>
          <cell r="C4366">
            <v>20073658</v>
          </cell>
          <cell r="D4366">
            <v>45482</v>
          </cell>
        </row>
        <row r="4367">
          <cell r="A4367" t="str">
            <v>Giovani Junior Botelho</v>
          </cell>
          <cell r="B4367">
            <v>37018470</v>
          </cell>
          <cell r="C4367">
            <v>20073666</v>
          </cell>
          <cell r="D4367">
            <v>45482</v>
          </cell>
        </row>
        <row r="4368">
          <cell r="A4368" t="str">
            <v>Messias Valenca dos Santos</v>
          </cell>
          <cell r="B4368">
            <v>37018483</v>
          </cell>
          <cell r="C4368">
            <v>20073679</v>
          </cell>
          <cell r="D4368">
            <v>45482</v>
          </cell>
        </row>
        <row r="4369">
          <cell r="A4369" t="str">
            <v>José Carlos Brunetti</v>
          </cell>
          <cell r="B4369">
            <v>37018492</v>
          </cell>
          <cell r="C4369">
            <v>20073848</v>
          </cell>
          <cell r="D4369">
            <v>45482</v>
          </cell>
        </row>
        <row r="4370">
          <cell r="A4370" t="str">
            <v>Diego Torres Andrade Bellini</v>
          </cell>
          <cell r="B4370">
            <v>37018505</v>
          </cell>
          <cell r="C4370">
            <v>20073861</v>
          </cell>
          <cell r="D4370">
            <v>45482</v>
          </cell>
        </row>
        <row r="4371">
          <cell r="A4371" t="str">
            <v>Aristides Gomes</v>
          </cell>
          <cell r="B4371">
            <v>37018508</v>
          </cell>
          <cell r="C4371">
            <v>20073864</v>
          </cell>
          <cell r="D4371">
            <v>45482</v>
          </cell>
        </row>
        <row r="4372">
          <cell r="A4372" t="str">
            <v>Jackson de Araujo Sousa</v>
          </cell>
          <cell r="B4372">
            <v>37018512</v>
          </cell>
          <cell r="C4372">
            <v>20073869</v>
          </cell>
          <cell r="D4372">
            <v>45482</v>
          </cell>
        </row>
        <row r="4373">
          <cell r="A4373" t="str">
            <v>Amanda Cristina Patricio De Lima</v>
          </cell>
          <cell r="B4373">
            <v>37005183</v>
          </cell>
          <cell r="C4373">
            <v>20011618</v>
          </cell>
          <cell r="D4373">
            <v>44214</v>
          </cell>
        </row>
        <row r="4374">
          <cell r="A4374" t="str">
            <v>Marcel Prado De Lucena</v>
          </cell>
          <cell r="B4374">
            <v>37008759</v>
          </cell>
          <cell r="C4374">
            <v>20032366</v>
          </cell>
          <cell r="D4374">
            <v>44774</v>
          </cell>
        </row>
        <row r="4375">
          <cell r="A4375" t="str">
            <v>Daniel Nascimento Batista</v>
          </cell>
          <cell r="B4375">
            <v>37013269</v>
          </cell>
          <cell r="C4375">
            <v>20053626</v>
          </cell>
          <cell r="D4375">
            <v>45111</v>
          </cell>
        </row>
        <row r="4376">
          <cell r="A4376" t="str">
            <v>Charles Leandro Prestes</v>
          </cell>
          <cell r="B4376">
            <v>37018546</v>
          </cell>
          <cell r="C4376">
            <v>20073972</v>
          </cell>
          <cell r="D4376">
            <v>45482</v>
          </cell>
        </row>
        <row r="4377">
          <cell r="A4377" t="str">
            <v>Marcos Alessandro Santos</v>
          </cell>
          <cell r="B4377">
            <v>37018547</v>
          </cell>
          <cell r="C4377">
            <v>20073973</v>
          </cell>
          <cell r="D4377">
            <v>45482</v>
          </cell>
        </row>
        <row r="4378">
          <cell r="A4378" t="str">
            <v>Clemente Pereira de Mora</v>
          </cell>
          <cell r="B4378">
            <v>37018550</v>
          </cell>
          <cell r="C4378">
            <v>20073976</v>
          </cell>
          <cell r="D4378">
            <v>45482</v>
          </cell>
        </row>
        <row r="4379">
          <cell r="A4379" t="str">
            <v>Rosimeire de Moura</v>
          </cell>
          <cell r="B4379">
            <v>37018554</v>
          </cell>
          <cell r="C4379">
            <v>20073980</v>
          </cell>
          <cell r="D4379">
            <v>45482</v>
          </cell>
        </row>
        <row r="4380">
          <cell r="A4380" t="str">
            <v>Edson Valerio dos Santos</v>
          </cell>
          <cell r="B4380">
            <v>37018555</v>
          </cell>
          <cell r="C4380">
            <v>20073981</v>
          </cell>
          <cell r="D4380">
            <v>45482</v>
          </cell>
        </row>
        <row r="4381">
          <cell r="A4381" t="str">
            <v>Diego Muniz de Souza</v>
          </cell>
          <cell r="B4381">
            <v>37018553</v>
          </cell>
          <cell r="C4381">
            <v>20073979</v>
          </cell>
          <cell r="D4381">
            <v>45482</v>
          </cell>
        </row>
        <row r="4382">
          <cell r="A4382" t="str">
            <v>Rubens Menezes de Almeida</v>
          </cell>
          <cell r="B4382">
            <v>37018556</v>
          </cell>
          <cell r="C4382">
            <v>20073982</v>
          </cell>
          <cell r="D4382">
            <v>45482</v>
          </cell>
        </row>
        <row r="4383">
          <cell r="A4383" t="str">
            <v>Simone Catarina de Barros Almeida</v>
          </cell>
          <cell r="B4383">
            <v>37018557</v>
          </cell>
          <cell r="C4383">
            <v>20073983</v>
          </cell>
          <cell r="D4383">
            <v>45482</v>
          </cell>
        </row>
        <row r="4384">
          <cell r="A4384" t="str">
            <v>Eduardo Santos de Oliveira</v>
          </cell>
          <cell r="B4384">
            <v>37018559</v>
          </cell>
          <cell r="C4384">
            <v>20073985</v>
          </cell>
          <cell r="D4384">
            <v>45482</v>
          </cell>
        </row>
        <row r="4385">
          <cell r="A4385" t="str">
            <v>Jhenifer Mayara Oliveira Silva</v>
          </cell>
          <cell r="B4385">
            <v>37018561</v>
          </cell>
          <cell r="C4385">
            <v>20073987</v>
          </cell>
          <cell r="D4385">
            <v>45482</v>
          </cell>
        </row>
        <row r="4386">
          <cell r="A4386" t="str">
            <v>Junio Oliveira Chagas</v>
          </cell>
          <cell r="B4386">
            <v>37018562</v>
          </cell>
          <cell r="C4386">
            <v>20073988</v>
          </cell>
          <cell r="D4386">
            <v>45482</v>
          </cell>
        </row>
        <row r="4387">
          <cell r="A4387" t="str">
            <v>Emanuelle de Souza Muchon</v>
          </cell>
          <cell r="B4387">
            <v>37018560</v>
          </cell>
          <cell r="C4387">
            <v>20073986</v>
          </cell>
          <cell r="D4387">
            <v>45482</v>
          </cell>
        </row>
        <row r="4388">
          <cell r="A4388" t="str">
            <v>Raphael Alves dos Santos</v>
          </cell>
          <cell r="B4388">
            <v>37011228</v>
          </cell>
          <cell r="C4388">
            <v>20042626</v>
          </cell>
          <cell r="D4388">
            <v>44970</v>
          </cell>
        </row>
        <row r="4389">
          <cell r="A4389" t="str">
            <v>Tainara Pereira Farias</v>
          </cell>
          <cell r="B4389">
            <v>37018612</v>
          </cell>
          <cell r="C4389">
            <v>20074190</v>
          </cell>
          <cell r="D4389">
            <v>45489</v>
          </cell>
        </row>
        <row r="4390">
          <cell r="A4390" t="str">
            <v>Aldoberto da Conceição Mourão</v>
          </cell>
          <cell r="B4390">
            <v>37018684</v>
          </cell>
          <cell r="C4390">
            <v>20074760</v>
          </cell>
          <cell r="D4390">
            <v>45491</v>
          </cell>
        </row>
        <row r="4391">
          <cell r="A4391" t="str">
            <v>Vinicios dos Santos Sousa</v>
          </cell>
          <cell r="B4391">
            <v>37018697</v>
          </cell>
          <cell r="C4391">
            <v>20074854</v>
          </cell>
          <cell r="D4391">
            <v>45510</v>
          </cell>
        </row>
        <row r="4392">
          <cell r="A4392" t="str">
            <v>Manoel Conceicao da Rocha</v>
          </cell>
          <cell r="B4392">
            <v>37018689</v>
          </cell>
          <cell r="C4392">
            <v>20045905</v>
          </cell>
          <cell r="D4392">
            <v>45510</v>
          </cell>
        </row>
        <row r="4393">
          <cell r="A4393" t="str">
            <v>Manoel Henrique de Souza Castilho</v>
          </cell>
          <cell r="B4393">
            <v>37018705</v>
          </cell>
          <cell r="C4393">
            <v>20074873</v>
          </cell>
          <cell r="D4393">
            <v>45510</v>
          </cell>
        </row>
        <row r="4394">
          <cell r="A4394" t="str">
            <v>Asafe Esdras de Souza Falcão</v>
          </cell>
          <cell r="B4394">
            <v>37018723</v>
          </cell>
          <cell r="C4394">
            <v>20074909</v>
          </cell>
          <cell r="D4394">
            <v>45510</v>
          </cell>
        </row>
        <row r="4395">
          <cell r="A4395" t="str">
            <v>Vinicius de Oliveira Apolinário</v>
          </cell>
          <cell r="B4395">
            <v>37018727</v>
          </cell>
          <cell r="C4395">
            <v>20074913</v>
          </cell>
          <cell r="D4395">
            <v>45510</v>
          </cell>
        </row>
        <row r="4396">
          <cell r="A4396" t="str">
            <v>Fabio Vinicius Correia da Silva</v>
          </cell>
          <cell r="B4396">
            <v>37018756</v>
          </cell>
          <cell r="C4396">
            <v>20075042</v>
          </cell>
          <cell r="D4396">
            <v>45510</v>
          </cell>
        </row>
        <row r="4397">
          <cell r="A4397" t="str">
            <v>Daniel Amorim Conceicao</v>
          </cell>
          <cell r="B4397">
            <v>37018777</v>
          </cell>
          <cell r="C4397">
            <v>20075063</v>
          </cell>
          <cell r="D4397">
            <v>45510</v>
          </cell>
        </row>
        <row r="4398">
          <cell r="A4398" t="str">
            <v>Murilo Prado dos Santos</v>
          </cell>
          <cell r="B4398">
            <v>37018779</v>
          </cell>
          <cell r="C4398">
            <v>20075065</v>
          </cell>
          <cell r="D4398">
            <v>45510</v>
          </cell>
        </row>
        <row r="4399">
          <cell r="A4399" t="str">
            <v>Jose Vagner Pereira Barbosa</v>
          </cell>
          <cell r="B4399">
            <v>37018781</v>
          </cell>
          <cell r="C4399">
            <v>20075067</v>
          </cell>
          <cell r="D4399">
            <v>45510</v>
          </cell>
        </row>
        <row r="4400">
          <cell r="A4400" t="str">
            <v>Cristiano de Oliveira Pereira</v>
          </cell>
          <cell r="B4400">
            <v>37018784</v>
          </cell>
          <cell r="C4400">
            <v>20075070</v>
          </cell>
          <cell r="D4400">
            <v>45510</v>
          </cell>
        </row>
        <row r="4401">
          <cell r="A4401" t="str">
            <v>Keykison Konaka Silva Bezerra</v>
          </cell>
          <cell r="B4401">
            <v>37018790</v>
          </cell>
          <cell r="C4401">
            <v>20075076</v>
          </cell>
          <cell r="D4401">
            <v>45517</v>
          </cell>
        </row>
        <row r="4402">
          <cell r="A4402" t="str">
            <v>Evandro Freitas dos Santos</v>
          </cell>
          <cell r="B4402">
            <v>37018786</v>
          </cell>
          <cell r="C4402">
            <v>20075072</v>
          </cell>
          <cell r="D4402">
            <v>45510</v>
          </cell>
        </row>
        <row r="4403">
          <cell r="A4403" t="str">
            <v>Jurandir Missias dos Santos</v>
          </cell>
          <cell r="B4403">
            <v>37018799</v>
          </cell>
          <cell r="C4403">
            <v>20075085</v>
          </cell>
          <cell r="D4403">
            <v>45510</v>
          </cell>
        </row>
        <row r="4404">
          <cell r="A4404" t="str">
            <v>Leandro dos Santos Coimbra</v>
          </cell>
          <cell r="B4404">
            <v>37018801</v>
          </cell>
          <cell r="C4404">
            <v>20075087</v>
          </cell>
          <cell r="D4404">
            <v>45510</v>
          </cell>
        </row>
        <row r="4405">
          <cell r="A4405" t="str">
            <v>Leomar Antonio de Vasconcelos</v>
          </cell>
          <cell r="B4405">
            <v>37018804</v>
          </cell>
          <cell r="C4405">
            <v>20075090</v>
          </cell>
          <cell r="D4405">
            <v>45510</v>
          </cell>
        </row>
        <row r="4406">
          <cell r="A4406" t="str">
            <v>Luis Othavio Barbosa Correia</v>
          </cell>
          <cell r="B4406">
            <v>37018813</v>
          </cell>
          <cell r="C4406">
            <v>20075108</v>
          </cell>
          <cell r="D4406">
            <v>45510</v>
          </cell>
        </row>
        <row r="4407">
          <cell r="A4407" t="str">
            <v>Rafael dos Santos Mota</v>
          </cell>
          <cell r="B4407">
            <v>37018814</v>
          </cell>
          <cell r="C4407">
            <v>20075109</v>
          </cell>
          <cell r="D4407">
            <v>45510</v>
          </cell>
        </row>
        <row r="4408">
          <cell r="A4408" t="str">
            <v>Kauan Silva Torres</v>
          </cell>
          <cell r="B4408">
            <v>37018811</v>
          </cell>
          <cell r="C4408">
            <v>20075106</v>
          </cell>
          <cell r="D4408">
            <v>45510</v>
          </cell>
        </row>
        <row r="4409">
          <cell r="A4409" t="str">
            <v>Rafael Marson</v>
          </cell>
          <cell r="B4409">
            <v>37018825</v>
          </cell>
          <cell r="C4409">
            <v>20075120</v>
          </cell>
          <cell r="D4409">
            <v>45510</v>
          </cell>
        </row>
        <row r="4410">
          <cell r="A4410" t="str">
            <v>Ana Caroline Amorim da Silva</v>
          </cell>
          <cell r="B4410">
            <v>37018806</v>
          </cell>
          <cell r="C4410">
            <v>20045921</v>
          </cell>
          <cell r="D4410">
            <v>45510</v>
          </cell>
        </row>
        <row r="4411">
          <cell r="A4411" t="str">
            <v>Marcio Matos da Costa</v>
          </cell>
          <cell r="B4411">
            <v>37018817</v>
          </cell>
          <cell r="C4411">
            <v>20075112</v>
          </cell>
          <cell r="D4411">
            <v>45510</v>
          </cell>
        </row>
        <row r="4412">
          <cell r="A4412" t="str">
            <v>Francisco Ponciano Lacerda Filho</v>
          </cell>
          <cell r="B4412">
            <v>37018818</v>
          </cell>
          <cell r="C4412">
            <v>20075113</v>
          </cell>
          <cell r="D4412">
            <v>45510</v>
          </cell>
        </row>
        <row r="4413">
          <cell r="A4413" t="str">
            <v>Douglas Florentino Castro</v>
          </cell>
          <cell r="B4413">
            <v>37018819</v>
          </cell>
          <cell r="C4413">
            <v>20075114</v>
          </cell>
          <cell r="D4413">
            <v>45510</v>
          </cell>
        </row>
        <row r="4414">
          <cell r="A4414" t="str">
            <v>Ian Lara Ferreira da Silva</v>
          </cell>
          <cell r="B4414">
            <v>37018821</v>
          </cell>
          <cell r="C4414">
            <v>20075116</v>
          </cell>
          <cell r="D4414">
            <v>45510</v>
          </cell>
        </row>
        <row r="4415">
          <cell r="A4415" t="str">
            <v>Osvaldo Francisco da Silva</v>
          </cell>
          <cell r="B4415">
            <v>37018835</v>
          </cell>
          <cell r="C4415">
            <v>20075130</v>
          </cell>
          <cell r="D4415">
            <v>45510</v>
          </cell>
        </row>
        <row r="4416">
          <cell r="A4416" t="str">
            <v>Jean Vinicius Policarpo Almeida</v>
          </cell>
          <cell r="B4416">
            <v>37018836</v>
          </cell>
          <cell r="C4416">
            <v>20075131</v>
          </cell>
          <cell r="D4416">
            <v>45510</v>
          </cell>
        </row>
        <row r="4417">
          <cell r="A4417" t="str">
            <v>Flaisner Willian Martins Ferreira</v>
          </cell>
          <cell r="B4417">
            <v>37018830</v>
          </cell>
          <cell r="C4417">
            <v>20075125</v>
          </cell>
          <cell r="D4417">
            <v>45510</v>
          </cell>
        </row>
        <row r="4418">
          <cell r="A4418" t="str">
            <v>Junior Jardim da Silva</v>
          </cell>
          <cell r="B4418" t="e">
            <v>#N/A</v>
          </cell>
          <cell r="C4418">
            <v>20075126</v>
          </cell>
          <cell r="D4418" t="e">
            <v>#N/A</v>
          </cell>
        </row>
        <row r="4419">
          <cell r="A4419" t="str">
            <v>Isaias de Sobral Santos Luna</v>
          </cell>
          <cell r="B4419">
            <v>37018839</v>
          </cell>
          <cell r="C4419">
            <v>20075134</v>
          </cell>
          <cell r="D4419">
            <v>45510</v>
          </cell>
        </row>
        <row r="4420">
          <cell r="A4420" t="str">
            <v>Wallace Matochek Matheus Matochek Ferreira</v>
          </cell>
          <cell r="B4420">
            <v>37018852</v>
          </cell>
          <cell r="C4420">
            <v>20075147</v>
          </cell>
          <cell r="D4420">
            <v>45510</v>
          </cell>
        </row>
        <row r="4421">
          <cell r="A4421" t="str">
            <v>Jose Wilker da Gama Pereira</v>
          </cell>
          <cell r="B4421">
            <v>37018848</v>
          </cell>
          <cell r="C4421">
            <v>20075143</v>
          </cell>
          <cell r="D4421">
            <v>45510</v>
          </cell>
        </row>
        <row r="4422">
          <cell r="A4422" t="str">
            <v>Josmar dos Santos Silva</v>
          </cell>
          <cell r="B4422">
            <v>37019027</v>
          </cell>
          <cell r="C4422">
            <v>20076851</v>
          </cell>
          <cell r="D4422">
            <v>45538</v>
          </cell>
        </row>
        <row r="4423">
          <cell r="A4423" t="str">
            <v>Leandro Eduardo de Oliveira Souza</v>
          </cell>
          <cell r="B4423">
            <v>37019054</v>
          </cell>
          <cell r="C4423">
            <v>20076906</v>
          </cell>
          <cell r="D4423">
            <v>45538</v>
          </cell>
        </row>
        <row r="4424">
          <cell r="A4424" t="str">
            <v>Antonio Robson da Cunha da Silva</v>
          </cell>
          <cell r="B4424">
            <v>37019049</v>
          </cell>
          <cell r="C4424">
            <v>20076901</v>
          </cell>
          <cell r="D4424">
            <v>45538</v>
          </cell>
        </row>
        <row r="4425">
          <cell r="A4425" t="str">
            <v>Luanna Alves Pereira</v>
          </cell>
          <cell r="B4425">
            <v>37019061</v>
          </cell>
          <cell r="C4425">
            <v>20076914</v>
          </cell>
          <cell r="D4425">
            <v>45538</v>
          </cell>
        </row>
        <row r="4426">
          <cell r="A4426" t="str">
            <v>Rubens Baptista Filho</v>
          </cell>
          <cell r="B4426">
            <v>37019066</v>
          </cell>
          <cell r="C4426">
            <v>20076919</v>
          </cell>
          <cell r="D4426">
            <v>45538</v>
          </cell>
        </row>
        <row r="4427">
          <cell r="A4427" t="str">
            <v>Mateus Oliveira Marques</v>
          </cell>
          <cell r="B4427">
            <v>37019090</v>
          </cell>
          <cell r="C4427">
            <v>20076943</v>
          </cell>
          <cell r="D4427">
            <v>45538</v>
          </cell>
        </row>
        <row r="4428">
          <cell r="A4428" t="str">
            <v>Kevino Ribeiro Moreira</v>
          </cell>
          <cell r="B4428">
            <v>37011695</v>
          </cell>
          <cell r="C4428">
            <v>20045219</v>
          </cell>
          <cell r="D4428">
            <v>44998</v>
          </cell>
        </row>
        <row r="4429">
          <cell r="A4429" t="str">
            <v>Denis David Barbosa</v>
          </cell>
          <cell r="B4429">
            <v>37019127</v>
          </cell>
          <cell r="C4429">
            <v>20077311</v>
          </cell>
          <cell r="D4429">
            <v>45545</v>
          </cell>
        </row>
        <row r="4430">
          <cell r="A4430" t="str">
            <v>Elivaldo Francisco Da Rocha</v>
          </cell>
          <cell r="B4430">
            <v>37007105</v>
          </cell>
          <cell r="C4430">
            <v>20022914</v>
          </cell>
          <cell r="D4430">
            <v>44599</v>
          </cell>
        </row>
        <row r="4431">
          <cell r="A4431" t="str">
            <v>Alan dos Santos Silva</v>
          </cell>
          <cell r="B4431">
            <v>37019191</v>
          </cell>
          <cell r="C4431">
            <v>20077420</v>
          </cell>
          <cell r="D4431">
            <v>45540</v>
          </cell>
        </row>
        <row r="4432">
          <cell r="A4432" t="str">
            <v>Aparecido Nunes da Silva</v>
          </cell>
          <cell r="B4432">
            <v>37019193</v>
          </cell>
          <cell r="C4432">
            <v>20077422</v>
          </cell>
          <cell r="D4432">
            <v>45540</v>
          </cell>
        </row>
        <row r="4433">
          <cell r="A4433" t="str">
            <v>Carlos Santos Coimbra</v>
          </cell>
          <cell r="B4433">
            <v>37019194</v>
          </cell>
          <cell r="C4433">
            <v>20077423</v>
          </cell>
          <cell r="D4433">
            <v>45540</v>
          </cell>
        </row>
        <row r="4434">
          <cell r="A4434" t="str">
            <v>Claudio Jose Siqueira dos Santos</v>
          </cell>
          <cell r="B4434">
            <v>37019195</v>
          </cell>
          <cell r="C4434">
            <v>20077424</v>
          </cell>
          <cell r="D4434">
            <v>45540</v>
          </cell>
        </row>
        <row r="4435">
          <cell r="A4435" t="str">
            <v>Anderson Fermiano Silva</v>
          </cell>
          <cell r="B4435">
            <v>37019192</v>
          </cell>
          <cell r="C4435">
            <v>20077421</v>
          </cell>
          <cell r="D4435">
            <v>45540</v>
          </cell>
        </row>
        <row r="4436">
          <cell r="A4436" t="str">
            <v>Diego Alves Ferreira</v>
          </cell>
          <cell r="B4436">
            <v>37019196</v>
          </cell>
          <cell r="C4436">
            <v>20077425</v>
          </cell>
          <cell r="D4436">
            <v>45540</v>
          </cell>
        </row>
        <row r="4437">
          <cell r="A4437" t="str">
            <v>Eder Silva Santos</v>
          </cell>
          <cell r="B4437">
            <v>37019198</v>
          </cell>
          <cell r="C4437">
            <v>20077427</v>
          </cell>
          <cell r="D4437">
            <v>45540</v>
          </cell>
        </row>
        <row r="4438">
          <cell r="A4438" t="str">
            <v>Tamires Pereira Mendes</v>
          </cell>
          <cell r="B4438">
            <v>37019203</v>
          </cell>
          <cell r="C4438">
            <v>20077432</v>
          </cell>
          <cell r="D4438">
            <v>45540</v>
          </cell>
        </row>
        <row r="4439">
          <cell r="A4439" t="str">
            <v>Higina dos Santos Carvalho</v>
          </cell>
          <cell r="B4439">
            <v>37019204</v>
          </cell>
          <cell r="C4439">
            <v>20077433</v>
          </cell>
          <cell r="D4439">
            <v>45540</v>
          </cell>
        </row>
        <row r="4440">
          <cell r="A4440" t="str">
            <v>Jessica da Silva Laurentino</v>
          </cell>
          <cell r="B4440">
            <v>37019190</v>
          </cell>
          <cell r="C4440">
            <v>20077325</v>
          </cell>
          <cell r="D4440">
            <v>45540</v>
          </cell>
        </row>
        <row r="4441">
          <cell r="A4441" t="str">
            <v>Wesley Ferreira Martins</v>
          </cell>
          <cell r="B4441">
            <v>37019197</v>
          </cell>
          <cell r="C4441">
            <v>20077426</v>
          </cell>
          <cell r="D4441">
            <v>45540</v>
          </cell>
        </row>
        <row r="4442">
          <cell r="A4442" t="str">
            <v>Elisangela Barbosa de Oliveira</v>
          </cell>
          <cell r="B4442">
            <v>37019200</v>
          </cell>
          <cell r="C4442">
            <v>20077429</v>
          </cell>
          <cell r="D4442">
            <v>45540</v>
          </cell>
        </row>
        <row r="4443">
          <cell r="A4443" t="str">
            <v>Vanessa de Freitas</v>
          </cell>
          <cell r="B4443">
            <v>37019201</v>
          </cell>
          <cell r="C4443">
            <v>20077430</v>
          </cell>
          <cell r="D4443">
            <v>45540</v>
          </cell>
        </row>
        <row r="4444">
          <cell r="A4444" t="str">
            <v>Francielle Gomes Romao</v>
          </cell>
          <cell r="B4444">
            <v>37019202</v>
          </cell>
          <cell r="C4444">
            <v>20077431</v>
          </cell>
          <cell r="D4444">
            <v>45540</v>
          </cell>
        </row>
        <row r="4445">
          <cell r="A4445" t="str">
            <v>Ryan Rocha Vieira</v>
          </cell>
          <cell r="B4445">
            <v>37019205</v>
          </cell>
          <cell r="C4445">
            <v>20077434</v>
          </cell>
          <cell r="D4445">
            <v>45540</v>
          </cell>
        </row>
        <row r="4446">
          <cell r="A4446" t="str">
            <v>Marcelo Diniz Gomes</v>
          </cell>
          <cell r="B4446">
            <v>37019207</v>
          </cell>
          <cell r="C4446">
            <v>20077847</v>
          </cell>
          <cell r="D4446">
            <v>45540</v>
          </cell>
        </row>
        <row r="4447">
          <cell r="A4447" t="str">
            <v>Marcia Martins Rodrigues</v>
          </cell>
          <cell r="B4447">
            <v>37019209</v>
          </cell>
          <cell r="C4447">
            <v>20077850</v>
          </cell>
          <cell r="D4447">
            <v>45540</v>
          </cell>
        </row>
        <row r="4448">
          <cell r="A4448" t="str">
            <v>Paulo Eduardo Carvalho da Silva</v>
          </cell>
          <cell r="B4448">
            <v>37019211</v>
          </cell>
          <cell r="C4448">
            <v>20077852</v>
          </cell>
          <cell r="D4448">
            <v>45540</v>
          </cell>
        </row>
        <row r="4449">
          <cell r="A4449" t="str">
            <v>Matheus Barbosa dos Anjos</v>
          </cell>
          <cell r="B4449">
            <v>37019208</v>
          </cell>
          <cell r="C4449">
            <v>20077848</v>
          </cell>
          <cell r="D4449">
            <v>45540</v>
          </cell>
        </row>
        <row r="4450">
          <cell r="A4450" t="str">
            <v>Jessica Ferreira dos Santos</v>
          </cell>
          <cell r="B4450">
            <v>37019210</v>
          </cell>
          <cell r="C4450">
            <v>20077851</v>
          </cell>
          <cell r="D4450">
            <v>45540</v>
          </cell>
        </row>
        <row r="4451">
          <cell r="A4451" t="str">
            <v>Joao Carlos Conceicao Oliveira</v>
          </cell>
          <cell r="B4451">
            <v>37019212</v>
          </cell>
          <cell r="C4451">
            <v>20077854</v>
          </cell>
          <cell r="D4451">
            <v>45540</v>
          </cell>
        </row>
        <row r="4452">
          <cell r="A4452" t="str">
            <v>Luiz Carlos Barbosa Lopes</v>
          </cell>
          <cell r="B4452">
            <v>37019213</v>
          </cell>
          <cell r="C4452">
            <v>20077857</v>
          </cell>
          <cell r="D4452">
            <v>45540</v>
          </cell>
        </row>
        <row r="4453">
          <cell r="A4453" t="str">
            <v>Rafael Luiz do Nascimento Brito</v>
          </cell>
          <cell r="B4453">
            <v>37019214</v>
          </cell>
          <cell r="C4453">
            <v>20077858</v>
          </cell>
          <cell r="D4453">
            <v>45540</v>
          </cell>
        </row>
        <row r="4454">
          <cell r="A4454" t="str">
            <v>Jose Marcio Xavier</v>
          </cell>
          <cell r="B4454">
            <v>37019215</v>
          </cell>
          <cell r="C4454">
            <v>20077859</v>
          </cell>
          <cell r="D4454">
            <v>45540</v>
          </cell>
        </row>
        <row r="4455">
          <cell r="A4455" t="str">
            <v>Rita de Cassia Souza Ferreira Rocha</v>
          </cell>
          <cell r="B4455">
            <v>37019216</v>
          </cell>
          <cell r="C4455">
            <v>20077861</v>
          </cell>
          <cell r="D4455">
            <v>45540</v>
          </cell>
        </row>
        <row r="4456">
          <cell r="A4456" t="str">
            <v>Marcelo Matias de Carvalho</v>
          </cell>
          <cell r="B4456">
            <v>37019217</v>
          </cell>
          <cell r="C4456">
            <v>20077862</v>
          </cell>
          <cell r="D4456">
            <v>45545</v>
          </cell>
        </row>
        <row r="4457">
          <cell r="A4457" t="str">
            <v>Sergio Ricardo neres de Santana</v>
          </cell>
          <cell r="B4457">
            <v>37019218</v>
          </cell>
          <cell r="C4457">
            <v>20077863</v>
          </cell>
          <cell r="D4457">
            <v>45545</v>
          </cell>
        </row>
        <row r="4458">
          <cell r="A4458" t="str">
            <v>Lucas da Silva</v>
          </cell>
          <cell r="B4458">
            <v>37019219</v>
          </cell>
          <cell r="C4458">
            <v>20077864</v>
          </cell>
          <cell r="D4458">
            <v>45540</v>
          </cell>
        </row>
        <row r="4459">
          <cell r="A4459" t="str">
            <v>Lucineide dos Santos</v>
          </cell>
          <cell r="B4459">
            <v>37019220</v>
          </cell>
          <cell r="C4459">
            <v>20077865</v>
          </cell>
          <cell r="D4459">
            <v>45540</v>
          </cell>
        </row>
        <row r="4460">
          <cell r="A4460" t="str">
            <v>Adriana de Souza Silva</v>
          </cell>
          <cell r="B4460">
            <v>37019221</v>
          </cell>
          <cell r="C4460">
            <v>20077866</v>
          </cell>
          <cell r="D4460">
            <v>45540</v>
          </cell>
        </row>
        <row r="4461">
          <cell r="A4461" t="str">
            <v>Gabriel Ramos Nunes</v>
          </cell>
          <cell r="B4461">
            <v>37019239</v>
          </cell>
          <cell r="C4461">
            <v>20077920</v>
          </cell>
          <cell r="D4461">
            <v>45552</v>
          </cell>
        </row>
        <row r="4462">
          <cell r="A4462" t="str">
            <v>Wellyton Martins Ferreira</v>
          </cell>
          <cell r="B4462">
            <v>37019257</v>
          </cell>
          <cell r="C4462">
            <v>20077938</v>
          </cell>
          <cell r="D4462">
            <v>45552</v>
          </cell>
        </row>
        <row r="4463">
          <cell r="A4463" t="str">
            <v>Alonso da Silva Ganga</v>
          </cell>
          <cell r="B4463">
            <v>37019259</v>
          </cell>
          <cell r="C4463">
            <v>20077940</v>
          </cell>
          <cell r="D4463">
            <v>45552</v>
          </cell>
        </row>
        <row r="4464">
          <cell r="A4464" t="str">
            <v>Edilson Rafael de Macena</v>
          </cell>
          <cell r="B4464">
            <v>37019263</v>
          </cell>
          <cell r="C4464">
            <v>20077944</v>
          </cell>
          <cell r="D4464">
            <v>45552</v>
          </cell>
        </row>
        <row r="4465">
          <cell r="A4465" t="str">
            <v>Fabiano Feliciano Ricardo</v>
          </cell>
          <cell r="B4465">
            <v>37019271</v>
          </cell>
          <cell r="C4465">
            <v>20077953</v>
          </cell>
          <cell r="D4465">
            <v>45552</v>
          </cell>
        </row>
        <row r="4466">
          <cell r="A4466" t="str">
            <v>Fernando Vinicius Scaliante Guedes</v>
          </cell>
          <cell r="B4466">
            <v>37019273</v>
          </cell>
          <cell r="C4466">
            <v>20077955</v>
          </cell>
          <cell r="D4466">
            <v>45552</v>
          </cell>
        </row>
        <row r="4467">
          <cell r="A4467" t="str">
            <v>Jonas Silva Santos</v>
          </cell>
          <cell r="B4467">
            <v>37019275</v>
          </cell>
          <cell r="C4467">
            <v>20077957</v>
          </cell>
          <cell r="D4467">
            <v>45552</v>
          </cell>
        </row>
        <row r="4468">
          <cell r="A4468" t="str">
            <v>Eliezio do Nascimento Cardoso</v>
          </cell>
          <cell r="B4468">
            <v>37019267</v>
          </cell>
          <cell r="C4468">
            <v>20077949</v>
          </cell>
          <cell r="D4468">
            <v>45552</v>
          </cell>
        </row>
        <row r="4469">
          <cell r="A4469" t="str">
            <v>Fagner dos Santos Santana</v>
          </cell>
          <cell r="B4469">
            <v>37019277</v>
          </cell>
          <cell r="C4469">
            <v>20077959</v>
          </cell>
          <cell r="D4469">
            <v>45552</v>
          </cell>
        </row>
        <row r="4470">
          <cell r="A4470" t="str">
            <v>Mercia Cristina dos Santos</v>
          </cell>
          <cell r="B4470">
            <v>37019278</v>
          </cell>
          <cell r="C4470">
            <v>20077960</v>
          </cell>
          <cell r="D4470">
            <v>45552</v>
          </cell>
        </row>
        <row r="4471">
          <cell r="A4471" t="str">
            <v>Moriel Vinicius da Silva dos Santos</v>
          </cell>
          <cell r="B4471">
            <v>37019280</v>
          </cell>
          <cell r="C4471">
            <v>20077962</v>
          </cell>
          <cell r="D4471">
            <v>45552</v>
          </cell>
        </row>
        <row r="4472">
          <cell r="A4472" t="str">
            <v>Rafael da Silva</v>
          </cell>
          <cell r="B4472">
            <v>37019284</v>
          </cell>
          <cell r="C4472">
            <v>20077966</v>
          </cell>
          <cell r="D4472">
            <v>45552</v>
          </cell>
        </row>
        <row r="4473">
          <cell r="A4473" t="str">
            <v>Andreson Dos Santos Augusto</v>
          </cell>
          <cell r="B4473">
            <v>37019276</v>
          </cell>
          <cell r="C4473">
            <v>20077958</v>
          </cell>
          <cell r="D4473">
            <v>45552</v>
          </cell>
        </row>
        <row r="4474">
          <cell r="A4474" t="str">
            <v>Marcos Vinicius da gama trindade</v>
          </cell>
          <cell r="B4474">
            <v>37019279</v>
          </cell>
          <cell r="C4474">
            <v>20077961</v>
          </cell>
          <cell r="D4474">
            <v>45552</v>
          </cell>
        </row>
        <row r="4475">
          <cell r="A4475" t="str">
            <v>Janaldo Joao Batista</v>
          </cell>
          <cell r="B4475">
            <v>37019281</v>
          </cell>
          <cell r="C4475">
            <v>20077963</v>
          </cell>
          <cell r="D4475">
            <v>45552</v>
          </cell>
        </row>
        <row r="4476">
          <cell r="A4476" t="str">
            <v>Nerivaldo De Matos Souza</v>
          </cell>
          <cell r="B4476">
            <v>37019282</v>
          </cell>
          <cell r="C4476">
            <v>20077964</v>
          </cell>
          <cell r="D4476">
            <v>45552</v>
          </cell>
        </row>
        <row r="4477">
          <cell r="A4477" t="str">
            <v>Sebastian Henrique de Oliveira Custodio</v>
          </cell>
          <cell r="B4477">
            <v>37019286</v>
          </cell>
          <cell r="C4477">
            <v>20077968</v>
          </cell>
          <cell r="D4477">
            <v>45552</v>
          </cell>
        </row>
        <row r="4478">
          <cell r="A4478" t="str">
            <v>Aleandro Manoel da cruz</v>
          </cell>
          <cell r="B4478">
            <v>37019289</v>
          </cell>
          <cell r="C4478">
            <v>20077982</v>
          </cell>
          <cell r="D4478">
            <v>45552</v>
          </cell>
        </row>
        <row r="4479">
          <cell r="A4479" t="str">
            <v>Alessandro Dos santos Ricardo</v>
          </cell>
          <cell r="B4479">
            <v>37019290</v>
          </cell>
          <cell r="C4479">
            <v>20077984</v>
          </cell>
          <cell r="D4479">
            <v>45552</v>
          </cell>
        </row>
        <row r="4480">
          <cell r="A4480" t="str">
            <v>Edivani Da Gama Santos</v>
          </cell>
          <cell r="B4480">
            <v>37019291</v>
          </cell>
          <cell r="C4480">
            <v>20077986</v>
          </cell>
          <cell r="D4480">
            <v>45552</v>
          </cell>
        </row>
        <row r="4481">
          <cell r="A4481" t="str">
            <v>Valeria Aparecida de Oliveira Custodio</v>
          </cell>
          <cell r="B4481">
            <v>37019293</v>
          </cell>
          <cell r="C4481">
            <v>20077988</v>
          </cell>
          <cell r="D4481">
            <v>45552</v>
          </cell>
        </row>
        <row r="4482">
          <cell r="A4482" t="str">
            <v>Gabriel Martinez Felipe</v>
          </cell>
          <cell r="B4482">
            <v>37019302</v>
          </cell>
          <cell r="C4482">
            <v>20077997</v>
          </cell>
          <cell r="D4482">
            <v>45552</v>
          </cell>
        </row>
        <row r="4483">
          <cell r="A4483" t="str">
            <v>Valmir Sales Casagrande Filho</v>
          </cell>
          <cell r="B4483">
            <v>37019296</v>
          </cell>
          <cell r="C4483">
            <v>20077991</v>
          </cell>
          <cell r="D4483">
            <v>45552</v>
          </cell>
        </row>
        <row r="4484">
          <cell r="A4484" t="str">
            <v>Wilson Alex Lima dos Santos</v>
          </cell>
          <cell r="B4484">
            <v>37019298</v>
          </cell>
          <cell r="C4484">
            <v>20077993</v>
          </cell>
          <cell r="D4484">
            <v>45552</v>
          </cell>
        </row>
        <row r="4485">
          <cell r="A4485" t="str">
            <v>Fabiana Karina Munari</v>
          </cell>
          <cell r="B4485">
            <v>37019300</v>
          </cell>
          <cell r="C4485">
            <v>20077995</v>
          </cell>
          <cell r="D4485">
            <v>45552</v>
          </cell>
        </row>
        <row r="4486">
          <cell r="A4486" t="str">
            <v>Jardel Lucas Martins Oliveira</v>
          </cell>
          <cell r="B4486">
            <v>37019304</v>
          </cell>
          <cell r="C4486">
            <v>20077999</v>
          </cell>
          <cell r="D4486">
            <v>45552</v>
          </cell>
        </row>
        <row r="4487">
          <cell r="A4487" t="str">
            <v>Jeferson Batista de Lima</v>
          </cell>
          <cell r="B4487">
            <v>37019307</v>
          </cell>
          <cell r="C4487">
            <v>20078002</v>
          </cell>
          <cell r="D4487">
            <v>45552</v>
          </cell>
        </row>
        <row r="4488">
          <cell r="A4488" t="str">
            <v>Matheus de Oliveira Almeida</v>
          </cell>
          <cell r="B4488">
            <v>37019314</v>
          </cell>
          <cell r="C4488">
            <v>20078009</v>
          </cell>
          <cell r="D4488">
            <v>45552</v>
          </cell>
        </row>
        <row r="4489">
          <cell r="A4489" t="str">
            <v>Valesca Ribeiro de Souza</v>
          </cell>
          <cell r="B4489">
            <v>37019318</v>
          </cell>
          <cell r="C4489">
            <v>20078013</v>
          </cell>
          <cell r="D4489">
            <v>45552</v>
          </cell>
        </row>
        <row r="4490">
          <cell r="A4490" t="str">
            <v>Andreus Rafael Martins</v>
          </cell>
          <cell r="B4490">
            <v>37019311</v>
          </cell>
          <cell r="C4490">
            <v>20078006</v>
          </cell>
          <cell r="D4490">
            <v>45552</v>
          </cell>
        </row>
        <row r="4491">
          <cell r="A4491" t="str">
            <v>Wesley Ribeiro Costa Sales</v>
          </cell>
          <cell r="B4491">
            <v>37019319</v>
          </cell>
          <cell r="C4491">
            <v>20078014</v>
          </cell>
          <cell r="D4491">
            <v>45552</v>
          </cell>
        </row>
        <row r="4492">
          <cell r="A4492" t="str">
            <v>Thiago Henrique Theodoro</v>
          </cell>
          <cell r="B4492">
            <v>37019325</v>
          </cell>
          <cell r="C4492">
            <v>20078061</v>
          </cell>
          <cell r="D4492">
            <v>45552</v>
          </cell>
        </row>
        <row r="4493">
          <cell r="A4493" t="str">
            <v>Charles dos santos Lopes</v>
          </cell>
          <cell r="B4493">
            <v>37019329</v>
          </cell>
          <cell r="C4493">
            <v>20078065</v>
          </cell>
          <cell r="D4493">
            <v>45552</v>
          </cell>
        </row>
        <row r="4494">
          <cell r="A4494" t="str">
            <v>Edinaldo Magalhaes Franco</v>
          </cell>
          <cell r="B4494">
            <v>37019327</v>
          </cell>
          <cell r="C4494">
            <v>20078063</v>
          </cell>
          <cell r="D4494">
            <v>45552</v>
          </cell>
        </row>
        <row r="4495">
          <cell r="A4495" t="str">
            <v>Dalmi Gabriel Monteiro Roldão</v>
          </cell>
          <cell r="B4495">
            <v>37019328</v>
          </cell>
          <cell r="C4495">
            <v>20078064</v>
          </cell>
          <cell r="D4495">
            <v>45552</v>
          </cell>
        </row>
        <row r="4496">
          <cell r="A4496" t="str">
            <v>Wellington Gomes Rodrigues</v>
          </cell>
          <cell r="B4496">
            <v>37019339</v>
          </cell>
          <cell r="C4496">
            <v>20078198</v>
          </cell>
          <cell r="D4496">
            <v>45552</v>
          </cell>
        </row>
        <row r="4497">
          <cell r="A4497" t="str">
            <v>Gian Carlos Queiroz</v>
          </cell>
          <cell r="B4497">
            <v>37019373</v>
          </cell>
          <cell r="C4497">
            <v>20078354</v>
          </cell>
          <cell r="D4497">
            <v>45566</v>
          </cell>
        </row>
        <row r="4498">
          <cell r="A4498" t="str">
            <v>Adriano Barboza Garcia</v>
          </cell>
          <cell r="B4498">
            <v>37019388</v>
          </cell>
          <cell r="C4498">
            <v>20078369</v>
          </cell>
          <cell r="D4498">
            <v>45566</v>
          </cell>
        </row>
        <row r="4499">
          <cell r="A4499" t="str">
            <v>Gustavo Rosemberger Leandro</v>
          </cell>
          <cell r="B4499">
            <v>37019401</v>
          </cell>
          <cell r="C4499">
            <v>20078382</v>
          </cell>
          <cell r="D4499">
            <v>45566</v>
          </cell>
        </row>
        <row r="4500">
          <cell r="A4500" t="str">
            <v>Alvaro Batista da Silva</v>
          </cell>
          <cell r="B4500">
            <v>37019405</v>
          </cell>
          <cell r="C4500">
            <v>20078389</v>
          </cell>
          <cell r="D4500">
            <v>45566</v>
          </cell>
        </row>
        <row r="4501">
          <cell r="A4501" t="str">
            <v>Kendy Miranda Cardoso de Lima</v>
          </cell>
          <cell r="B4501">
            <v>37019457</v>
          </cell>
          <cell r="C4501">
            <v>20078441</v>
          </cell>
          <cell r="D4501">
            <v>45566</v>
          </cell>
        </row>
        <row r="4502">
          <cell r="A4502" t="str">
            <v>Alessandro Francisco Abaque</v>
          </cell>
          <cell r="B4502">
            <v>37009431</v>
          </cell>
          <cell r="C4502">
            <v>20033742</v>
          </cell>
          <cell r="D4502">
            <v>44823</v>
          </cell>
        </row>
        <row r="4503">
          <cell r="A4503" t="str">
            <v>Horsama Soares dos Santos</v>
          </cell>
          <cell r="B4503" t="e">
            <v>#N/A</v>
          </cell>
          <cell r="C4503">
            <v>20078664</v>
          </cell>
          <cell r="D4503" t="e">
            <v>#N/A</v>
          </cell>
        </row>
        <row r="4504">
          <cell r="A4504" t="str">
            <v>LARYSSA DOS SANTOS ALVES</v>
          </cell>
          <cell r="B4504" t="e">
            <v>#N/A</v>
          </cell>
          <cell r="C4504">
            <v>20078672</v>
          </cell>
          <cell r="D4504" t="e">
            <v>#N/A</v>
          </cell>
        </row>
        <row r="4505">
          <cell r="A4505" t="str">
            <v>GILMAR BATISTA DA CONCEICAO</v>
          </cell>
          <cell r="B4505" t="e">
            <v>#N/A</v>
          </cell>
          <cell r="C4505">
            <v>20078745</v>
          </cell>
          <cell r="D4505" t="e">
            <v>#N/A</v>
          </cell>
        </row>
        <row r="4506">
          <cell r="A4506" t="str">
            <v>Arthur Martins Pinto Nunes</v>
          </cell>
          <cell r="B4506" t="e">
            <v>#N/A</v>
          </cell>
          <cell r="C4506">
            <v>20079336</v>
          </cell>
          <cell r="D4506" t="e">
            <v>#N/A</v>
          </cell>
        </row>
        <row r="4507">
          <cell r="A4507" t="str">
            <v>Ingrid Victoria Santos Silva</v>
          </cell>
          <cell r="B4507" t="e">
            <v>#N/A</v>
          </cell>
          <cell r="C4507">
            <v>20079334</v>
          </cell>
          <cell r="D4507" t="e">
            <v>#N/A</v>
          </cell>
        </row>
        <row r="4508">
          <cell r="A4508" t="str">
            <v>Gabrieli Caetano da Silva</v>
          </cell>
          <cell r="B4508" t="e">
            <v>#N/A</v>
          </cell>
          <cell r="C4508">
            <v>20079337</v>
          </cell>
          <cell r="D4508" t="e">
            <v>#N/A</v>
          </cell>
        </row>
        <row r="4509">
          <cell r="A4509" t="str">
            <v>Raphael Pinheiro Aragao</v>
          </cell>
          <cell r="B4509">
            <v>37014310</v>
          </cell>
          <cell r="C4509">
            <v>20058411</v>
          </cell>
          <cell r="D4509">
            <v>45174</v>
          </cell>
        </row>
        <row r="4510">
          <cell r="A4510" t="str">
            <v>Tais Cristina Pereira do Nascimento</v>
          </cell>
          <cell r="B4510">
            <v>37013408</v>
          </cell>
          <cell r="C4510">
            <v>20054519</v>
          </cell>
          <cell r="D4510">
            <v>45118</v>
          </cell>
        </row>
        <row r="4511">
          <cell r="A4511" t="str">
            <v>Lucas Fernando Dos Santos Assis Assis</v>
          </cell>
          <cell r="B4511" t="e">
            <v>#N/A</v>
          </cell>
          <cell r="C4511">
            <v>20079365</v>
          </cell>
          <cell r="D4511" t="e">
            <v>#N/A</v>
          </cell>
        </row>
        <row r="4512">
          <cell r="A4512" t="str">
            <v>Lucas Barbosa de Souza</v>
          </cell>
          <cell r="B4512" t="e">
            <v>#N/A</v>
          </cell>
          <cell r="C4512">
            <v>20079369</v>
          </cell>
          <cell r="D4512" t="e">
            <v>#N/A</v>
          </cell>
        </row>
        <row r="4513">
          <cell r="A4513" t="str">
            <v>Marcelo Marcelo Victor da Silva Batista</v>
          </cell>
          <cell r="B4513" t="e">
            <v>#N/A</v>
          </cell>
          <cell r="C4513">
            <v>20079370</v>
          </cell>
          <cell r="D4513" t="e">
            <v>#N/A</v>
          </cell>
        </row>
        <row r="4514">
          <cell r="A4514" t="str">
            <v>Matheus Adriano Gomes Ferreira</v>
          </cell>
          <cell r="B4514" t="e">
            <v>#N/A</v>
          </cell>
          <cell r="C4514">
            <v>20079373</v>
          </cell>
          <cell r="D4514" t="e">
            <v>#N/A</v>
          </cell>
        </row>
        <row r="4515">
          <cell r="A4515" t="str">
            <v>Samara Joelma Calixto Nascimento</v>
          </cell>
          <cell r="B4515" t="e">
            <v>#N/A</v>
          </cell>
          <cell r="C4515">
            <v>20079374</v>
          </cell>
          <cell r="D4515" t="e">
            <v>#N/A</v>
          </cell>
        </row>
        <row r="4516">
          <cell r="A4516" t="str">
            <v>THAILA Souza Machado</v>
          </cell>
          <cell r="B4516" t="e">
            <v>#N/A</v>
          </cell>
          <cell r="C4516">
            <v>20079942</v>
          </cell>
          <cell r="D4516" t="e">
            <v>#N/A</v>
          </cell>
        </row>
        <row r="4517">
          <cell r="A4517" t="str">
            <v>Matheus Leite Lima</v>
          </cell>
          <cell r="B4517" t="e">
            <v>#N/A</v>
          </cell>
          <cell r="C4517">
            <v>20079946</v>
          </cell>
          <cell r="D4517" t="e">
            <v>#N/A</v>
          </cell>
        </row>
        <row r="4518">
          <cell r="A4518" t="str">
            <v>Matheus Pereira da Silva</v>
          </cell>
          <cell r="B4518" t="e">
            <v>#N/A</v>
          </cell>
          <cell r="C4518">
            <v>20079947</v>
          </cell>
          <cell r="D4518" t="e">
            <v>#N/A</v>
          </cell>
        </row>
        <row r="4519">
          <cell r="A4519" t="str">
            <v>Tatiele da Silva Santos</v>
          </cell>
          <cell r="B4519" t="e">
            <v>#N/A</v>
          </cell>
          <cell r="C4519">
            <v>20079949</v>
          </cell>
          <cell r="D4519" t="e">
            <v>#N/A</v>
          </cell>
        </row>
        <row r="4520">
          <cell r="A4520" t="str">
            <v>Paulo Ricardo Tenório de Santana</v>
          </cell>
          <cell r="B4520" t="e">
            <v>#N/A</v>
          </cell>
          <cell r="C4520">
            <v>20079953</v>
          </cell>
          <cell r="D4520" t="e">
            <v>#N/A</v>
          </cell>
        </row>
        <row r="4521">
          <cell r="A4521" t="str">
            <v>Damião Barbosa Sanches</v>
          </cell>
          <cell r="B4521" t="e">
            <v>#N/A</v>
          </cell>
          <cell r="C4521">
            <v>20079957</v>
          </cell>
          <cell r="D4521" t="e">
            <v>#N/A</v>
          </cell>
        </row>
        <row r="4522">
          <cell r="A4522" t="str">
            <v>Francisco Bernardino dos Santos</v>
          </cell>
          <cell r="B4522" t="e">
            <v>#N/A</v>
          </cell>
          <cell r="C4522">
            <v>20079962</v>
          </cell>
          <cell r="D4522" t="e">
            <v>#N/A</v>
          </cell>
        </row>
        <row r="4523">
          <cell r="A4523" t="str">
            <v>Ana laura Laura Guimarães</v>
          </cell>
          <cell r="B4523" t="e">
            <v>#N/A</v>
          </cell>
          <cell r="C4523">
            <v>20079960</v>
          </cell>
          <cell r="D4523" t="e">
            <v>#N/A</v>
          </cell>
        </row>
        <row r="4524">
          <cell r="A4524" t="str">
            <v>Carolyna Andersen Castelão</v>
          </cell>
          <cell r="B4524" t="e">
            <v>#N/A</v>
          </cell>
          <cell r="C4524">
            <v>20079968</v>
          </cell>
          <cell r="D4524" t="e">
            <v>#N/A</v>
          </cell>
        </row>
        <row r="4525">
          <cell r="A4525" t="str">
            <v>Fernando de Lima Ribeiro</v>
          </cell>
          <cell r="B4525" t="e">
            <v>#N/A</v>
          </cell>
          <cell r="C4525">
            <v>20079978</v>
          </cell>
          <cell r="D4525" t="e">
            <v>#N/A</v>
          </cell>
        </row>
        <row r="4526">
          <cell r="A4526" t="str">
            <v>Ricardo Junior Hurtiak</v>
          </cell>
          <cell r="B4526" t="e">
            <v>#N/A</v>
          </cell>
          <cell r="C4526">
            <v>20079981</v>
          </cell>
          <cell r="D4526" t="e">
            <v>#N/A</v>
          </cell>
        </row>
        <row r="4527">
          <cell r="A4527" t="str">
            <v>Claudinei Siqueira Silva</v>
          </cell>
          <cell r="B4527" t="e">
            <v>#N/A</v>
          </cell>
          <cell r="C4527">
            <v>20079982</v>
          </cell>
          <cell r="D4527" t="e">
            <v>#N/A</v>
          </cell>
        </row>
        <row r="4528">
          <cell r="A4528" t="str">
            <v>Jailton dos Santos Duque</v>
          </cell>
          <cell r="B4528" t="e">
            <v>#N/A</v>
          </cell>
          <cell r="C4528">
            <v>20080017</v>
          </cell>
          <cell r="D4528" t="e">
            <v>#N/A</v>
          </cell>
        </row>
        <row r="4529">
          <cell r="A4529" t="str">
            <v>Andrea Santos De Jesus</v>
          </cell>
          <cell r="B4529">
            <v>37009375</v>
          </cell>
          <cell r="C4529">
            <v>20033391</v>
          </cell>
          <cell r="D4529">
            <v>44823</v>
          </cell>
        </row>
        <row r="4530">
          <cell r="A4530" t="str">
            <v>Jefferson Pereira Dos Santos</v>
          </cell>
          <cell r="B4530">
            <v>37009396</v>
          </cell>
          <cell r="C4530">
            <v>20033406</v>
          </cell>
          <cell r="D4530">
            <v>44816</v>
          </cell>
        </row>
        <row r="4531">
          <cell r="A4531" t="str">
            <v>Barbara Dayene Lopes</v>
          </cell>
          <cell r="B4531">
            <v>37009426</v>
          </cell>
          <cell r="C4531">
            <v>20033729</v>
          </cell>
          <cell r="D4531">
            <v>44823</v>
          </cell>
        </row>
        <row r="4532">
          <cell r="A4532" t="str">
            <v>Maria Louise Dos Santos</v>
          </cell>
          <cell r="B4532">
            <v>37009683</v>
          </cell>
          <cell r="C4532">
            <v>20035880</v>
          </cell>
          <cell r="D4532">
            <v>44851</v>
          </cell>
        </row>
        <row r="4533">
          <cell r="A4533" t="str">
            <v>Tiago Henrique Soares</v>
          </cell>
          <cell r="B4533">
            <v>37010069</v>
          </cell>
          <cell r="C4533">
            <v>20038174</v>
          </cell>
          <cell r="D4533">
            <v>44881</v>
          </cell>
        </row>
        <row r="4534">
          <cell r="A4534" t="str">
            <v>Pamela Alves Monteiro</v>
          </cell>
          <cell r="B4534">
            <v>37010220</v>
          </cell>
          <cell r="C4534">
            <v>20038643</v>
          </cell>
          <cell r="D4534">
            <v>44886</v>
          </cell>
        </row>
        <row r="4535">
          <cell r="A4535" t="str">
            <v>Cristofer da Silva</v>
          </cell>
          <cell r="B4535">
            <v>37010629</v>
          </cell>
          <cell r="C4535">
            <v>20040544</v>
          </cell>
          <cell r="D4535">
            <v>44930</v>
          </cell>
        </row>
        <row r="4536">
          <cell r="A4536" t="str">
            <v>Ciro Jose Silva Calacio</v>
          </cell>
          <cell r="B4536">
            <v>37010659</v>
          </cell>
          <cell r="C4536">
            <v>20040613</v>
          </cell>
          <cell r="D4536">
            <v>44930</v>
          </cell>
        </row>
        <row r="4537">
          <cell r="A4537" t="str">
            <v>Nelcy de Souza Marques</v>
          </cell>
          <cell r="B4537">
            <v>37010723</v>
          </cell>
          <cell r="C4537">
            <v>20040885</v>
          </cell>
          <cell r="D4537">
            <v>44935</v>
          </cell>
        </row>
        <row r="4538">
          <cell r="A4538" t="str">
            <v>Michelle Oliveira de Almeida Stricker</v>
          </cell>
          <cell r="B4538">
            <v>37010773</v>
          </cell>
          <cell r="C4538">
            <v>20040999</v>
          </cell>
          <cell r="D4538">
            <v>44935</v>
          </cell>
        </row>
        <row r="4539">
          <cell r="A4539" t="str">
            <v>Maria Aparecida Da Silva</v>
          </cell>
          <cell r="B4539">
            <v>37010871</v>
          </cell>
          <cell r="C4539">
            <v>20041267</v>
          </cell>
          <cell r="D4539">
            <v>44942</v>
          </cell>
        </row>
        <row r="4540">
          <cell r="A4540" t="str">
            <v>Bruna Caroline Bispo Marcolino</v>
          </cell>
          <cell r="B4540">
            <v>37010898</v>
          </cell>
          <cell r="C4540">
            <v>20041297</v>
          </cell>
          <cell r="D4540">
            <v>44942</v>
          </cell>
        </row>
        <row r="4541">
          <cell r="A4541" t="str">
            <v>Luciano Alberto Ribeiro</v>
          </cell>
          <cell r="B4541">
            <v>37010945</v>
          </cell>
          <cell r="C4541">
            <v>20041765</v>
          </cell>
          <cell r="D4541">
            <v>44958</v>
          </cell>
        </row>
        <row r="4542">
          <cell r="A4542" t="str">
            <v>Talita Elen Vieira</v>
          </cell>
          <cell r="B4542">
            <v>37011070</v>
          </cell>
          <cell r="C4542">
            <v>20042136</v>
          </cell>
          <cell r="D4542">
            <v>44970</v>
          </cell>
        </row>
        <row r="4543">
          <cell r="A4543" t="str">
            <v>Fabio Dias Taloni</v>
          </cell>
          <cell r="B4543">
            <v>37011679</v>
          </cell>
          <cell r="C4543">
            <v>20045203</v>
          </cell>
          <cell r="D4543">
            <v>44998</v>
          </cell>
        </row>
        <row r="4544">
          <cell r="A4544" t="str">
            <v>Willian da Silva Gomes</v>
          </cell>
          <cell r="B4544">
            <v>37011689</v>
          </cell>
          <cell r="C4544">
            <v>20045213</v>
          </cell>
          <cell r="D4544">
            <v>44998</v>
          </cell>
        </row>
        <row r="4545">
          <cell r="A4545" t="str">
            <v>Rodolfo Dantas Da Silva</v>
          </cell>
          <cell r="B4545">
            <v>37009585</v>
          </cell>
          <cell r="C4545">
            <v>20035249</v>
          </cell>
          <cell r="D4545">
            <v>44837</v>
          </cell>
        </row>
        <row r="4546">
          <cell r="A4546" t="str">
            <v>Juliana de Fatima Leandro Vieira</v>
          </cell>
          <cell r="B4546">
            <v>37012434</v>
          </cell>
          <cell r="C4546">
            <v>20049734</v>
          </cell>
          <cell r="D4546">
            <v>45055</v>
          </cell>
        </row>
        <row r="4547">
          <cell r="A4547" t="str">
            <v>Alison Chacra Ferreira</v>
          </cell>
          <cell r="B4547">
            <v>37013289</v>
          </cell>
          <cell r="C4547">
            <v>20053651</v>
          </cell>
          <cell r="D4547">
            <v>45111</v>
          </cell>
        </row>
        <row r="4548">
          <cell r="A4548" t="str">
            <v>Murilo Antunes Belchor</v>
          </cell>
          <cell r="B4548">
            <v>37013293</v>
          </cell>
          <cell r="C4548">
            <v>20053655</v>
          </cell>
          <cell r="D4548">
            <v>45111</v>
          </cell>
        </row>
        <row r="4549">
          <cell r="A4549" t="str">
            <v>Lucas Luna de Alencar</v>
          </cell>
          <cell r="B4549">
            <v>37013457</v>
          </cell>
          <cell r="C4549">
            <v>20054992</v>
          </cell>
          <cell r="D4549">
            <v>45125</v>
          </cell>
        </row>
        <row r="4550">
          <cell r="A4550" t="str">
            <v>Ewerton dos Santos Silva</v>
          </cell>
          <cell r="B4550">
            <v>37014081</v>
          </cell>
          <cell r="C4550">
            <v>20057817</v>
          </cell>
          <cell r="D4550">
            <v>45160</v>
          </cell>
        </row>
        <row r="4551">
          <cell r="A4551" t="str">
            <v>Klynsman Silva Justo</v>
          </cell>
          <cell r="B4551">
            <v>37014190</v>
          </cell>
          <cell r="C4551">
            <v>20057989</v>
          </cell>
          <cell r="D4551">
            <v>45174</v>
          </cell>
        </row>
        <row r="4552">
          <cell r="A4552" t="str">
            <v>Ane Caroline Galdino</v>
          </cell>
          <cell r="B4552">
            <v>37014437</v>
          </cell>
          <cell r="C4552">
            <v>20058831</v>
          </cell>
          <cell r="D4552">
            <v>45181</v>
          </cell>
        </row>
        <row r="4553">
          <cell r="A4553" t="str">
            <v>Eduardo Jeronimo da Silva</v>
          </cell>
          <cell r="B4553">
            <v>37014787</v>
          </cell>
          <cell r="C4553">
            <v>20060004</v>
          </cell>
          <cell r="D4553">
            <v>45202</v>
          </cell>
        </row>
        <row r="4554">
          <cell r="A4554" t="str">
            <v>Gabriel De Souza Franca Cruz</v>
          </cell>
          <cell r="B4554">
            <v>37015828</v>
          </cell>
          <cell r="C4554">
            <v>20063542</v>
          </cell>
          <cell r="D4554">
            <v>45300</v>
          </cell>
        </row>
        <row r="4555">
          <cell r="A4555" t="str">
            <v>Felipe Bianchi Saldanha</v>
          </cell>
          <cell r="B4555">
            <v>37004834</v>
          </cell>
          <cell r="C4555">
            <v>20008106</v>
          </cell>
          <cell r="D4555">
            <v>44082</v>
          </cell>
        </row>
        <row r="4556">
          <cell r="A4556" t="str">
            <v>Sheila Goncalves Marciotti</v>
          </cell>
          <cell r="B4556">
            <v>37016259</v>
          </cell>
          <cell r="C4556">
            <v>20063941</v>
          </cell>
          <cell r="D4556">
            <v>45307</v>
          </cell>
        </row>
        <row r="4557">
          <cell r="A4557" t="str">
            <v>Lucas Henrique de Souza dos Santos</v>
          </cell>
          <cell r="B4557">
            <v>37016363</v>
          </cell>
          <cell r="C4557">
            <v>20064110</v>
          </cell>
          <cell r="D4557">
            <v>45314</v>
          </cell>
        </row>
        <row r="4558">
          <cell r="A4558" t="str">
            <v>Bruno Bandeira Reis</v>
          </cell>
          <cell r="B4558">
            <v>37010957</v>
          </cell>
          <cell r="C4558">
            <v>20041776</v>
          </cell>
          <cell r="D4558">
            <v>44958</v>
          </cell>
        </row>
        <row r="4559">
          <cell r="A4559" t="str">
            <v>Leonardo Alves Freitas</v>
          </cell>
          <cell r="B4559">
            <v>37011533</v>
          </cell>
          <cell r="C4559">
            <v>20044424</v>
          </cell>
          <cell r="D4559">
            <v>44991</v>
          </cell>
        </row>
        <row r="4560">
          <cell r="A4560" t="str">
            <v>Rafaela Menezes Ribeiro</v>
          </cell>
          <cell r="B4560">
            <v>37017073</v>
          </cell>
          <cell r="C4560">
            <v>20067067</v>
          </cell>
          <cell r="D4560">
            <v>45384</v>
          </cell>
        </row>
        <row r="4561">
          <cell r="A4561" t="str">
            <v>Aristoteles Pedrosa de Almeida Junior</v>
          </cell>
          <cell r="B4561">
            <v>37017261</v>
          </cell>
          <cell r="C4561">
            <v>20068519</v>
          </cell>
          <cell r="D4561">
            <v>45398</v>
          </cell>
        </row>
        <row r="4562">
          <cell r="A4562" t="str">
            <v>Jose Antonio Oliverio Neto</v>
          </cell>
          <cell r="B4562">
            <v>37010537</v>
          </cell>
          <cell r="C4562">
            <v>20040274</v>
          </cell>
          <cell r="D4562">
            <v>44914</v>
          </cell>
        </row>
        <row r="4563">
          <cell r="A4563" t="str">
            <v>Rodrigo Boscoli</v>
          </cell>
          <cell r="B4563">
            <v>37018298</v>
          </cell>
          <cell r="C4563">
            <v>20072857</v>
          </cell>
          <cell r="D4563">
            <v>45475</v>
          </cell>
        </row>
        <row r="4564">
          <cell r="A4564" t="str">
            <v>Jefferson Silva de Souza Rodrigues</v>
          </cell>
          <cell r="B4564">
            <v>37018324</v>
          </cell>
          <cell r="C4564">
            <v>20073108</v>
          </cell>
          <cell r="D4564">
            <v>45475</v>
          </cell>
        </row>
        <row r="4565">
          <cell r="A4565" t="str">
            <v>Rejeanny Sousa Leite</v>
          </cell>
          <cell r="B4565">
            <v>37018597</v>
          </cell>
          <cell r="C4565">
            <v>20074171</v>
          </cell>
          <cell r="D4565">
            <v>45489</v>
          </cell>
        </row>
        <row r="4566">
          <cell r="A4566" t="str">
            <v>Victor Augusto Rodrigues Esteves</v>
          </cell>
          <cell r="B4566">
            <v>37018609</v>
          </cell>
          <cell r="C4566">
            <v>20074187</v>
          </cell>
          <cell r="D4566">
            <v>45489</v>
          </cell>
        </row>
        <row r="4567">
          <cell r="A4567" t="str">
            <v>Wellington De Souza Leal Moura</v>
          </cell>
          <cell r="B4567">
            <v>37014342</v>
          </cell>
          <cell r="C4567">
            <v>20058477</v>
          </cell>
          <cell r="D4567">
            <v>45174</v>
          </cell>
        </row>
        <row r="4568">
          <cell r="A4568" t="str">
            <v>Marcello Saldanha Almeida</v>
          </cell>
          <cell r="B4568">
            <v>37018712</v>
          </cell>
          <cell r="C4568">
            <v>20074880</v>
          </cell>
          <cell r="D4568">
            <v>45510</v>
          </cell>
        </row>
        <row r="4569">
          <cell r="A4569" t="str">
            <v>Vander Rigolo Miranda</v>
          </cell>
          <cell r="B4569">
            <v>37009674</v>
          </cell>
          <cell r="C4569">
            <v>20035872</v>
          </cell>
          <cell r="D4569">
            <v>44851</v>
          </cell>
        </row>
        <row r="4570">
          <cell r="A4570" t="str">
            <v>Igor Henrique Pereira dos Santos</v>
          </cell>
          <cell r="B4570">
            <v>37011692</v>
          </cell>
          <cell r="C4570">
            <v>20045216</v>
          </cell>
          <cell r="D4570">
            <v>44998</v>
          </cell>
        </row>
        <row r="4571">
          <cell r="A4571" t="str">
            <v>Joiciane Dos Santos Gomes</v>
          </cell>
          <cell r="B4571">
            <v>37008095</v>
          </cell>
          <cell r="C4571">
            <v>12004157</v>
          </cell>
          <cell r="D4571">
            <v>41396</v>
          </cell>
        </row>
        <row r="4572">
          <cell r="A4572" t="str">
            <v>Marcia Regina De Oliveira Pascini</v>
          </cell>
          <cell r="B4572">
            <v>37004763</v>
          </cell>
          <cell r="C4572">
            <v>20008038</v>
          </cell>
          <cell r="D4572">
            <v>44060</v>
          </cell>
        </row>
        <row r="4573">
          <cell r="A4573" t="str">
            <v>Albertina Camargo Rezende Da Silva</v>
          </cell>
          <cell r="B4573">
            <v>37004589</v>
          </cell>
          <cell r="C4573">
            <v>20008046</v>
          </cell>
          <cell r="D4573">
            <v>44004</v>
          </cell>
        </row>
        <row r="4574">
          <cell r="A4574" t="str">
            <v>Edilson Nicolau Pereira De Lima</v>
          </cell>
          <cell r="B4574">
            <v>37004748</v>
          </cell>
          <cell r="C4574">
            <v>20008054</v>
          </cell>
          <cell r="D4574">
            <v>44060</v>
          </cell>
        </row>
        <row r="4575">
          <cell r="A4575" t="str">
            <v>Ana Paula Da Silva Gomes</v>
          </cell>
          <cell r="B4575">
            <v>37004734</v>
          </cell>
          <cell r="C4575">
            <v>20008055</v>
          </cell>
          <cell r="D4575">
            <v>44060</v>
          </cell>
        </row>
        <row r="4576">
          <cell r="A4576" t="str">
            <v>Rosemeire Vilas Boas Vicente</v>
          </cell>
          <cell r="B4576">
            <v>37004770</v>
          </cell>
          <cell r="C4576">
            <v>20008065</v>
          </cell>
          <cell r="D4576">
            <v>44060</v>
          </cell>
        </row>
        <row r="4577">
          <cell r="A4577" t="str">
            <v>Maira Dos Santos Nunes</v>
          </cell>
          <cell r="B4577">
            <v>37004762</v>
          </cell>
          <cell r="C4577">
            <v>20008078</v>
          </cell>
          <cell r="D4577">
            <v>44060</v>
          </cell>
        </row>
        <row r="4578">
          <cell r="A4578" t="str">
            <v>Simone Sonia Bastos</v>
          </cell>
          <cell r="B4578">
            <v>37004852</v>
          </cell>
          <cell r="C4578">
            <v>20008100</v>
          </cell>
          <cell r="D4578">
            <v>44082</v>
          </cell>
        </row>
        <row r="4579">
          <cell r="A4579" t="str">
            <v>Silvana Lourenco De Souza</v>
          </cell>
          <cell r="B4579">
            <v>37004851</v>
          </cell>
          <cell r="C4579">
            <v>20008104</v>
          </cell>
          <cell r="D4579">
            <v>44082</v>
          </cell>
        </row>
        <row r="4580">
          <cell r="A4580" t="str">
            <v>Danieli De Souza Tenorio</v>
          </cell>
          <cell r="B4580">
            <v>37004872</v>
          </cell>
          <cell r="C4580">
            <v>20008122</v>
          </cell>
          <cell r="D4580">
            <v>44090</v>
          </cell>
        </row>
        <row r="4581">
          <cell r="A4581" t="str">
            <v>Tamaisa Pereira Dos Santos</v>
          </cell>
          <cell r="B4581">
            <v>37004914</v>
          </cell>
          <cell r="C4581">
            <v>20008135</v>
          </cell>
          <cell r="D4581">
            <v>44095</v>
          </cell>
        </row>
        <row r="4582">
          <cell r="A4582" t="str">
            <v>Franciene Dos Santos</v>
          </cell>
          <cell r="B4582">
            <v>37004900</v>
          </cell>
          <cell r="C4582">
            <v>20008136</v>
          </cell>
          <cell r="D4582">
            <v>44095</v>
          </cell>
        </row>
        <row r="4583">
          <cell r="A4583" t="str">
            <v>Gabriel Fogo Vitor</v>
          </cell>
          <cell r="B4583">
            <v>37004901</v>
          </cell>
          <cell r="C4583">
            <v>20008141</v>
          </cell>
          <cell r="D4583">
            <v>44095</v>
          </cell>
        </row>
        <row r="4584">
          <cell r="A4584" t="str">
            <v>Joselia De Fatima Fernandes</v>
          </cell>
          <cell r="B4584">
            <v>37004938</v>
          </cell>
          <cell r="C4584">
            <v>20008147</v>
          </cell>
          <cell r="D4584">
            <v>44109</v>
          </cell>
        </row>
        <row r="4585">
          <cell r="A4585" t="str">
            <v>Maurilio Da Silva Filho</v>
          </cell>
          <cell r="B4585">
            <v>37004766</v>
          </cell>
          <cell r="C4585">
            <v>20008395</v>
          </cell>
          <cell r="D4585">
            <v>44060</v>
          </cell>
        </row>
        <row r="4586">
          <cell r="A4586" t="str">
            <v>Elis Regina Martins Euzebio</v>
          </cell>
          <cell r="B4586">
            <v>37004550</v>
          </cell>
          <cell r="C4586">
            <v>20008174</v>
          </cell>
          <cell r="D4586">
            <v>43962</v>
          </cell>
        </row>
        <row r="4587">
          <cell r="A4587" t="str">
            <v>Joaquim Trecenti Barros Lordelo</v>
          </cell>
          <cell r="B4587">
            <v>37004128</v>
          </cell>
          <cell r="C4587">
            <v>20008200</v>
          </cell>
          <cell r="D4587">
            <v>43843</v>
          </cell>
        </row>
        <row r="4588">
          <cell r="A4588" t="str">
            <v>Marcia Rosa Teodoro Viana</v>
          </cell>
          <cell r="B4588">
            <v>37004463</v>
          </cell>
          <cell r="C4588">
            <v>20008229</v>
          </cell>
          <cell r="D4588">
            <v>43899</v>
          </cell>
        </row>
        <row r="4589">
          <cell r="A4589" t="str">
            <v>Renan Goes Moraes</v>
          </cell>
          <cell r="B4589">
            <v>37004468</v>
          </cell>
          <cell r="C4589">
            <v>20008295</v>
          </cell>
          <cell r="D4589">
            <v>43899</v>
          </cell>
        </row>
        <row r="4590">
          <cell r="A4590" t="str">
            <v>Vera Lucia De Souza</v>
          </cell>
          <cell r="B4590">
            <v>37004638</v>
          </cell>
          <cell r="C4590">
            <v>20008333</v>
          </cell>
          <cell r="D4590">
            <v>44025</v>
          </cell>
        </row>
        <row r="4591">
          <cell r="A4591" t="str">
            <v>Sandra Regina Misael</v>
          </cell>
          <cell r="B4591">
            <v>37004688</v>
          </cell>
          <cell r="C4591">
            <v>20008357</v>
          </cell>
          <cell r="D4591">
            <v>44046</v>
          </cell>
        </row>
        <row r="4592">
          <cell r="A4592" t="str">
            <v>Claudete De Fatima Borges Da Silva</v>
          </cell>
          <cell r="B4592">
            <v>37004670</v>
          </cell>
          <cell r="C4592">
            <v>20008367</v>
          </cell>
          <cell r="D4592">
            <v>44046</v>
          </cell>
        </row>
        <row r="4593">
          <cell r="A4593" t="str">
            <v>Edimara Silva</v>
          </cell>
          <cell r="B4593">
            <v>37004701</v>
          </cell>
          <cell r="C4593">
            <v>20008374</v>
          </cell>
          <cell r="D4593">
            <v>44053</v>
          </cell>
        </row>
        <row r="4594">
          <cell r="A4594" t="str">
            <v>Aline Aparecida Cossoniche</v>
          </cell>
          <cell r="B4594">
            <v>37004733</v>
          </cell>
          <cell r="C4594">
            <v>20008399</v>
          </cell>
          <cell r="D4594">
            <v>44060</v>
          </cell>
        </row>
        <row r="4595">
          <cell r="A4595" t="str">
            <v>Ana Paula De Souza Sanches</v>
          </cell>
          <cell r="B4595">
            <v>37004825</v>
          </cell>
          <cell r="C4595">
            <v>20008410</v>
          </cell>
          <cell r="D4595">
            <v>44082</v>
          </cell>
        </row>
        <row r="4596">
          <cell r="A4596" t="str">
            <v>Genario Ambrozio Da Silva</v>
          </cell>
          <cell r="B4596">
            <v>37004835</v>
          </cell>
          <cell r="C4596">
            <v>20008415</v>
          </cell>
          <cell r="D4596">
            <v>44082</v>
          </cell>
        </row>
        <row r="4597">
          <cell r="A4597" t="str">
            <v>Maria Das Gracas Hunas Silva De Oliveira</v>
          </cell>
          <cell r="B4597">
            <v>37004907</v>
          </cell>
          <cell r="C4597">
            <v>20008428</v>
          </cell>
          <cell r="D4597">
            <v>44095</v>
          </cell>
        </row>
        <row r="4598">
          <cell r="A4598" t="str">
            <v>Livia De Almeida Asiani</v>
          </cell>
          <cell r="B4598">
            <v>37004945</v>
          </cell>
          <cell r="C4598">
            <v>20008455</v>
          </cell>
          <cell r="D4598">
            <v>44109</v>
          </cell>
        </row>
        <row r="4599">
          <cell r="A4599" t="str">
            <v>Orico Pires</v>
          </cell>
          <cell r="B4599">
            <v>37004955</v>
          </cell>
          <cell r="C4599">
            <v>20008458</v>
          </cell>
          <cell r="D4599">
            <v>44109</v>
          </cell>
        </row>
        <row r="4600">
          <cell r="A4600" t="str">
            <v>Carlos Roberto Goncalves</v>
          </cell>
          <cell r="B4600">
            <v>37004923</v>
          </cell>
          <cell r="C4600">
            <v>20008462</v>
          </cell>
          <cell r="D4600">
            <v>44109</v>
          </cell>
        </row>
        <row r="4601">
          <cell r="A4601" t="str">
            <v>Maria Aparecida Santiago Raimundo</v>
          </cell>
          <cell r="B4601">
            <v>37004950</v>
          </cell>
          <cell r="C4601">
            <v>20008463</v>
          </cell>
          <cell r="D4601">
            <v>44109</v>
          </cell>
        </row>
        <row r="4602">
          <cell r="A4602" t="str">
            <v>Leandro Monteiro Dos Santos</v>
          </cell>
          <cell r="B4602">
            <v>37004942</v>
          </cell>
          <cell r="C4602">
            <v>20008467</v>
          </cell>
          <cell r="D4602">
            <v>44109</v>
          </cell>
        </row>
        <row r="4603">
          <cell r="A4603" t="str">
            <v>Adriano Marques Da Silva</v>
          </cell>
          <cell r="B4603">
            <v>37001847</v>
          </cell>
          <cell r="C4603">
            <v>20008510</v>
          </cell>
          <cell r="D4603">
            <v>42751</v>
          </cell>
        </row>
        <row r="4604">
          <cell r="A4604" t="str">
            <v>Alex Dos Santos</v>
          </cell>
          <cell r="B4604">
            <v>37000591</v>
          </cell>
          <cell r="C4604">
            <v>20008535</v>
          </cell>
          <cell r="D4604">
            <v>39468</v>
          </cell>
        </row>
        <row r="4605">
          <cell r="A4605" t="str">
            <v>Aline Da Silva Viana</v>
          </cell>
          <cell r="B4605">
            <v>37002294</v>
          </cell>
          <cell r="C4605">
            <v>20008555</v>
          </cell>
          <cell r="D4605">
            <v>43213</v>
          </cell>
        </row>
        <row r="4606">
          <cell r="A4606" t="str">
            <v>Alvedi Barbosa De Freitas</v>
          </cell>
          <cell r="B4606">
            <v>37000287</v>
          </cell>
          <cell r="C4606">
            <v>20008568</v>
          </cell>
          <cell r="D4606">
            <v>36395</v>
          </cell>
        </row>
        <row r="4607">
          <cell r="A4607" t="str">
            <v>Amarildo Da Silva</v>
          </cell>
          <cell r="B4607">
            <v>37000051</v>
          </cell>
          <cell r="C4607">
            <v>20008571</v>
          </cell>
          <cell r="D4607">
            <v>32561</v>
          </cell>
        </row>
        <row r="4608">
          <cell r="A4608" t="str">
            <v>Ana Claudia Oliveira Da Silva</v>
          </cell>
          <cell r="B4608">
            <v>37003280</v>
          </cell>
          <cell r="C4608">
            <v>20008581</v>
          </cell>
          <cell r="D4608">
            <v>43633</v>
          </cell>
        </row>
        <row r="4609">
          <cell r="A4609" t="str">
            <v>Ana Lucia Machado De Abreu</v>
          </cell>
          <cell r="B4609">
            <v>37002264</v>
          </cell>
          <cell r="C4609">
            <v>20008584</v>
          </cell>
          <cell r="D4609">
            <v>43178</v>
          </cell>
        </row>
        <row r="4610">
          <cell r="A4610" t="str">
            <v>Ana Maria Cesario</v>
          </cell>
          <cell r="B4610">
            <v>37004556</v>
          </cell>
          <cell r="C4610">
            <v>20008585</v>
          </cell>
          <cell r="D4610">
            <v>43969</v>
          </cell>
        </row>
        <row r="4611">
          <cell r="A4611" t="str">
            <v>Ana Paula Penteado Bortolozzi</v>
          </cell>
          <cell r="B4611">
            <v>37002934</v>
          </cell>
          <cell r="C4611">
            <v>20008590</v>
          </cell>
          <cell r="D4611">
            <v>43507</v>
          </cell>
        </row>
        <row r="4612">
          <cell r="A4612" t="str">
            <v>Anderson Aparecido Nunes</v>
          </cell>
          <cell r="B4612">
            <v>37001818</v>
          </cell>
          <cell r="C4612">
            <v>20008598</v>
          </cell>
          <cell r="D4612">
            <v>42695</v>
          </cell>
        </row>
        <row r="4613">
          <cell r="A4613" t="str">
            <v>Anizio Fernandes De Oliveira</v>
          </cell>
          <cell r="B4613">
            <v>37000114</v>
          </cell>
          <cell r="C4613">
            <v>20008639</v>
          </cell>
          <cell r="D4613">
            <v>34358</v>
          </cell>
        </row>
        <row r="4614">
          <cell r="A4614" t="str">
            <v>Antonio Carlos De Oliveira</v>
          </cell>
          <cell r="B4614">
            <v>37001501</v>
          </cell>
          <cell r="C4614">
            <v>20008650</v>
          </cell>
          <cell r="D4614">
            <v>42058</v>
          </cell>
        </row>
        <row r="4615">
          <cell r="A4615" t="str">
            <v>Antonio Carlos Pereira Da Silva</v>
          </cell>
          <cell r="B4615">
            <v>37000779</v>
          </cell>
          <cell r="C4615">
            <v>20008651</v>
          </cell>
          <cell r="D4615">
            <v>40343</v>
          </cell>
        </row>
        <row r="4616">
          <cell r="A4616" t="str">
            <v>Antonio Fernandes De Oliveira Sobrinho</v>
          </cell>
          <cell r="B4616">
            <v>37000208</v>
          </cell>
          <cell r="C4616">
            <v>20008656</v>
          </cell>
          <cell r="D4616">
            <v>35292</v>
          </cell>
        </row>
        <row r="4617">
          <cell r="A4617" t="str">
            <v>Antonio Marcos De Oliveira</v>
          </cell>
          <cell r="B4617">
            <v>37003500</v>
          </cell>
          <cell r="C4617">
            <v>20008661</v>
          </cell>
          <cell r="D4617">
            <v>43682</v>
          </cell>
        </row>
        <row r="4618">
          <cell r="A4618" t="str">
            <v>Antonio Marcos Godoi</v>
          </cell>
          <cell r="B4618">
            <v>37000565</v>
          </cell>
          <cell r="C4618">
            <v>20008663</v>
          </cell>
          <cell r="D4618">
            <v>39363</v>
          </cell>
        </row>
        <row r="4619">
          <cell r="A4619" t="str">
            <v>Aparecida Geralda Santos</v>
          </cell>
          <cell r="B4619">
            <v>37003262</v>
          </cell>
          <cell r="C4619">
            <v>20008670</v>
          </cell>
          <cell r="D4619">
            <v>43626</v>
          </cell>
        </row>
        <row r="4620">
          <cell r="A4620" t="str">
            <v>Aparecido Fernandes De Oliveira</v>
          </cell>
          <cell r="B4620">
            <v>37000609</v>
          </cell>
          <cell r="C4620">
            <v>20008675</v>
          </cell>
          <cell r="D4620">
            <v>39484</v>
          </cell>
        </row>
        <row r="4621">
          <cell r="A4621" t="str">
            <v>Aparecido Rodrigues De Souza</v>
          </cell>
          <cell r="B4621">
            <v>37000092</v>
          </cell>
          <cell r="C4621">
            <v>20008678</v>
          </cell>
          <cell r="D4621">
            <v>33795</v>
          </cell>
        </row>
        <row r="4622">
          <cell r="A4622" t="str">
            <v>Ataliba Leonel Da Silva Filho</v>
          </cell>
          <cell r="B4622">
            <v>37000581</v>
          </cell>
          <cell r="C4622">
            <v>20008690</v>
          </cell>
          <cell r="D4622">
            <v>39454</v>
          </cell>
        </row>
        <row r="4623">
          <cell r="A4623" t="str">
            <v>Augusto Ubaldo Ramos Santos</v>
          </cell>
          <cell r="B4623">
            <v>37002969</v>
          </cell>
          <cell r="C4623">
            <v>20008691</v>
          </cell>
          <cell r="D4623">
            <v>43522</v>
          </cell>
        </row>
        <row r="4624">
          <cell r="A4624" t="str">
            <v>Benedita De Almeida Machado</v>
          </cell>
          <cell r="B4624">
            <v>37004602</v>
          </cell>
          <cell r="C4624">
            <v>20008698</v>
          </cell>
          <cell r="D4624">
            <v>44018</v>
          </cell>
        </row>
        <row r="4625">
          <cell r="A4625" t="str">
            <v>Benjamim Da Silva</v>
          </cell>
          <cell r="B4625">
            <v>37000600</v>
          </cell>
          <cell r="C4625">
            <v>20008701</v>
          </cell>
          <cell r="D4625">
            <v>39468</v>
          </cell>
        </row>
        <row r="4626">
          <cell r="A4626" t="str">
            <v>Bruno Assuncao Noronha</v>
          </cell>
          <cell r="B4626">
            <v>37002967</v>
          </cell>
          <cell r="C4626">
            <v>20008714</v>
          </cell>
          <cell r="D4626">
            <v>43521</v>
          </cell>
        </row>
        <row r="4627">
          <cell r="A4627" t="str">
            <v>Bruno Auler Munerato</v>
          </cell>
          <cell r="B4627">
            <v>37002420</v>
          </cell>
          <cell r="C4627">
            <v>20008715</v>
          </cell>
          <cell r="D4627">
            <v>43332</v>
          </cell>
        </row>
        <row r="4628">
          <cell r="A4628" t="str">
            <v>Celia Maria Cagnao</v>
          </cell>
          <cell r="B4628">
            <v>37003609</v>
          </cell>
          <cell r="C4628">
            <v>20008777</v>
          </cell>
          <cell r="D4628">
            <v>43710</v>
          </cell>
        </row>
        <row r="4629">
          <cell r="A4629" t="str">
            <v>Cesar Augusto Cardoso</v>
          </cell>
          <cell r="B4629">
            <v>37002843</v>
          </cell>
          <cell r="C4629">
            <v>20008785</v>
          </cell>
          <cell r="D4629">
            <v>43479</v>
          </cell>
        </row>
        <row r="4630">
          <cell r="A4630" t="str">
            <v>Charles Henrique Falasca</v>
          </cell>
          <cell r="B4630">
            <v>37003966</v>
          </cell>
          <cell r="C4630">
            <v>20008791</v>
          </cell>
          <cell r="D4630">
            <v>43787</v>
          </cell>
        </row>
        <row r="4631">
          <cell r="A4631" t="str">
            <v>Clarisvaldo Nunes</v>
          </cell>
          <cell r="B4631">
            <v>37000836</v>
          </cell>
          <cell r="C4631">
            <v>20008797</v>
          </cell>
          <cell r="D4631">
            <v>40588</v>
          </cell>
        </row>
        <row r="4632">
          <cell r="A4632" t="str">
            <v>Claudemir Angelo Medeiros</v>
          </cell>
          <cell r="B4632">
            <v>37000258</v>
          </cell>
          <cell r="C4632">
            <v>20008798</v>
          </cell>
          <cell r="D4632">
            <v>35783</v>
          </cell>
        </row>
        <row r="4633">
          <cell r="A4633" t="str">
            <v>Claudemir Carvalho Da Silva</v>
          </cell>
          <cell r="B4633">
            <v>37003064</v>
          </cell>
          <cell r="C4633">
            <v>20008801</v>
          </cell>
          <cell r="D4633">
            <v>43549</v>
          </cell>
        </row>
        <row r="4634">
          <cell r="A4634" t="str">
            <v>Claudemir Dias</v>
          </cell>
          <cell r="B4634">
            <v>37004571</v>
          </cell>
          <cell r="C4634">
            <v>20008802</v>
          </cell>
          <cell r="D4634">
            <v>43997</v>
          </cell>
        </row>
        <row r="4635">
          <cell r="A4635" t="str">
            <v>Claudemir Martins Dos Santos</v>
          </cell>
          <cell r="B4635">
            <v>37004418</v>
          </cell>
          <cell r="C4635">
            <v>20008804</v>
          </cell>
          <cell r="D4635">
            <v>43892</v>
          </cell>
        </row>
        <row r="4636">
          <cell r="A4636" t="str">
            <v>Claudinei Pereira Quinto</v>
          </cell>
          <cell r="B4636" t="e">
            <v>#N/A</v>
          </cell>
          <cell r="C4636">
            <v>20008809</v>
          </cell>
          <cell r="D4636" t="e">
            <v>#N/A</v>
          </cell>
        </row>
        <row r="4637">
          <cell r="A4637" t="str">
            <v>Clodoaldo Luciano Teixeira</v>
          </cell>
          <cell r="B4637">
            <v>37002612</v>
          </cell>
          <cell r="C4637">
            <v>20008833</v>
          </cell>
          <cell r="D4637">
            <v>43409</v>
          </cell>
        </row>
        <row r="4638">
          <cell r="A4638" t="str">
            <v>Clodoaldo Rocha Correa</v>
          </cell>
          <cell r="B4638">
            <v>37000418</v>
          </cell>
          <cell r="C4638">
            <v>20008834</v>
          </cell>
          <cell r="D4638">
            <v>38369</v>
          </cell>
        </row>
        <row r="4639">
          <cell r="A4639" t="str">
            <v>Custodio Xavier</v>
          </cell>
          <cell r="B4639">
            <v>37000868</v>
          </cell>
          <cell r="C4639">
            <v>20008845</v>
          </cell>
          <cell r="D4639">
            <v>40700</v>
          </cell>
        </row>
        <row r="4640">
          <cell r="A4640" t="str">
            <v>Damien Oliveira Manzano</v>
          </cell>
          <cell r="B4640">
            <v>37001040</v>
          </cell>
          <cell r="C4640">
            <v>20008850</v>
          </cell>
          <cell r="D4640">
            <v>41169</v>
          </cell>
        </row>
        <row r="4641">
          <cell r="A4641" t="str">
            <v>Daniel Marcos Parizoto</v>
          </cell>
          <cell r="B4641">
            <v>37000706</v>
          </cell>
          <cell r="C4641">
            <v>20008859</v>
          </cell>
          <cell r="D4641">
            <v>39818</v>
          </cell>
        </row>
        <row r="4642">
          <cell r="A4642" t="str">
            <v>Danilo Dantas De Oliveira</v>
          </cell>
          <cell r="B4642">
            <v>37003561</v>
          </cell>
          <cell r="C4642">
            <v>20008873</v>
          </cell>
          <cell r="D4642">
            <v>43696</v>
          </cell>
        </row>
        <row r="4643">
          <cell r="A4643" t="str">
            <v>Danilo Roberto Bavaroski</v>
          </cell>
          <cell r="B4643">
            <v>37002936</v>
          </cell>
          <cell r="C4643">
            <v>20008879</v>
          </cell>
          <cell r="D4643">
            <v>43507</v>
          </cell>
        </row>
        <row r="4644">
          <cell r="A4644" t="str">
            <v>Dener Augusto De Araujo Santos</v>
          </cell>
          <cell r="B4644">
            <v>37002860</v>
          </cell>
          <cell r="C4644">
            <v>20008888</v>
          </cell>
          <cell r="D4644">
            <v>43486</v>
          </cell>
        </row>
        <row r="4645">
          <cell r="A4645" t="str">
            <v>Denilson Jose Fernandes</v>
          </cell>
          <cell r="B4645">
            <v>37003472</v>
          </cell>
          <cell r="C4645">
            <v>20008892</v>
          </cell>
          <cell r="D4645">
            <v>43668</v>
          </cell>
        </row>
        <row r="4646">
          <cell r="A4646" t="str">
            <v>Dezenira Raquel Ventura</v>
          </cell>
          <cell r="B4646">
            <v>37000288</v>
          </cell>
          <cell r="C4646">
            <v>20008899</v>
          </cell>
          <cell r="D4646">
            <v>36411</v>
          </cell>
        </row>
        <row r="4647">
          <cell r="A4647" t="str">
            <v>Diego Ribeiro Da Silva</v>
          </cell>
          <cell r="B4647">
            <v>37001192</v>
          </cell>
          <cell r="C4647">
            <v>20008910</v>
          </cell>
          <cell r="D4647">
            <v>41414</v>
          </cell>
        </row>
        <row r="4648">
          <cell r="A4648" t="str">
            <v>Dirlei Paz Leme</v>
          </cell>
          <cell r="B4648">
            <v>37004485</v>
          </cell>
          <cell r="C4648">
            <v>20008916</v>
          </cell>
          <cell r="D4648">
            <v>43906</v>
          </cell>
        </row>
        <row r="4649">
          <cell r="A4649" t="str">
            <v>Dulcineia Pereira Santiago Moreira</v>
          </cell>
          <cell r="B4649">
            <v>37004604</v>
          </cell>
          <cell r="C4649">
            <v>20008930</v>
          </cell>
          <cell r="D4649">
            <v>44018</v>
          </cell>
        </row>
        <row r="4650">
          <cell r="A4650" t="str">
            <v>Eder Aparecido Nunes</v>
          </cell>
          <cell r="B4650">
            <v>37000707</v>
          </cell>
          <cell r="C4650">
            <v>20008932</v>
          </cell>
          <cell r="D4650">
            <v>39818</v>
          </cell>
        </row>
        <row r="4651">
          <cell r="A4651" t="str">
            <v>Edilson De Jesus Mendes</v>
          </cell>
          <cell r="B4651">
            <v>37003023</v>
          </cell>
          <cell r="C4651">
            <v>20008941</v>
          </cell>
          <cell r="D4651">
            <v>43542</v>
          </cell>
        </row>
        <row r="4652">
          <cell r="A4652" t="str">
            <v>Edinaldo Aparecido Moreira</v>
          </cell>
          <cell r="B4652">
            <v>37000708</v>
          </cell>
          <cell r="C4652">
            <v>20008945</v>
          </cell>
          <cell r="D4652">
            <v>39818</v>
          </cell>
        </row>
        <row r="4653">
          <cell r="A4653" t="str">
            <v>Edivaldo De Goes Nozela</v>
          </cell>
          <cell r="B4653">
            <v>37002764</v>
          </cell>
          <cell r="C4653">
            <v>20008946</v>
          </cell>
          <cell r="D4653">
            <v>43472</v>
          </cell>
        </row>
        <row r="4654">
          <cell r="A4654" t="str">
            <v>Edivaldo Tadeu Tavela</v>
          </cell>
          <cell r="B4654">
            <v>37002765</v>
          </cell>
          <cell r="C4654">
            <v>20008949</v>
          </cell>
          <cell r="D4654">
            <v>43472</v>
          </cell>
        </row>
        <row r="4655">
          <cell r="A4655" t="str">
            <v>Edson Luis Serpe</v>
          </cell>
          <cell r="B4655">
            <v>37001629</v>
          </cell>
          <cell r="C4655">
            <v>20008959</v>
          </cell>
          <cell r="D4655">
            <v>42443</v>
          </cell>
        </row>
        <row r="4656">
          <cell r="A4656" t="str">
            <v>Eduardo Aparecido Dos Santos Claviso</v>
          </cell>
          <cell r="B4656">
            <v>37003116</v>
          </cell>
          <cell r="C4656">
            <v>20008963</v>
          </cell>
          <cell r="D4656">
            <v>43577</v>
          </cell>
        </row>
        <row r="4657">
          <cell r="A4657" t="str">
            <v>Elen Soane Gois</v>
          </cell>
          <cell r="B4657">
            <v>37001168</v>
          </cell>
          <cell r="C4657">
            <v>20008976</v>
          </cell>
          <cell r="D4657">
            <v>41365</v>
          </cell>
        </row>
        <row r="4658">
          <cell r="A4658" t="str">
            <v>Eliana Gregorio Da Costa</v>
          </cell>
          <cell r="B4658">
            <v>37004549</v>
          </cell>
          <cell r="C4658">
            <v>20008979</v>
          </cell>
          <cell r="D4658">
            <v>43962</v>
          </cell>
        </row>
        <row r="4659">
          <cell r="A4659" t="str">
            <v>Eliane Cristina Zuntini De Oliveira</v>
          </cell>
          <cell r="B4659">
            <v>37000848</v>
          </cell>
          <cell r="C4659">
            <v>20008980</v>
          </cell>
          <cell r="D4659">
            <v>40644</v>
          </cell>
        </row>
        <row r="4660">
          <cell r="A4660" t="str">
            <v>Elisa Pereira De Oliveira</v>
          </cell>
          <cell r="B4660">
            <v>37004454</v>
          </cell>
          <cell r="C4660">
            <v>20008989</v>
          </cell>
          <cell r="D4660">
            <v>43899</v>
          </cell>
        </row>
        <row r="4661">
          <cell r="A4661" t="str">
            <v>Elpidio Jose Pinheiro</v>
          </cell>
          <cell r="B4661">
            <v>37001392</v>
          </cell>
          <cell r="C4661">
            <v>20008996</v>
          </cell>
          <cell r="D4661">
            <v>41792</v>
          </cell>
        </row>
        <row r="4662">
          <cell r="A4662" t="str">
            <v>Emerson Aparecido Estevam</v>
          </cell>
          <cell r="B4662">
            <v>37003614</v>
          </cell>
          <cell r="C4662">
            <v>20009002</v>
          </cell>
          <cell r="D4662">
            <v>43710</v>
          </cell>
        </row>
        <row r="4663">
          <cell r="A4663" t="str">
            <v>Estela Saranholi</v>
          </cell>
          <cell r="B4663">
            <v>37002937</v>
          </cell>
          <cell r="C4663">
            <v>20009019</v>
          </cell>
          <cell r="D4663">
            <v>43507</v>
          </cell>
        </row>
        <row r="4664">
          <cell r="A4664" t="str">
            <v>Eunice Raquel Fernandes Sousa</v>
          </cell>
          <cell r="B4664">
            <v>37002846</v>
          </cell>
          <cell r="C4664">
            <v>20009020</v>
          </cell>
          <cell r="D4664">
            <v>43479</v>
          </cell>
        </row>
        <row r="4665">
          <cell r="A4665" t="str">
            <v>Eva Rodrigues Carvalho</v>
          </cell>
          <cell r="B4665">
            <v>37003223</v>
          </cell>
          <cell r="C4665">
            <v>20009021</v>
          </cell>
          <cell r="D4665">
            <v>43619</v>
          </cell>
        </row>
        <row r="4666">
          <cell r="A4666" t="str">
            <v>Everton Luiz Sanches De Carvalho</v>
          </cell>
          <cell r="B4666">
            <v>37003944</v>
          </cell>
          <cell r="C4666">
            <v>20009032</v>
          </cell>
          <cell r="D4666">
            <v>43780</v>
          </cell>
        </row>
        <row r="4667">
          <cell r="A4667" t="str">
            <v>Ezequiel Fernandes De Carvalho Neto</v>
          </cell>
          <cell r="B4667">
            <v>37003025</v>
          </cell>
          <cell r="C4667">
            <v>20009036</v>
          </cell>
          <cell r="D4667">
            <v>43542</v>
          </cell>
        </row>
        <row r="4668">
          <cell r="A4668" t="str">
            <v>Fabiano Prado De Melo</v>
          </cell>
          <cell r="B4668">
            <v>37003197</v>
          </cell>
          <cell r="C4668">
            <v>20009045</v>
          </cell>
          <cell r="D4668">
            <v>43605</v>
          </cell>
        </row>
        <row r="4669">
          <cell r="A4669" t="str">
            <v>Fabio Gomes Soresini</v>
          </cell>
          <cell r="B4669">
            <v>37004507</v>
          </cell>
          <cell r="C4669">
            <v>20009052</v>
          </cell>
          <cell r="D4669">
            <v>43927</v>
          </cell>
        </row>
        <row r="4670">
          <cell r="A4670" t="str">
            <v>Fabio Vinicius Losnak</v>
          </cell>
          <cell r="B4670">
            <v>37003615</v>
          </cell>
          <cell r="C4670">
            <v>20009061</v>
          </cell>
          <cell r="D4670">
            <v>43710</v>
          </cell>
        </row>
        <row r="4671">
          <cell r="A4671" t="str">
            <v>Fabricio Cesar Romao</v>
          </cell>
          <cell r="B4671">
            <v>37000601</v>
          </cell>
          <cell r="C4671">
            <v>20009062</v>
          </cell>
          <cell r="D4671">
            <v>39468</v>
          </cell>
        </row>
        <row r="4672">
          <cell r="A4672" t="str">
            <v>Fatima Da Silva Santos</v>
          </cell>
          <cell r="B4672">
            <v>37002266</v>
          </cell>
          <cell r="C4672">
            <v>20009070</v>
          </cell>
          <cell r="D4672">
            <v>43178</v>
          </cell>
        </row>
        <row r="4673">
          <cell r="A4673" t="str">
            <v>Fernanda Siqueira Baptista</v>
          </cell>
          <cell r="B4673">
            <v>37002572</v>
          </cell>
          <cell r="C4673">
            <v>20009083</v>
          </cell>
          <cell r="D4673">
            <v>43388</v>
          </cell>
        </row>
        <row r="4674">
          <cell r="A4674" t="str">
            <v>Fernando Aparecido Furini</v>
          </cell>
          <cell r="B4674">
            <v>37003971</v>
          </cell>
          <cell r="C4674">
            <v>20009086</v>
          </cell>
          <cell r="D4674">
            <v>43787</v>
          </cell>
        </row>
        <row r="4675">
          <cell r="A4675" t="str">
            <v>Fernando Lopes Henriques</v>
          </cell>
          <cell r="B4675">
            <v>37000728</v>
          </cell>
          <cell r="C4675">
            <v>20009095</v>
          </cell>
          <cell r="D4675">
            <v>39979</v>
          </cell>
        </row>
        <row r="4676">
          <cell r="A4676" t="str">
            <v>Fernando Ricardo Montanheiro</v>
          </cell>
          <cell r="B4676">
            <v>37000270</v>
          </cell>
          <cell r="C4676">
            <v>20009102</v>
          </cell>
          <cell r="D4676">
            <v>36053</v>
          </cell>
        </row>
        <row r="4677">
          <cell r="A4677" t="str">
            <v>Flavio Campanholi</v>
          </cell>
          <cell r="B4677">
            <v>37003266</v>
          </cell>
          <cell r="C4677">
            <v>20009111</v>
          </cell>
          <cell r="D4677">
            <v>43626</v>
          </cell>
        </row>
        <row r="4678">
          <cell r="A4678" t="str">
            <v>Gabriel Dehon Sampaio Pecanha Rezende</v>
          </cell>
          <cell r="B4678">
            <v>37003181</v>
          </cell>
          <cell r="C4678">
            <v>20009132</v>
          </cell>
          <cell r="D4678">
            <v>43598</v>
          </cell>
        </row>
        <row r="4679">
          <cell r="A4679" t="str">
            <v>Gasparina Feliciano Da Silva</v>
          </cell>
          <cell r="B4679">
            <v>37003087</v>
          </cell>
          <cell r="C4679">
            <v>20009154</v>
          </cell>
          <cell r="D4679">
            <v>43570</v>
          </cell>
        </row>
        <row r="4680">
          <cell r="A4680" t="str">
            <v>Gerson Bernardo Da Silva</v>
          </cell>
          <cell r="B4680">
            <v>37004575</v>
          </cell>
          <cell r="C4680">
            <v>20009164</v>
          </cell>
          <cell r="D4680">
            <v>43997</v>
          </cell>
        </row>
        <row r="4681">
          <cell r="A4681" t="str">
            <v>Giseli Cristina De Souza</v>
          </cell>
          <cell r="B4681">
            <v>37004460</v>
          </cell>
          <cell r="C4681">
            <v>20009188</v>
          </cell>
          <cell r="D4681">
            <v>43899</v>
          </cell>
        </row>
        <row r="4682">
          <cell r="A4682" t="str">
            <v>Henrique Rodrigues Valente</v>
          </cell>
          <cell r="B4682">
            <v>37001386</v>
          </cell>
          <cell r="C4682">
            <v>20009244</v>
          </cell>
          <cell r="D4682">
            <v>41771</v>
          </cell>
        </row>
        <row r="4683">
          <cell r="A4683" t="str">
            <v>Isabella Dos Santos Bonfim Tomas</v>
          </cell>
          <cell r="B4683">
            <v>37004281</v>
          </cell>
          <cell r="C4683">
            <v>20009269</v>
          </cell>
          <cell r="D4683">
            <v>43864</v>
          </cell>
        </row>
        <row r="4684">
          <cell r="A4684" t="str">
            <v>Isabella Ohana Florentino</v>
          </cell>
          <cell r="B4684">
            <v>37004558</v>
          </cell>
          <cell r="C4684">
            <v>20009270</v>
          </cell>
          <cell r="D4684">
            <v>43969</v>
          </cell>
        </row>
        <row r="4685">
          <cell r="A4685" t="str">
            <v>Israel Benedito Dos Santos</v>
          </cell>
          <cell r="B4685">
            <v>37000926</v>
          </cell>
          <cell r="C4685">
            <v>20009274</v>
          </cell>
          <cell r="D4685">
            <v>40777</v>
          </cell>
        </row>
        <row r="4686">
          <cell r="A4686" t="str">
            <v>Ivan Rodrigues Da Rocha</v>
          </cell>
          <cell r="B4686">
            <v>37003882</v>
          </cell>
          <cell r="C4686">
            <v>20009282</v>
          </cell>
          <cell r="D4686">
            <v>43759</v>
          </cell>
        </row>
        <row r="4687">
          <cell r="A4687" t="str">
            <v>Ivonei Luiz Rosseti</v>
          </cell>
          <cell r="B4687">
            <v>37004607</v>
          </cell>
          <cell r="C4687">
            <v>20009285</v>
          </cell>
          <cell r="D4687">
            <v>44018</v>
          </cell>
        </row>
        <row r="4688">
          <cell r="A4688" t="str">
            <v>Jefferson Nunes De Godoi</v>
          </cell>
          <cell r="B4688">
            <v>37000582</v>
          </cell>
          <cell r="C4688">
            <v>20009309</v>
          </cell>
          <cell r="D4688">
            <v>39454</v>
          </cell>
        </row>
        <row r="4689">
          <cell r="A4689" t="str">
            <v>Jenifer Goncalves Da Silva Vieira</v>
          </cell>
          <cell r="B4689">
            <v>37003120</v>
          </cell>
          <cell r="C4689">
            <v>20009312</v>
          </cell>
          <cell r="D4689">
            <v>43577</v>
          </cell>
        </row>
        <row r="4690">
          <cell r="A4690" t="str">
            <v>Joao Paulo Comidal</v>
          </cell>
          <cell r="B4690">
            <v>37000602</v>
          </cell>
          <cell r="C4690">
            <v>20009340</v>
          </cell>
          <cell r="D4690">
            <v>39468</v>
          </cell>
        </row>
        <row r="4691">
          <cell r="A4691" t="str">
            <v>Jose Alberto Mendes Lima</v>
          </cell>
          <cell r="B4691">
            <v>37000569</v>
          </cell>
          <cell r="C4691">
            <v>20009370</v>
          </cell>
          <cell r="D4691">
            <v>39370</v>
          </cell>
        </row>
        <row r="4692">
          <cell r="A4692" t="str">
            <v>Jose Borba Da Silva</v>
          </cell>
          <cell r="B4692">
            <v>37003199</v>
          </cell>
          <cell r="C4692">
            <v>20009380</v>
          </cell>
          <cell r="D4692">
            <v>43605</v>
          </cell>
        </row>
        <row r="4693">
          <cell r="A4693" t="str">
            <v>Jose Carlos Simao</v>
          </cell>
          <cell r="B4693">
            <v>37003123</v>
          </cell>
          <cell r="C4693">
            <v>20009385</v>
          </cell>
          <cell r="D4693">
            <v>43577</v>
          </cell>
        </row>
        <row r="4694">
          <cell r="A4694" t="str">
            <v>Jose Dos Santos Silva</v>
          </cell>
          <cell r="B4694">
            <v>37001860</v>
          </cell>
          <cell r="C4694">
            <v>20009387</v>
          </cell>
          <cell r="D4694">
            <v>42758</v>
          </cell>
        </row>
        <row r="4695">
          <cell r="A4695" t="str">
            <v>Jose Higor Bernardo</v>
          </cell>
          <cell r="B4695">
            <v>37002325</v>
          </cell>
          <cell r="C4695">
            <v>20009394</v>
          </cell>
          <cell r="D4695">
            <v>43241</v>
          </cell>
        </row>
        <row r="4696">
          <cell r="A4696" t="str">
            <v>Jose Luiz De Melos</v>
          </cell>
          <cell r="B4696">
            <v>37003149</v>
          </cell>
          <cell r="C4696">
            <v>20009402</v>
          </cell>
          <cell r="D4696">
            <v>43588</v>
          </cell>
        </row>
        <row r="4697">
          <cell r="A4697" t="str">
            <v>Joselia Felicio</v>
          </cell>
          <cell r="B4697">
            <v>37002295</v>
          </cell>
          <cell r="C4697">
            <v>20009417</v>
          </cell>
          <cell r="D4697">
            <v>43213</v>
          </cell>
        </row>
        <row r="4698">
          <cell r="A4698" t="str">
            <v>Juliano Malagi Basso</v>
          </cell>
          <cell r="B4698">
            <v>37000522</v>
          </cell>
          <cell r="C4698">
            <v>20009431</v>
          </cell>
          <cell r="D4698">
            <v>39174</v>
          </cell>
        </row>
        <row r="4699">
          <cell r="A4699" t="str">
            <v>Leandro Aparecido Da Silva</v>
          </cell>
          <cell r="B4699">
            <v>37004579</v>
          </cell>
          <cell r="C4699">
            <v>20009470</v>
          </cell>
          <cell r="D4699">
            <v>43997</v>
          </cell>
        </row>
        <row r="4700">
          <cell r="A4700" t="str">
            <v>Luciano Do Carmo Pinto</v>
          </cell>
          <cell r="B4700">
            <v>37003125</v>
          </cell>
          <cell r="C4700">
            <v>20009529</v>
          </cell>
          <cell r="D4700">
            <v>43577</v>
          </cell>
        </row>
        <row r="4701">
          <cell r="A4701" t="str">
            <v>Luciano Fernandes De Oliveira</v>
          </cell>
          <cell r="B4701" t="e">
            <v>#N/A</v>
          </cell>
          <cell r="C4701">
            <v>20009530</v>
          </cell>
          <cell r="D4701" t="e">
            <v>#N/A</v>
          </cell>
        </row>
        <row r="4702">
          <cell r="A4702" t="str">
            <v>Lucio Flavio De Souza</v>
          </cell>
          <cell r="B4702">
            <v>37002851</v>
          </cell>
          <cell r="C4702">
            <v>20009532</v>
          </cell>
          <cell r="D4702">
            <v>43479</v>
          </cell>
        </row>
        <row r="4703">
          <cell r="A4703" t="str">
            <v>Luis Fernando Mendes Branco</v>
          </cell>
          <cell r="B4703">
            <v>37000681</v>
          </cell>
          <cell r="C4703">
            <v>20009541</v>
          </cell>
          <cell r="D4703">
            <v>39713</v>
          </cell>
        </row>
        <row r="4704">
          <cell r="A4704" t="str">
            <v>Luis Fernando Rossi</v>
          </cell>
          <cell r="B4704">
            <v>37003095</v>
          </cell>
          <cell r="C4704">
            <v>20009542</v>
          </cell>
          <cell r="D4704">
            <v>43570</v>
          </cell>
        </row>
        <row r="4705">
          <cell r="A4705" t="str">
            <v>Luiz Carlos Mendes</v>
          </cell>
          <cell r="B4705">
            <v>37000047</v>
          </cell>
          <cell r="C4705">
            <v>20009558</v>
          </cell>
          <cell r="D4705">
            <v>32365</v>
          </cell>
        </row>
        <row r="4706">
          <cell r="A4706" t="str">
            <v>Magaiver Moreira</v>
          </cell>
          <cell r="B4706">
            <v>37002172</v>
          </cell>
          <cell r="C4706">
            <v>20009576</v>
          </cell>
          <cell r="D4706">
            <v>43122</v>
          </cell>
        </row>
        <row r="4707">
          <cell r="A4707" t="str">
            <v>Manoel Rodrigues Dos Santos Garcia</v>
          </cell>
          <cell r="B4707">
            <v>37003995</v>
          </cell>
          <cell r="C4707">
            <v>20009584</v>
          </cell>
          <cell r="D4707">
            <v>43801</v>
          </cell>
        </row>
        <row r="4708">
          <cell r="A4708" t="str">
            <v>Marcela Trecenti Capoani</v>
          </cell>
          <cell r="B4708">
            <v>37000311</v>
          </cell>
          <cell r="C4708">
            <v>20009587</v>
          </cell>
          <cell r="D4708">
            <v>36938</v>
          </cell>
        </row>
        <row r="4709">
          <cell r="A4709" t="str">
            <v>Marcelo Lopes</v>
          </cell>
          <cell r="B4709">
            <v>37003527</v>
          </cell>
          <cell r="C4709">
            <v>20009596</v>
          </cell>
          <cell r="D4709">
            <v>43689</v>
          </cell>
        </row>
        <row r="4710">
          <cell r="A4710" t="str">
            <v>Marcelo Moreira De Castilho</v>
          </cell>
          <cell r="B4710">
            <v>37003232</v>
          </cell>
          <cell r="C4710">
            <v>20009599</v>
          </cell>
          <cell r="D4710">
            <v>43619</v>
          </cell>
        </row>
        <row r="4711">
          <cell r="A4711" t="str">
            <v>Marcio Luis De Barros Borges</v>
          </cell>
          <cell r="B4711">
            <v>37003126</v>
          </cell>
          <cell r="C4711">
            <v>20009613</v>
          </cell>
          <cell r="D4711">
            <v>43577</v>
          </cell>
        </row>
        <row r="4712">
          <cell r="A4712" t="str">
            <v>Marcio Roberto Bonifacio De Oliveira</v>
          </cell>
          <cell r="B4712">
            <v>37000635</v>
          </cell>
          <cell r="C4712">
            <v>20009615</v>
          </cell>
          <cell r="D4712">
            <v>39510</v>
          </cell>
        </row>
        <row r="4713">
          <cell r="A4713" t="str">
            <v>Maria Claudia De Oliveira</v>
          </cell>
          <cell r="B4713">
            <v>37000751</v>
          </cell>
          <cell r="C4713">
            <v>20009647</v>
          </cell>
          <cell r="D4713">
            <v>40217</v>
          </cell>
        </row>
        <row r="4714">
          <cell r="A4714" t="str">
            <v>Maria Erinalva Ferreira Aureliano De Oliveira</v>
          </cell>
          <cell r="B4714">
            <v>37000807</v>
          </cell>
          <cell r="C4714">
            <v>20009648</v>
          </cell>
          <cell r="D4714">
            <v>40469</v>
          </cell>
        </row>
        <row r="4715">
          <cell r="A4715" t="str">
            <v>Maria Florencia Alves De Oliveira</v>
          </cell>
          <cell r="B4715">
            <v>37000816</v>
          </cell>
          <cell r="C4715">
            <v>20009649</v>
          </cell>
          <cell r="D4715">
            <v>40498</v>
          </cell>
        </row>
        <row r="4716">
          <cell r="A4716" t="str">
            <v>Maria Solange Da Silva Beraldo</v>
          </cell>
          <cell r="B4716">
            <v>37002258</v>
          </cell>
          <cell r="C4716">
            <v>20009651</v>
          </cell>
          <cell r="D4716">
            <v>43171</v>
          </cell>
        </row>
        <row r="4717">
          <cell r="A4717" t="str">
            <v>Marisol Aline Garcia</v>
          </cell>
          <cell r="B4717">
            <v>37002259</v>
          </cell>
          <cell r="C4717">
            <v>20009660</v>
          </cell>
          <cell r="D4717">
            <v>43171</v>
          </cell>
        </row>
        <row r="4718">
          <cell r="A4718" t="str">
            <v>Mauro Quirino</v>
          </cell>
          <cell r="B4718">
            <v>37001119</v>
          </cell>
          <cell r="C4718">
            <v>20009686</v>
          </cell>
          <cell r="D4718">
            <v>41276</v>
          </cell>
        </row>
        <row r="4719">
          <cell r="A4719" t="str">
            <v>Odair Soares De Freitas</v>
          </cell>
          <cell r="B4719">
            <v>37003097</v>
          </cell>
          <cell r="C4719">
            <v>20009731</v>
          </cell>
          <cell r="D4719">
            <v>43570</v>
          </cell>
        </row>
        <row r="4720">
          <cell r="A4720" t="str">
            <v>Paulo Henrique Micadei</v>
          </cell>
          <cell r="B4720">
            <v>37002940</v>
          </cell>
          <cell r="C4720">
            <v>20009756</v>
          </cell>
          <cell r="D4720">
            <v>43507</v>
          </cell>
        </row>
        <row r="4721">
          <cell r="A4721" t="str">
            <v>Paulo Martins Capobiango Junior</v>
          </cell>
          <cell r="B4721">
            <v>37003001</v>
          </cell>
          <cell r="C4721">
            <v>20009759</v>
          </cell>
          <cell r="D4721">
            <v>43535</v>
          </cell>
        </row>
        <row r="4722">
          <cell r="A4722" t="str">
            <v>Paulo Roberto Angelico</v>
          </cell>
          <cell r="B4722">
            <v>37000584</v>
          </cell>
          <cell r="C4722">
            <v>20009767</v>
          </cell>
          <cell r="D4722">
            <v>39461</v>
          </cell>
        </row>
        <row r="4723">
          <cell r="A4723" t="str">
            <v>Pedro Augusto Ferreira</v>
          </cell>
          <cell r="B4723">
            <v>37000026</v>
          </cell>
          <cell r="C4723">
            <v>20009777</v>
          </cell>
          <cell r="D4723">
            <v>31868</v>
          </cell>
        </row>
        <row r="4724">
          <cell r="A4724" t="str">
            <v>Rafael Rodrigues Mursa</v>
          </cell>
          <cell r="B4724">
            <v>37003066</v>
          </cell>
          <cell r="C4724">
            <v>20009806</v>
          </cell>
          <cell r="D4724">
            <v>43549</v>
          </cell>
        </row>
        <row r="4725">
          <cell r="A4725" t="str">
            <v>Rafael Tonetto Alves</v>
          </cell>
          <cell r="B4725">
            <v>37002956</v>
          </cell>
          <cell r="C4725">
            <v>20009808</v>
          </cell>
          <cell r="D4725">
            <v>43514</v>
          </cell>
        </row>
        <row r="4726">
          <cell r="A4726" t="str">
            <v>Reginaldo Vicente</v>
          </cell>
          <cell r="B4726">
            <v>37003974</v>
          </cell>
          <cell r="C4726">
            <v>20009819</v>
          </cell>
          <cell r="D4726">
            <v>43787</v>
          </cell>
        </row>
        <row r="4727">
          <cell r="A4727" t="str">
            <v>Reinaldo De Franca Correia</v>
          </cell>
          <cell r="B4727">
            <v>37003167</v>
          </cell>
          <cell r="C4727">
            <v>20009822</v>
          </cell>
          <cell r="D4727">
            <v>43591</v>
          </cell>
        </row>
        <row r="4728">
          <cell r="A4728" t="str">
            <v>Ricardo Souto De Souza</v>
          </cell>
          <cell r="B4728">
            <v>37003623</v>
          </cell>
          <cell r="C4728">
            <v>20009841</v>
          </cell>
          <cell r="D4728">
            <v>43710</v>
          </cell>
        </row>
        <row r="4729">
          <cell r="A4729" t="str">
            <v>Richard Anderson Vicente Dos Santos</v>
          </cell>
          <cell r="B4729">
            <v>37000649</v>
          </cell>
          <cell r="C4729">
            <v>20009842</v>
          </cell>
          <cell r="D4729">
            <v>39587</v>
          </cell>
        </row>
        <row r="4730">
          <cell r="A4730" t="str">
            <v>Rinaldo Cavalheiro</v>
          </cell>
          <cell r="B4730">
            <v>37002260</v>
          </cell>
          <cell r="C4730">
            <v>20009846</v>
          </cell>
          <cell r="D4730">
            <v>43171</v>
          </cell>
        </row>
        <row r="4731">
          <cell r="A4731" t="str">
            <v>Roberta Alves De Oliveira</v>
          </cell>
          <cell r="B4731">
            <v>37003239</v>
          </cell>
          <cell r="C4731">
            <v>20009848</v>
          </cell>
          <cell r="D4731">
            <v>43619</v>
          </cell>
        </row>
        <row r="4732">
          <cell r="A4732" t="str">
            <v>Robson Fernando De Andrade Lima</v>
          </cell>
          <cell r="B4732">
            <v>37001245</v>
          </cell>
          <cell r="C4732">
            <v>20009857</v>
          </cell>
          <cell r="D4732">
            <v>41561</v>
          </cell>
        </row>
        <row r="4733">
          <cell r="A4733" t="str">
            <v>Rodrigo Ferreira Da Cruz</v>
          </cell>
          <cell r="B4733">
            <v>37003168</v>
          </cell>
          <cell r="C4733">
            <v>20009868</v>
          </cell>
          <cell r="D4733">
            <v>43591</v>
          </cell>
        </row>
        <row r="4734">
          <cell r="A4734" t="str">
            <v>Rodrigo Rafael Vieira</v>
          </cell>
          <cell r="B4734">
            <v>37003890</v>
          </cell>
          <cell r="C4734">
            <v>20009872</v>
          </cell>
          <cell r="D4734">
            <v>43759</v>
          </cell>
        </row>
        <row r="4735">
          <cell r="A4735" t="str">
            <v>Rogerio Aparecido Dos Santos</v>
          </cell>
          <cell r="B4735">
            <v>37000574</v>
          </cell>
          <cell r="C4735">
            <v>20009876</v>
          </cell>
          <cell r="D4735">
            <v>39419</v>
          </cell>
        </row>
        <row r="4736">
          <cell r="A4736" t="str">
            <v>Rogerio Batista</v>
          </cell>
          <cell r="B4736">
            <v>37000996</v>
          </cell>
          <cell r="C4736">
            <v>20009877</v>
          </cell>
          <cell r="D4736">
            <v>40980</v>
          </cell>
        </row>
        <row r="4737">
          <cell r="A4737" t="str">
            <v>Rogerio De Franca Correia</v>
          </cell>
          <cell r="B4737">
            <v>37004596</v>
          </cell>
          <cell r="C4737">
            <v>20009880</v>
          </cell>
          <cell r="D4737">
            <v>44004</v>
          </cell>
        </row>
        <row r="4738">
          <cell r="A4738" t="str">
            <v>Ronaldo Cesar Dos Santos</v>
          </cell>
          <cell r="B4738">
            <v>37001965</v>
          </cell>
          <cell r="C4738">
            <v>20009888</v>
          </cell>
          <cell r="D4738">
            <v>42891</v>
          </cell>
        </row>
        <row r="4739">
          <cell r="A4739" t="str">
            <v>Rosana Aparecida De Souza</v>
          </cell>
          <cell r="B4739">
            <v>37002268</v>
          </cell>
          <cell r="C4739">
            <v>20009893</v>
          </cell>
          <cell r="D4739">
            <v>43178</v>
          </cell>
        </row>
        <row r="4740">
          <cell r="A4740" t="str">
            <v>Sandra Aparecida Lopes</v>
          </cell>
          <cell r="B4740">
            <v>37003625</v>
          </cell>
          <cell r="C4740">
            <v>20009907</v>
          </cell>
          <cell r="D4740">
            <v>43710</v>
          </cell>
        </row>
        <row r="4741">
          <cell r="A4741" t="str">
            <v>Sandro Augusto Vieira</v>
          </cell>
          <cell r="B4741">
            <v>37001012</v>
          </cell>
          <cell r="C4741">
            <v>20009909</v>
          </cell>
          <cell r="D4741">
            <v>41092</v>
          </cell>
        </row>
        <row r="4742">
          <cell r="A4742" t="str">
            <v>Sergio Francisco De Oliveira</v>
          </cell>
          <cell r="B4742">
            <v>37002616</v>
          </cell>
          <cell r="C4742">
            <v>20009920</v>
          </cell>
          <cell r="D4742">
            <v>43409</v>
          </cell>
        </row>
        <row r="4743">
          <cell r="A4743" t="str">
            <v>Sidnei Vieira Dias</v>
          </cell>
          <cell r="B4743">
            <v>37003977</v>
          </cell>
          <cell r="C4743">
            <v>20009926</v>
          </cell>
          <cell r="D4743">
            <v>43787</v>
          </cell>
        </row>
        <row r="4744">
          <cell r="A4744" t="str">
            <v>Sileide Da Silva Dos Santos</v>
          </cell>
          <cell r="B4744">
            <v>37001347</v>
          </cell>
          <cell r="C4744">
            <v>20009927</v>
          </cell>
          <cell r="D4744">
            <v>41680</v>
          </cell>
        </row>
        <row r="4745">
          <cell r="A4745" t="str">
            <v>Silmara Dos Santos</v>
          </cell>
          <cell r="B4745">
            <v>37003099</v>
          </cell>
          <cell r="C4745">
            <v>20009928</v>
          </cell>
          <cell r="D4745">
            <v>43570</v>
          </cell>
        </row>
        <row r="4746">
          <cell r="A4746" t="str">
            <v>Sueli De Sousa</v>
          </cell>
          <cell r="B4746">
            <v>37004471</v>
          </cell>
          <cell r="C4746">
            <v>20009936</v>
          </cell>
          <cell r="D4746">
            <v>43899</v>
          </cell>
        </row>
        <row r="4747">
          <cell r="A4747" t="str">
            <v>Tafarel Rodrigues Paula</v>
          </cell>
          <cell r="B4747">
            <v>37004084</v>
          </cell>
          <cell r="C4747">
            <v>20009938</v>
          </cell>
          <cell r="D4747">
            <v>43836</v>
          </cell>
        </row>
        <row r="4748">
          <cell r="A4748" t="str">
            <v>Thiago Henrique Macedo</v>
          </cell>
          <cell r="B4748">
            <v>37003069</v>
          </cell>
          <cell r="C4748">
            <v>20009956</v>
          </cell>
          <cell r="D4748">
            <v>43549</v>
          </cell>
        </row>
        <row r="4749">
          <cell r="A4749" t="str">
            <v>Vagner Pereira Dos Santos</v>
          </cell>
          <cell r="B4749">
            <v>37001934</v>
          </cell>
          <cell r="C4749">
            <v>20009981</v>
          </cell>
          <cell r="D4749">
            <v>42828</v>
          </cell>
        </row>
        <row r="4750">
          <cell r="A4750" t="str">
            <v>Valdir De Jesus Ribeiro Fonseca</v>
          </cell>
          <cell r="B4750">
            <v>37000611</v>
          </cell>
          <cell r="C4750">
            <v>20009993</v>
          </cell>
          <cell r="D4750">
            <v>39484</v>
          </cell>
        </row>
        <row r="4751">
          <cell r="A4751" t="str">
            <v>Wagner Fabiano Vicente</v>
          </cell>
          <cell r="B4751">
            <v>37000371</v>
          </cell>
          <cell r="C4751">
            <v>20010032</v>
          </cell>
          <cell r="D4751">
            <v>37669</v>
          </cell>
        </row>
        <row r="4752">
          <cell r="A4752" t="str">
            <v>Wanderson Aparecido Pereira Dos Santos</v>
          </cell>
          <cell r="B4752">
            <v>37000736</v>
          </cell>
          <cell r="C4752">
            <v>20010038</v>
          </cell>
          <cell r="D4752">
            <v>40077</v>
          </cell>
        </row>
        <row r="4753">
          <cell r="A4753" t="str">
            <v>Welington Moreto Rossini</v>
          </cell>
          <cell r="B4753">
            <v>37001824</v>
          </cell>
          <cell r="C4753">
            <v>20010040</v>
          </cell>
          <cell r="D4753">
            <v>42716</v>
          </cell>
        </row>
        <row r="4754">
          <cell r="A4754" t="str">
            <v>Cleide Aparecida Dos Santos</v>
          </cell>
          <cell r="B4754">
            <v>37004672</v>
          </cell>
          <cell r="C4754">
            <v>20010069</v>
          </cell>
          <cell r="D4754">
            <v>44046</v>
          </cell>
        </row>
        <row r="4755">
          <cell r="A4755" t="str">
            <v>Joao Paulo De Oliveira</v>
          </cell>
          <cell r="B4755">
            <v>37003286</v>
          </cell>
          <cell r="C4755">
            <v>20010100</v>
          </cell>
          <cell r="D4755">
            <v>43633</v>
          </cell>
        </row>
        <row r="4756">
          <cell r="A4756" t="str">
            <v>Bruno Prestes Gomes</v>
          </cell>
          <cell r="B4756">
            <v>37005239</v>
          </cell>
          <cell r="C4756">
            <v>20011059</v>
          </cell>
          <cell r="D4756">
            <v>44138</v>
          </cell>
        </row>
        <row r="4757">
          <cell r="A4757" t="str">
            <v>Edio Aparecido De Freitas</v>
          </cell>
          <cell r="B4757">
            <v>37005293</v>
          </cell>
          <cell r="C4757">
            <v>20011069</v>
          </cell>
          <cell r="D4757">
            <v>44172</v>
          </cell>
        </row>
        <row r="4758">
          <cell r="A4758" t="str">
            <v>Elaine Regina Pedroso Silva</v>
          </cell>
          <cell r="B4758">
            <v>37005294</v>
          </cell>
          <cell r="C4758">
            <v>20011071</v>
          </cell>
          <cell r="D4758">
            <v>44172</v>
          </cell>
        </row>
        <row r="4759">
          <cell r="A4759" t="str">
            <v>Joao Paulo Tonello</v>
          </cell>
          <cell r="B4759">
            <v>37005298</v>
          </cell>
          <cell r="C4759">
            <v>20011086</v>
          </cell>
          <cell r="D4759">
            <v>44172</v>
          </cell>
        </row>
        <row r="4760">
          <cell r="A4760" t="str">
            <v>Luiz Gonzaga De Carvalho Junior</v>
          </cell>
          <cell r="B4760">
            <v>37005302</v>
          </cell>
          <cell r="C4760">
            <v>20011100</v>
          </cell>
          <cell r="D4760">
            <v>44172</v>
          </cell>
        </row>
        <row r="4761">
          <cell r="A4761" t="str">
            <v>Maico De Souza Porfirio</v>
          </cell>
          <cell r="B4761">
            <v>37005267</v>
          </cell>
          <cell r="C4761">
            <v>20011102</v>
          </cell>
          <cell r="D4761">
            <v>44144</v>
          </cell>
        </row>
        <row r="4762">
          <cell r="A4762" t="str">
            <v>Rafael Augusto Todeschi Variane</v>
          </cell>
          <cell r="B4762">
            <v>37005287</v>
          </cell>
          <cell r="C4762">
            <v>20011123</v>
          </cell>
          <cell r="D4762">
            <v>44158</v>
          </cell>
        </row>
        <row r="4763">
          <cell r="A4763" t="str">
            <v>Rafael Batista Moises</v>
          </cell>
          <cell r="B4763">
            <v>37005306</v>
          </cell>
          <cell r="C4763">
            <v>20011124</v>
          </cell>
          <cell r="D4763">
            <v>44172</v>
          </cell>
        </row>
        <row r="4764">
          <cell r="A4764" t="str">
            <v>Ronaldo Alves Ferreira</v>
          </cell>
          <cell r="B4764">
            <v>37005307</v>
          </cell>
          <cell r="C4764">
            <v>20011131</v>
          </cell>
          <cell r="D4764">
            <v>44172</v>
          </cell>
        </row>
        <row r="4765">
          <cell r="A4765" t="str">
            <v>Rosilda Aparecida De Barros Arruda</v>
          </cell>
          <cell r="B4765">
            <v>37005270</v>
          </cell>
          <cell r="C4765">
            <v>20011134</v>
          </cell>
          <cell r="D4765">
            <v>44144</v>
          </cell>
        </row>
        <row r="4766">
          <cell r="A4766" t="str">
            <v>Sandra Batista Da Silva</v>
          </cell>
          <cell r="B4766">
            <v>37005272</v>
          </cell>
          <cell r="C4766">
            <v>20011136</v>
          </cell>
          <cell r="D4766">
            <v>44144</v>
          </cell>
        </row>
        <row r="4767">
          <cell r="A4767" t="str">
            <v>Tayna Delfino Escola</v>
          </cell>
          <cell r="B4767">
            <v>37005259</v>
          </cell>
          <cell r="C4767">
            <v>20011139</v>
          </cell>
          <cell r="D4767">
            <v>44138</v>
          </cell>
        </row>
        <row r="4768">
          <cell r="A4768" t="str">
            <v>Valnei Bueno Dos Santos</v>
          </cell>
          <cell r="B4768">
            <v>37005308</v>
          </cell>
          <cell r="C4768">
            <v>20011140</v>
          </cell>
          <cell r="D4768">
            <v>44172</v>
          </cell>
        </row>
        <row r="4769">
          <cell r="A4769" t="str">
            <v>Vanderleia Aparecida De Souza Guaringue</v>
          </cell>
          <cell r="B4769">
            <v>37005261</v>
          </cell>
          <cell r="C4769">
            <v>20011144</v>
          </cell>
          <cell r="D4769">
            <v>44138</v>
          </cell>
        </row>
        <row r="4770">
          <cell r="A4770" t="str">
            <v>Vitor Lopes Aparecido Paulino</v>
          </cell>
          <cell r="B4770">
            <v>37005279</v>
          </cell>
          <cell r="C4770">
            <v>20011146</v>
          </cell>
          <cell r="D4770">
            <v>44152</v>
          </cell>
        </row>
        <row r="4771">
          <cell r="A4771" t="str">
            <v>Sergio Ricardo Aizique</v>
          </cell>
          <cell r="B4771">
            <v>37005172</v>
          </cell>
          <cell r="C4771">
            <v>20011607</v>
          </cell>
          <cell r="D4771">
            <v>44214</v>
          </cell>
        </row>
        <row r="4772">
          <cell r="A4772" t="str">
            <v>Antonio Marcos Lofiego Junior</v>
          </cell>
          <cell r="B4772">
            <v>37005175</v>
          </cell>
          <cell r="C4772">
            <v>20011610</v>
          </cell>
          <cell r="D4772">
            <v>44214</v>
          </cell>
        </row>
        <row r="4773">
          <cell r="A4773" t="str">
            <v>Leandro De Oliveira Santos</v>
          </cell>
          <cell r="B4773">
            <v>37005179</v>
          </cell>
          <cell r="C4773">
            <v>20011614</v>
          </cell>
          <cell r="D4773">
            <v>44214</v>
          </cell>
        </row>
        <row r="4774">
          <cell r="A4774" t="str">
            <v>Rafael De Matos Elias</v>
          </cell>
          <cell r="B4774">
            <v>37005187</v>
          </cell>
          <cell r="C4774">
            <v>20011622</v>
          </cell>
          <cell r="D4774">
            <v>44214</v>
          </cell>
        </row>
        <row r="4775">
          <cell r="A4775" t="str">
            <v>Gilmario Bilac Viana</v>
          </cell>
          <cell r="B4775">
            <v>37005196</v>
          </cell>
          <cell r="C4775">
            <v>20011631</v>
          </cell>
          <cell r="D4775">
            <v>44214</v>
          </cell>
        </row>
        <row r="4776">
          <cell r="A4776" t="str">
            <v>Rodrigo Leodoro De Almeida</v>
          </cell>
          <cell r="B4776">
            <v>37005202</v>
          </cell>
          <cell r="C4776">
            <v>20011636</v>
          </cell>
          <cell r="D4776">
            <v>44214</v>
          </cell>
        </row>
        <row r="4777">
          <cell r="A4777" t="str">
            <v>Edino Irineu Ramos</v>
          </cell>
          <cell r="B4777">
            <v>37005204</v>
          </cell>
          <cell r="C4777">
            <v>20011638</v>
          </cell>
          <cell r="D4777">
            <v>44214</v>
          </cell>
        </row>
        <row r="4778">
          <cell r="A4778" t="str">
            <v>Danielle Nunes Da Silva De Carvalho</v>
          </cell>
          <cell r="B4778">
            <v>37003221</v>
          </cell>
          <cell r="C4778">
            <v>20008867</v>
          </cell>
          <cell r="D4778">
            <v>43619</v>
          </cell>
        </row>
        <row r="4779">
          <cell r="A4779" t="str">
            <v>Antonio Nicacio Da Silva Neto</v>
          </cell>
          <cell r="B4779">
            <v>37000595</v>
          </cell>
          <cell r="C4779">
            <v>20008665</v>
          </cell>
          <cell r="D4779">
            <v>39468</v>
          </cell>
        </row>
        <row r="4780">
          <cell r="A4780" t="str">
            <v>Manoel Benedito Da Silva</v>
          </cell>
          <cell r="B4780">
            <v>37000605</v>
          </cell>
          <cell r="C4780">
            <v>20009581</v>
          </cell>
          <cell r="D4780">
            <v>39468</v>
          </cell>
        </row>
        <row r="4781">
          <cell r="A4781" t="str">
            <v>Claudio Rogerio Domingues</v>
          </cell>
          <cell r="B4781">
            <v>37000613</v>
          </cell>
          <cell r="C4781">
            <v>20008815</v>
          </cell>
          <cell r="D4781">
            <v>39489</v>
          </cell>
        </row>
        <row r="4782">
          <cell r="A4782" t="str">
            <v>Joao Carlos Leite De Albuquerque</v>
          </cell>
          <cell r="B4782">
            <v>37000615</v>
          </cell>
          <cell r="C4782">
            <v>20009326</v>
          </cell>
          <cell r="D4782">
            <v>39489</v>
          </cell>
        </row>
        <row r="4783">
          <cell r="A4783" t="str">
            <v>Valdir Venancio De Moraes</v>
          </cell>
          <cell r="B4783">
            <v>37000625</v>
          </cell>
          <cell r="C4783">
            <v>20009994</v>
          </cell>
          <cell r="D4783">
            <v>39489</v>
          </cell>
        </row>
        <row r="4784">
          <cell r="A4784" t="str">
            <v>Cristiano Jose Alves</v>
          </cell>
          <cell r="B4784">
            <v>37000630</v>
          </cell>
          <cell r="C4784">
            <v>20008837</v>
          </cell>
          <cell r="D4784">
            <v>39496</v>
          </cell>
        </row>
        <row r="4785">
          <cell r="A4785" t="str">
            <v>Dorival Bertini</v>
          </cell>
          <cell r="B4785">
            <v>37000631</v>
          </cell>
          <cell r="C4785">
            <v>20008921</v>
          </cell>
          <cell r="D4785">
            <v>39496</v>
          </cell>
        </row>
        <row r="4786">
          <cell r="A4786" t="str">
            <v>Vagner Alves</v>
          </cell>
          <cell r="B4786">
            <v>37000718</v>
          </cell>
          <cell r="C4786">
            <v>20009977</v>
          </cell>
          <cell r="D4786">
            <v>39909</v>
          </cell>
        </row>
        <row r="4787">
          <cell r="A4787" t="str">
            <v>Paulo Sergio Da Silva</v>
          </cell>
          <cell r="B4787">
            <v>37000918</v>
          </cell>
          <cell r="C4787">
            <v>20009771</v>
          </cell>
          <cell r="D4787">
            <v>40763</v>
          </cell>
        </row>
        <row r="4788">
          <cell r="A4788" t="str">
            <v>Genival Saluceste</v>
          </cell>
          <cell r="B4788">
            <v>37000917</v>
          </cell>
          <cell r="C4788">
            <v>20009157</v>
          </cell>
          <cell r="D4788">
            <v>40763</v>
          </cell>
        </row>
        <row r="4789">
          <cell r="A4789" t="str">
            <v>Fabio Rodrigo Dos Santos</v>
          </cell>
          <cell r="B4789">
            <v>37001473</v>
          </cell>
          <cell r="C4789">
            <v>20009057</v>
          </cell>
          <cell r="D4789">
            <v>41932</v>
          </cell>
        </row>
        <row r="4790">
          <cell r="A4790" t="str">
            <v>Gerson Benedito Da Rosa</v>
          </cell>
          <cell r="B4790">
            <v>37001478</v>
          </cell>
          <cell r="C4790">
            <v>20009163</v>
          </cell>
          <cell r="D4790">
            <v>41960</v>
          </cell>
        </row>
        <row r="4791">
          <cell r="A4791" t="str">
            <v>Adilson Barbosa Da Silva</v>
          </cell>
          <cell r="B4791">
            <v>37001820</v>
          </cell>
          <cell r="C4791">
            <v>20008494</v>
          </cell>
          <cell r="D4791">
            <v>42709</v>
          </cell>
        </row>
        <row r="4792">
          <cell r="A4792" t="str">
            <v>Clodoaldo Jorge Do Prado</v>
          </cell>
          <cell r="B4792">
            <v>37001821</v>
          </cell>
          <cell r="C4792">
            <v>20008832</v>
          </cell>
          <cell r="D4792">
            <v>42709</v>
          </cell>
        </row>
        <row r="4793">
          <cell r="A4793" t="str">
            <v>Luiz Carlos Martins</v>
          </cell>
          <cell r="B4793">
            <v>37002861</v>
          </cell>
          <cell r="C4793">
            <v>20009557</v>
          </cell>
          <cell r="D4793">
            <v>43486</v>
          </cell>
        </row>
        <row r="4794">
          <cell r="A4794" t="str">
            <v>Rui Jose Portes</v>
          </cell>
          <cell r="B4794">
            <v>37004887</v>
          </cell>
          <cell r="C4794">
            <v>20008123</v>
          </cell>
          <cell r="D4794">
            <v>44090</v>
          </cell>
        </row>
        <row r="4795">
          <cell r="A4795" t="str">
            <v>Eder Leonel Rozario</v>
          </cell>
          <cell r="B4795">
            <v>37004874</v>
          </cell>
          <cell r="C4795">
            <v>20008126</v>
          </cell>
          <cell r="D4795">
            <v>44090</v>
          </cell>
        </row>
        <row r="4796">
          <cell r="A4796" t="str">
            <v>Andre Luis Scarin Do Amaral</v>
          </cell>
          <cell r="B4796">
            <v>37000362</v>
          </cell>
          <cell r="C4796">
            <v>20008622</v>
          </cell>
          <cell r="D4796">
            <v>37655</v>
          </cell>
        </row>
        <row r="4797">
          <cell r="A4797" t="str">
            <v>Arthur Rizzardo Zanardi</v>
          </cell>
          <cell r="B4797">
            <v>37004039</v>
          </cell>
          <cell r="C4797">
            <v>20008687</v>
          </cell>
          <cell r="D4797">
            <v>43808</v>
          </cell>
        </row>
        <row r="4798">
          <cell r="A4798" t="str">
            <v>Marco Antonio De Goes</v>
          </cell>
          <cell r="B4798">
            <v>37000306</v>
          </cell>
          <cell r="C4798">
            <v>20009619</v>
          </cell>
          <cell r="D4798">
            <v>36893</v>
          </cell>
        </row>
        <row r="4799">
          <cell r="A4799" t="str">
            <v>Daniel De Oliveira Avelino</v>
          </cell>
          <cell r="B4799">
            <v>37001817</v>
          </cell>
          <cell r="C4799">
            <v>20008855</v>
          </cell>
          <cell r="D4799">
            <v>42690</v>
          </cell>
        </row>
        <row r="4800">
          <cell r="A4800" t="str">
            <v>Amadeu Joaquim Gomes</v>
          </cell>
          <cell r="B4800">
            <v>37000612</v>
          </cell>
          <cell r="C4800">
            <v>20008569</v>
          </cell>
          <cell r="D4800">
            <v>39489</v>
          </cell>
        </row>
        <row r="4801">
          <cell r="A4801" t="str">
            <v>Nilton Cesar De Pontes</v>
          </cell>
          <cell r="B4801">
            <v>37005386</v>
          </cell>
          <cell r="C4801">
            <v>20013508</v>
          </cell>
          <cell r="D4801">
            <v>44256</v>
          </cell>
        </row>
        <row r="4802">
          <cell r="A4802" t="str">
            <v>Paulo Sergio De Oliveira</v>
          </cell>
          <cell r="B4802">
            <v>37005388</v>
          </cell>
          <cell r="C4802">
            <v>20013510</v>
          </cell>
          <cell r="D4802">
            <v>44256</v>
          </cell>
        </row>
        <row r="4803">
          <cell r="A4803" t="str">
            <v>Odivaldo Eder Lopes</v>
          </cell>
          <cell r="B4803">
            <v>37005392</v>
          </cell>
          <cell r="C4803">
            <v>20013514</v>
          </cell>
          <cell r="D4803">
            <v>44256</v>
          </cell>
        </row>
        <row r="4804">
          <cell r="A4804" t="str">
            <v>Alefe Aparecido Bronzatti</v>
          </cell>
          <cell r="B4804">
            <v>37005394</v>
          </cell>
          <cell r="C4804">
            <v>20013516</v>
          </cell>
          <cell r="D4804">
            <v>44256</v>
          </cell>
        </row>
        <row r="4805">
          <cell r="A4805" t="str">
            <v>Anderson Antonio Henrique De Oliveira</v>
          </cell>
          <cell r="B4805">
            <v>37005493</v>
          </cell>
          <cell r="C4805">
            <v>20013542</v>
          </cell>
          <cell r="D4805">
            <v>44270</v>
          </cell>
        </row>
        <row r="4806">
          <cell r="A4806" t="str">
            <v>Rogerio Oliveira Pereira</v>
          </cell>
          <cell r="B4806">
            <v>37005495</v>
          </cell>
          <cell r="C4806">
            <v>20013543</v>
          </cell>
          <cell r="D4806">
            <v>44270</v>
          </cell>
        </row>
        <row r="4807">
          <cell r="A4807" t="str">
            <v>Jhones Da Silva Pereira</v>
          </cell>
          <cell r="B4807">
            <v>37005503</v>
          </cell>
          <cell r="C4807">
            <v>20013550</v>
          </cell>
          <cell r="D4807">
            <v>44270</v>
          </cell>
        </row>
        <row r="4808">
          <cell r="A4808" t="str">
            <v>Bruno Jaime Alcantara Lisboa</v>
          </cell>
          <cell r="B4808">
            <v>37005524</v>
          </cell>
          <cell r="C4808">
            <v>20013567</v>
          </cell>
          <cell r="D4808">
            <v>44277</v>
          </cell>
        </row>
        <row r="4809">
          <cell r="A4809" t="str">
            <v>Giltanio Sousa Silva</v>
          </cell>
          <cell r="B4809">
            <v>37005527</v>
          </cell>
          <cell r="C4809">
            <v>20013568</v>
          </cell>
          <cell r="D4809">
            <v>44291</v>
          </cell>
        </row>
        <row r="4810">
          <cell r="A4810" t="str">
            <v>Welison Santana Dos Santos</v>
          </cell>
          <cell r="B4810">
            <v>37005528</v>
          </cell>
          <cell r="C4810">
            <v>20013569</v>
          </cell>
          <cell r="D4810">
            <v>44291</v>
          </cell>
        </row>
        <row r="4811">
          <cell r="A4811" t="str">
            <v>Alexandro Figueredo Salles</v>
          </cell>
          <cell r="B4811">
            <v>37005530</v>
          </cell>
          <cell r="C4811">
            <v>20013571</v>
          </cell>
          <cell r="D4811">
            <v>44291</v>
          </cell>
        </row>
        <row r="4812">
          <cell r="A4812" t="str">
            <v>Gildo Cardoso</v>
          </cell>
          <cell r="B4812">
            <v>37005535</v>
          </cell>
          <cell r="C4812">
            <v>20013576</v>
          </cell>
          <cell r="D4812">
            <v>44291</v>
          </cell>
        </row>
        <row r="4813">
          <cell r="A4813" t="str">
            <v>Nelson Pereira Calheira</v>
          </cell>
          <cell r="B4813">
            <v>37005572</v>
          </cell>
          <cell r="C4813">
            <v>20013594</v>
          </cell>
          <cell r="D4813">
            <v>44301</v>
          </cell>
        </row>
        <row r="4814">
          <cell r="A4814" t="str">
            <v>Daniel Camargo Nasario</v>
          </cell>
          <cell r="B4814">
            <v>37005573</v>
          </cell>
          <cell r="C4814">
            <v>20013595</v>
          </cell>
          <cell r="D4814">
            <v>44301</v>
          </cell>
        </row>
        <row r="4815">
          <cell r="A4815" t="str">
            <v>Ronaldo Cesar Mendes</v>
          </cell>
          <cell r="B4815">
            <v>37005588</v>
          </cell>
          <cell r="C4815">
            <v>20013610</v>
          </cell>
          <cell r="D4815">
            <v>44301</v>
          </cell>
        </row>
        <row r="4816">
          <cell r="A4816" t="str">
            <v>Jurandir Aparecido Crisostomo</v>
          </cell>
          <cell r="B4816">
            <v>37005646</v>
          </cell>
          <cell r="C4816">
            <v>20013945</v>
          </cell>
          <cell r="D4816">
            <v>44329</v>
          </cell>
        </row>
        <row r="4817">
          <cell r="A4817" t="str">
            <v>Luis Henrique Pereira</v>
          </cell>
          <cell r="B4817">
            <v>37005656</v>
          </cell>
          <cell r="C4817">
            <v>20013953</v>
          </cell>
          <cell r="D4817">
            <v>44329</v>
          </cell>
        </row>
        <row r="4818">
          <cell r="A4818" t="str">
            <v>Airton Lopes Da Silva</v>
          </cell>
          <cell r="B4818">
            <v>37005668</v>
          </cell>
          <cell r="C4818">
            <v>20013964</v>
          </cell>
          <cell r="D4818">
            <v>44329</v>
          </cell>
        </row>
        <row r="4819">
          <cell r="A4819" t="str">
            <v>Wesley Robson Ferreira Da Silva</v>
          </cell>
          <cell r="B4819">
            <v>37005672</v>
          </cell>
          <cell r="C4819">
            <v>20013968</v>
          </cell>
          <cell r="D4819">
            <v>44329</v>
          </cell>
        </row>
        <row r="4820">
          <cell r="A4820" t="str">
            <v>Marcio Andre Dos Santos</v>
          </cell>
          <cell r="B4820">
            <v>37005674</v>
          </cell>
          <cell r="C4820">
            <v>20013969</v>
          </cell>
          <cell r="D4820">
            <v>44329</v>
          </cell>
        </row>
        <row r="4821">
          <cell r="A4821" t="str">
            <v>Marcio Rogerio Barreiros</v>
          </cell>
          <cell r="B4821">
            <v>37005645</v>
          </cell>
          <cell r="C4821">
            <v>20014382</v>
          </cell>
          <cell r="D4821">
            <v>44329</v>
          </cell>
        </row>
        <row r="4822">
          <cell r="A4822" t="str">
            <v>Cristiano Ferreira Santos</v>
          </cell>
          <cell r="B4822">
            <v>37005650</v>
          </cell>
          <cell r="C4822">
            <v>20014383</v>
          </cell>
          <cell r="D4822">
            <v>44329</v>
          </cell>
        </row>
        <row r="4823">
          <cell r="A4823" t="str">
            <v>Mateus Buona</v>
          </cell>
          <cell r="B4823">
            <v>37005699</v>
          </cell>
          <cell r="C4823">
            <v>20014392</v>
          </cell>
          <cell r="D4823">
            <v>44333</v>
          </cell>
        </row>
        <row r="4824">
          <cell r="A4824" t="str">
            <v>Creuber Alexandro Correa Baptista</v>
          </cell>
          <cell r="B4824">
            <v>37005693</v>
          </cell>
          <cell r="C4824">
            <v>20014394</v>
          </cell>
          <cell r="D4824">
            <v>44333</v>
          </cell>
        </row>
        <row r="4825">
          <cell r="A4825" t="str">
            <v>Jose Norberto Sartorelli</v>
          </cell>
          <cell r="B4825">
            <v>37005697</v>
          </cell>
          <cell r="C4825">
            <v>20014395</v>
          </cell>
          <cell r="D4825">
            <v>44333</v>
          </cell>
        </row>
        <row r="4826">
          <cell r="A4826" t="str">
            <v>Reginaldo Tenorio De Araujo</v>
          </cell>
          <cell r="B4826">
            <v>37005701</v>
          </cell>
          <cell r="C4826">
            <v>20014397</v>
          </cell>
          <cell r="D4826">
            <v>44333</v>
          </cell>
        </row>
        <row r="4827">
          <cell r="A4827" t="str">
            <v>Divaldo Gilioli</v>
          </cell>
          <cell r="B4827">
            <v>37005694</v>
          </cell>
          <cell r="C4827">
            <v>20014399</v>
          </cell>
          <cell r="D4827">
            <v>44333</v>
          </cell>
        </row>
        <row r="4828">
          <cell r="A4828" t="str">
            <v>Reginaldo Rigo Pereira</v>
          </cell>
          <cell r="B4828">
            <v>37005700</v>
          </cell>
          <cell r="C4828">
            <v>20014400</v>
          </cell>
          <cell r="D4828">
            <v>44333</v>
          </cell>
        </row>
        <row r="4829">
          <cell r="A4829" t="str">
            <v>Hans Donner Gottardo</v>
          </cell>
          <cell r="B4829">
            <v>37005682</v>
          </cell>
          <cell r="C4829">
            <v>20014473</v>
          </cell>
          <cell r="D4829">
            <v>44333</v>
          </cell>
        </row>
        <row r="4830">
          <cell r="A4830" t="str">
            <v>Wanderley Rodrigues Da Silva</v>
          </cell>
          <cell r="B4830">
            <v>37005690</v>
          </cell>
          <cell r="C4830">
            <v>20014475</v>
          </cell>
          <cell r="D4830">
            <v>44333</v>
          </cell>
        </row>
        <row r="4831">
          <cell r="A4831" t="str">
            <v>Henrique Molinar Bellocchio</v>
          </cell>
          <cell r="B4831">
            <v>37005498</v>
          </cell>
          <cell r="C4831">
            <v>20014615</v>
          </cell>
          <cell r="D4831">
            <v>44270</v>
          </cell>
        </row>
        <row r="4832">
          <cell r="A4832" t="str">
            <v>Fabricio Cesconetto</v>
          </cell>
          <cell r="B4832">
            <v>37005433</v>
          </cell>
          <cell r="C4832">
            <v>20014803</v>
          </cell>
          <cell r="D4832">
            <v>44263</v>
          </cell>
        </row>
        <row r="4833">
          <cell r="A4833" t="str">
            <v>Fabiano Do Prado Farias Silva</v>
          </cell>
          <cell r="B4833">
            <v>37005866</v>
          </cell>
          <cell r="C4833">
            <v>20014806</v>
          </cell>
          <cell r="D4833">
            <v>44368</v>
          </cell>
        </row>
        <row r="4834">
          <cell r="A4834" t="str">
            <v>Gerson Branco De Miranda</v>
          </cell>
          <cell r="B4834">
            <v>37005346</v>
          </cell>
          <cell r="C4834">
            <v>20015578</v>
          </cell>
          <cell r="D4834">
            <v>44235</v>
          </cell>
        </row>
        <row r="4835">
          <cell r="A4835" t="str">
            <v>Matheus Felipe Silva</v>
          </cell>
          <cell r="B4835">
            <v>37005546</v>
          </cell>
          <cell r="C4835">
            <v>20015590</v>
          </cell>
          <cell r="D4835">
            <v>44291</v>
          </cell>
        </row>
        <row r="4836">
          <cell r="A4836" t="str">
            <v>Mateus Henrique Lopes Julio</v>
          </cell>
          <cell r="B4836">
            <v>37006001</v>
          </cell>
          <cell r="C4836">
            <v>20015650</v>
          </cell>
          <cell r="D4836">
            <v>44389</v>
          </cell>
        </row>
        <row r="4837">
          <cell r="A4837" t="str">
            <v>Elisangela Aparecida Cordeiro</v>
          </cell>
          <cell r="B4837">
            <v>37005334</v>
          </cell>
          <cell r="C4837">
            <v>20015969</v>
          </cell>
          <cell r="D4837">
            <v>44228</v>
          </cell>
        </row>
        <row r="4838">
          <cell r="A4838" t="str">
            <v>Jeniffer Valerio</v>
          </cell>
          <cell r="B4838">
            <v>37005333</v>
          </cell>
          <cell r="C4838">
            <v>20015970</v>
          </cell>
          <cell r="D4838">
            <v>44228</v>
          </cell>
        </row>
        <row r="4839">
          <cell r="A4839" t="str">
            <v>Roseli De Souza Tiozzo</v>
          </cell>
          <cell r="B4839">
            <v>37005324</v>
          </cell>
          <cell r="C4839">
            <v>20015971</v>
          </cell>
          <cell r="D4839">
            <v>44228</v>
          </cell>
        </row>
        <row r="4840">
          <cell r="A4840" t="str">
            <v>Marcos De Oliveira</v>
          </cell>
          <cell r="B4840">
            <v>37005369</v>
          </cell>
          <cell r="C4840">
            <v>20015980</v>
          </cell>
          <cell r="D4840">
            <v>44244</v>
          </cell>
        </row>
        <row r="4841">
          <cell r="A4841" t="str">
            <v>Michele Maria Dos Santos</v>
          </cell>
          <cell r="B4841">
            <v>37005396</v>
          </cell>
          <cell r="C4841">
            <v>20015991</v>
          </cell>
          <cell r="D4841">
            <v>44256</v>
          </cell>
        </row>
        <row r="4842">
          <cell r="A4842" t="str">
            <v>Silvania Delza De Araujo Silva</v>
          </cell>
          <cell r="B4842">
            <v>37005409</v>
          </cell>
          <cell r="C4842">
            <v>20015992</v>
          </cell>
          <cell r="D4842">
            <v>44256</v>
          </cell>
        </row>
        <row r="4843">
          <cell r="A4843" t="str">
            <v>Mayara Simao De Souza</v>
          </cell>
          <cell r="B4843">
            <v>37005423</v>
          </cell>
          <cell r="C4843">
            <v>20015998</v>
          </cell>
          <cell r="D4843">
            <v>44263</v>
          </cell>
        </row>
        <row r="4844">
          <cell r="A4844" t="str">
            <v>Talita Cardoso Da Silva</v>
          </cell>
          <cell r="B4844">
            <v>37005453</v>
          </cell>
          <cell r="C4844">
            <v>20016002</v>
          </cell>
          <cell r="D4844">
            <v>44270</v>
          </cell>
        </row>
        <row r="4845">
          <cell r="A4845" t="str">
            <v>Larissa Vieira De Souza</v>
          </cell>
          <cell r="B4845">
            <v>37005443</v>
          </cell>
          <cell r="C4845">
            <v>20016006</v>
          </cell>
          <cell r="D4845">
            <v>44270</v>
          </cell>
        </row>
        <row r="4846">
          <cell r="A4846" t="str">
            <v>Maria Cristina De Azevedo</v>
          </cell>
          <cell r="B4846">
            <v>37005440</v>
          </cell>
          <cell r="C4846">
            <v>20016008</v>
          </cell>
          <cell r="D4846">
            <v>44270</v>
          </cell>
        </row>
        <row r="4847">
          <cell r="A4847" t="str">
            <v>Naiara Luana Moreira Dos Santos</v>
          </cell>
          <cell r="B4847">
            <v>37005442</v>
          </cell>
          <cell r="C4847">
            <v>20016009</v>
          </cell>
          <cell r="D4847">
            <v>44270</v>
          </cell>
        </row>
        <row r="4848">
          <cell r="A4848" t="str">
            <v>Vagneia Do Carmo Baiano</v>
          </cell>
          <cell r="B4848">
            <v>37005504</v>
          </cell>
          <cell r="C4848">
            <v>20016012</v>
          </cell>
          <cell r="D4848">
            <v>44270</v>
          </cell>
        </row>
        <row r="4849">
          <cell r="A4849" t="str">
            <v>Eliseu Marcolino Dos Santos</v>
          </cell>
          <cell r="B4849">
            <v>37005790</v>
          </cell>
          <cell r="C4849">
            <v>20016041</v>
          </cell>
          <cell r="D4849">
            <v>44348</v>
          </cell>
        </row>
        <row r="4850">
          <cell r="A4850" t="str">
            <v>Marco Antonio De Oliveira Silva</v>
          </cell>
          <cell r="B4850">
            <v>37005788</v>
          </cell>
          <cell r="C4850">
            <v>20016044</v>
          </cell>
          <cell r="D4850">
            <v>44348</v>
          </cell>
        </row>
        <row r="4851">
          <cell r="A4851" t="str">
            <v>Luiz Antonio De Oliveira</v>
          </cell>
          <cell r="B4851">
            <v>37005878</v>
          </cell>
          <cell r="C4851">
            <v>20016079</v>
          </cell>
          <cell r="D4851">
            <v>44368</v>
          </cell>
        </row>
        <row r="4852">
          <cell r="A4852" t="str">
            <v>Vilamar Antonio Martos</v>
          </cell>
          <cell r="B4852">
            <v>37005874</v>
          </cell>
          <cell r="C4852">
            <v>20016103</v>
          </cell>
          <cell r="D4852">
            <v>44368</v>
          </cell>
        </row>
        <row r="4853">
          <cell r="A4853" t="str">
            <v>Natalya Mariano Claro</v>
          </cell>
          <cell r="B4853">
            <v>37005982</v>
          </cell>
          <cell r="C4853">
            <v>20016784</v>
          </cell>
          <cell r="D4853">
            <v>44382</v>
          </cell>
        </row>
        <row r="4854">
          <cell r="A4854" t="str">
            <v>Renato De Mello Marques</v>
          </cell>
          <cell r="B4854">
            <v>37005988</v>
          </cell>
          <cell r="C4854">
            <v>20016790</v>
          </cell>
          <cell r="D4854">
            <v>44382</v>
          </cell>
        </row>
        <row r="4855">
          <cell r="A4855" t="str">
            <v>Wellington Jose Paula Da Silva</v>
          </cell>
          <cell r="B4855">
            <v>37006036</v>
          </cell>
          <cell r="C4855">
            <v>20016815</v>
          </cell>
          <cell r="D4855">
            <v>44396</v>
          </cell>
        </row>
        <row r="4856">
          <cell r="A4856" t="str">
            <v>Adelson Hudson De Oliveira Gomes</v>
          </cell>
          <cell r="B4856">
            <v>37006037</v>
          </cell>
          <cell r="C4856">
            <v>20016816</v>
          </cell>
          <cell r="D4856">
            <v>44396</v>
          </cell>
        </row>
        <row r="4857">
          <cell r="A4857" t="str">
            <v>Edson De Souza Rodrigues</v>
          </cell>
          <cell r="B4857">
            <v>37006043</v>
          </cell>
          <cell r="C4857">
            <v>20016820</v>
          </cell>
          <cell r="D4857">
            <v>44399</v>
          </cell>
        </row>
        <row r="4858">
          <cell r="A4858" t="str">
            <v>Samuel Jose Dos Santos</v>
          </cell>
          <cell r="B4858">
            <v>37006054</v>
          </cell>
          <cell r="C4858">
            <v>20016829</v>
          </cell>
          <cell r="D4858">
            <v>44399</v>
          </cell>
        </row>
        <row r="4859">
          <cell r="A4859" t="str">
            <v>Tercio Luis De Oliveira</v>
          </cell>
          <cell r="B4859">
            <v>37006055</v>
          </cell>
          <cell r="C4859">
            <v>20016830</v>
          </cell>
          <cell r="D4859">
            <v>44399</v>
          </cell>
        </row>
        <row r="4860">
          <cell r="A4860" t="str">
            <v>Francisco Da Conceicao Sousa</v>
          </cell>
          <cell r="B4860">
            <v>37006086</v>
          </cell>
          <cell r="C4860">
            <v>20016859</v>
          </cell>
          <cell r="D4860">
            <v>44410</v>
          </cell>
        </row>
        <row r="4861">
          <cell r="A4861" t="str">
            <v>Nataniel De Almeida Souza</v>
          </cell>
          <cell r="B4861">
            <v>37006088</v>
          </cell>
          <cell r="C4861">
            <v>20016861</v>
          </cell>
          <cell r="D4861">
            <v>44410</v>
          </cell>
        </row>
        <row r="4862">
          <cell r="A4862" t="str">
            <v>Luciano Silvestre</v>
          </cell>
          <cell r="B4862">
            <v>37006116</v>
          </cell>
          <cell r="C4862">
            <v>20016887</v>
          </cell>
          <cell r="D4862">
            <v>44417</v>
          </cell>
        </row>
        <row r="4863">
          <cell r="A4863" t="str">
            <v>Gustavo De Mello Romeiro</v>
          </cell>
          <cell r="B4863">
            <v>37006118</v>
          </cell>
          <cell r="C4863">
            <v>20016889</v>
          </cell>
          <cell r="D4863">
            <v>44417</v>
          </cell>
        </row>
        <row r="4864">
          <cell r="A4864" t="str">
            <v>Rafael Alves Dos Santos</v>
          </cell>
          <cell r="B4864">
            <v>37006124</v>
          </cell>
          <cell r="C4864">
            <v>20016894</v>
          </cell>
          <cell r="D4864">
            <v>44417</v>
          </cell>
        </row>
        <row r="4865">
          <cell r="A4865" t="str">
            <v>Welinton dos Santos Rodrigues</v>
          </cell>
          <cell r="B4865">
            <v>37006145</v>
          </cell>
          <cell r="C4865">
            <v>20016908</v>
          </cell>
          <cell r="D4865">
            <v>44417</v>
          </cell>
        </row>
        <row r="4866">
          <cell r="A4866" t="str">
            <v>Renato Rodrigues Santos</v>
          </cell>
          <cell r="B4866">
            <v>37006151</v>
          </cell>
          <cell r="C4866">
            <v>20016913</v>
          </cell>
          <cell r="D4866">
            <v>44417</v>
          </cell>
        </row>
        <row r="4867">
          <cell r="A4867" t="str">
            <v>Maylon Fernando Venancio Lopes</v>
          </cell>
          <cell r="B4867">
            <v>37006155</v>
          </cell>
          <cell r="C4867">
            <v>20016917</v>
          </cell>
          <cell r="D4867">
            <v>44417</v>
          </cell>
        </row>
        <row r="4868">
          <cell r="A4868" t="str">
            <v>Danilo Da Silva Nogueira</v>
          </cell>
          <cell r="B4868">
            <v>37006167</v>
          </cell>
          <cell r="C4868">
            <v>20016927</v>
          </cell>
          <cell r="D4868">
            <v>44417</v>
          </cell>
        </row>
        <row r="4869">
          <cell r="A4869" t="str">
            <v>Joao Victor De Souza Jose</v>
          </cell>
          <cell r="B4869">
            <v>37006182</v>
          </cell>
          <cell r="C4869">
            <v>20016941</v>
          </cell>
          <cell r="D4869">
            <v>44424</v>
          </cell>
        </row>
        <row r="4870">
          <cell r="A4870" t="str">
            <v>Jose Italo De Oliveira Miranda</v>
          </cell>
          <cell r="B4870">
            <v>37006197</v>
          </cell>
          <cell r="C4870">
            <v>20016953</v>
          </cell>
          <cell r="D4870">
            <v>44424</v>
          </cell>
        </row>
        <row r="4871">
          <cell r="A4871" t="str">
            <v>Thais Emanuela Lindoso Marques</v>
          </cell>
          <cell r="B4871">
            <v>37006199</v>
          </cell>
          <cell r="C4871">
            <v>20016955</v>
          </cell>
          <cell r="D4871">
            <v>44424</v>
          </cell>
        </row>
        <row r="4872">
          <cell r="A4872" t="str">
            <v>Carlos Reinan Pereira Tavares</v>
          </cell>
          <cell r="B4872">
            <v>37006237</v>
          </cell>
          <cell r="C4872">
            <v>20016982</v>
          </cell>
          <cell r="D4872">
            <v>44431</v>
          </cell>
        </row>
        <row r="4873">
          <cell r="A4873" t="str">
            <v>Evandro Carlos Ribeiro Da Silva</v>
          </cell>
          <cell r="B4873">
            <v>37006243</v>
          </cell>
          <cell r="C4873">
            <v>20016985</v>
          </cell>
          <cell r="D4873">
            <v>44431</v>
          </cell>
        </row>
        <row r="4874">
          <cell r="A4874" t="str">
            <v>Sergio Carvalho De Souza</v>
          </cell>
          <cell r="B4874">
            <v>37006246</v>
          </cell>
          <cell r="C4874">
            <v>20016988</v>
          </cell>
          <cell r="D4874">
            <v>44431</v>
          </cell>
        </row>
        <row r="4875">
          <cell r="A4875" t="str">
            <v>Darlan Brigida Dos Santos</v>
          </cell>
          <cell r="B4875">
            <v>37006248</v>
          </cell>
          <cell r="C4875">
            <v>20016990</v>
          </cell>
          <cell r="D4875">
            <v>44431</v>
          </cell>
        </row>
        <row r="4876">
          <cell r="A4876" t="str">
            <v>Atamirio Aparecido Da Silva</v>
          </cell>
          <cell r="B4876">
            <v>37006250</v>
          </cell>
          <cell r="C4876">
            <v>20016992</v>
          </cell>
          <cell r="D4876">
            <v>44431</v>
          </cell>
        </row>
        <row r="4877">
          <cell r="A4877" t="str">
            <v>Edson Salles</v>
          </cell>
          <cell r="B4877">
            <v>37006252</v>
          </cell>
          <cell r="C4877">
            <v>20016994</v>
          </cell>
          <cell r="D4877">
            <v>44431</v>
          </cell>
        </row>
        <row r="4878">
          <cell r="A4878" t="str">
            <v>Carlos Ortiz De Camargo</v>
          </cell>
          <cell r="B4878">
            <v>37006253</v>
          </cell>
          <cell r="C4878">
            <v>20016995</v>
          </cell>
          <cell r="D4878">
            <v>44431</v>
          </cell>
        </row>
        <row r="4879">
          <cell r="A4879" t="str">
            <v>Juliano Aparecido Dos Santos</v>
          </cell>
          <cell r="B4879">
            <v>37006257</v>
          </cell>
          <cell r="C4879">
            <v>20016999</v>
          </cell>
          <cell r="D4879">
            <v>44431</v>
          </cell>
        </row>
        <row r="4880">
          <cell r="A4880" t="str">
            <v>Joao Andre</v>
          </cell>
          <cell r="B4880">
            <v>37006263</v>
          </cell>
          <cell r="C4880">
            <v>20017002</v>
          </cell>
          <cell r="D4880">
            <v>44431</v>
          </cell>
        </row>
        <row r="4881">
          <cell r="A4881" t="str">
            <v>Jefferson Rony Clay Gomes</v>
          </cell>
          <cell r="B4881">
            <v>37006271</v>
          </cell>
          <cell r="C4881">
            <v>20017009</v>
          </cell>
          <cell r="D4881">
            <v>44431</v>
          </cell>
        </row>
        <row r="4882">
          <cell r="A4882" t="str">
            <v>Jose Luiz Pagadigorria</v>
          </cell>
          <cell r="B4882">
            <v>37006273</v>
          </cell>
          <cell r="C4882">
            <v>20017011</v>
          </cell>
          <cell r="D4882">
            <v>44431</v>
          </cell>
        </row>
        <row r="4883">
          <cell r="A4883" t="str">
            <v>Marcio Adriano Da Silva</v>
          </cell>
          <cell r="B4883">
            <v>37006283</v>
          </cell>
          <cell r="C4883">
            <v>20017015</v>
          </cell>
          <cell r="D4883">
            <v>44431</v>
          </cell>
        </row>
        <row r="4884">
          <cell r="A4884" t="str">
            <v>Allefy Aparecido Napolitano</v>
          </cell>
          <cell r="B4884">
            <v>37006284</v>
          </cell>
          <cell r="C4884">
            <v>20017016</v>
          </cell>
          <cell r="D4884">
            <v>44431</v>
          </cell>
        </row>
        <row r="4885">
          <cell r="A4885" t="str">
            <v>Aldeirano Artioli Junior</v>
          </cell>
          <cell r="B4885">
            <v>37006285</v>
          </cell>
          <cell r="C4885">
            <v>20017022</v>
          </cell>
          <cell r="D4885">
            <v>44440</v>
          </cell>
        </row>
        <row r="4886">
          <cell r="A4886" t="str">
            <v>Edmilson Do Carmo</v>
          </cell>
          <cell r="B4886">
            <v>37006294</v>
          </cell>
          <cell r="C4886">
            <v>20017026</v>
          </cell>
          <cell r="D4886">
            <v>44440</v>
          </cell>
        </row>
        <row r="4887">
          <cell r="A4887" t="str">
            <v>Renato Baptista</v>
          </cell>
          <cell r="B4887">
            <v>37006297</v>
          </cell>
          <cell r="C4887">
            <v>20017029</v>
          </cell>
          <cell r="D4887">
            <v>44440</v>
          </cell>
        </row>
        <row r="4888">
          <cell r="A4888" t="str">
            <v>Sergio Graciano Dos Santos</v>
          </cell>
          <cell r="B4888">
            <v>37006314</v>
          </cell>
          <cell r="C4888">
            <v>20017041</v>
          </cell>
          <cell r="D4888">
            <v>44440</v>
          </cell>
        </row>
        <row r="4889">
          <cell r="A4889" t="str">
            <v>Sivaldo Dos Santos</v>
          </cell>
          <cell r="B4889">
            <v>37006315</v>
          </cell>
          <cell r="C4889">
            <v>20017042</v>
          </cell>
          <cell r="D4889">
            <v>44440</v>
          </cell>
        </row>
        <row r="4890">
          <cell r="A4890" t="str">
            <v>Edenilson Ademir Pereira</v>
          </cell>
          <cell r="B4890">
            <v>37006317</v>
          </cell>
          <cell r="C4890">
            <v>20017044</v>
          </cell>
          <cell r="D4890">
            <v>44447</v>
          </cell>
        </row>
        <row r="4891">
          <cell r="A4891" t="str">
            <v>Ivo Ferreira Da Silva</v>
          </cell>
          <cell r="B4891">
            <v>37006318</v>
          </cell>
          <cell r="C4891">
            <v>20017045</v>
          </cell>
          <cell r="D4891">
            <v>44447</v>
          </cell>
        </row>
        <row r="4892">
          <cell r="A4892" t="str">
            <v>Wellington Pereira Da Silva</v>
          </cell>
          <cell r="B4892">
            <v>37006327</v>
          </cell>
          <cell r="C4892">
            <v>20017054</v>
          </cell>
          <cell r="D4892">
            <v>44447</v>
          </cell>
        </row>
        <row r="4893">
          <cell r="A4893" t="str">
            <v>Osmar Pereira</v>
          </cell>
          <cell r="B4893">
            <v>37006334</v>
          </cell>
          <cell r="C4893">
            <v>20017061</v>
          </cell>
          <cell r="D4893">
            <v>44447</v>
          </cell>
        </row>
        <row r="4894">
          <cell r="A4894" t="str">
            <v>Mauricio Fernandes Teixeira</v>
          </cell>
          <cell r="B4894">
            <v>37006336</v>
          </cell>
          <cell r="C4894">
            <v>20017063</v>
          </cell>
          <cell r="D4894">
            <v>44447</v>
          </cell>
        </row>
        <row r="4895">
          <cell r="A4895" t="str">
            <v>Octavio Willian Sacoman</v>
          </cell>
          <cell r="B4895">
            <v>37006343</v>
          </cell>
          <cell r="C4895">
            <v>20017070</v>
          </cell>
          <cell r="D4895">
            <v>44447</v>
          </cell>
        </row>
        <row r="4896">
          <cell r="A4896" t="str">
            <v>Dorival Fogaca</v>
          </cell>
          <cell r="B4896">
            <v>37006345</v>
          </cell>
          <cell r="C4896">
            <v>20017072</v>
          </cell>
          <cell r="D4896">
            <v>44447</v>
          </cell>
        </row>
        <row r="4897">
          <cell r="A4897" t="str">
            <v>Jose Luiz De Godoy</v>
          </cell>
          <cell r="B4897">
            <v>37006355</v>
          </cell>
          <cell r="C4897">
            <v>20017082</v>
          </cell>
          <cell r="D4897">
            <v>44447</v>
          </cell>
        </row>
        <row r="4898">
          <cell r="A4898" t="str">
            <v>Jose Ribeiro De Miranda</v>
          </cell>
          <cell r="B4898">
            <v>37006356</v>
          </cell>
          <cell r="C4898">
            <v>20017083</v>
          </cell>
          <cell r="D4898">
            <v>44447</v>
          </cell>
        </row>
        <row r="4899">
          <cell r="A4899" t="str">
            <v>Marcos Roberto Miranda</v>
          </cell>
          <cell r="B4899">
            <v>37006358</v>
          </cell>
          <cell r="C4899">
            <v>20017085</v>
          </cell>
          <cell r="D4899">
            <v>44447</v>
          </cell>
        </row>
        <row r="4900">
          <cell r="A4900" t="str">
            <v>Carlos Andre Goncalves De Souza</v>
          </cell>
          <cell r="B4900">
            <v>37006360</v>
          </cell>
          <cell r="C4900">
            <v>20017087</v>
          </cell>
          <cell r="D4900">
            <v>44447</v>
          </cell>
        </row>
        <row r="4901">
          <cell r="A4901" t="str">
            <v>Marcio Inocencio Da Silva</v>
          </cell>
          <cell r="B4901">
            <v>37006422</v>
          </cell>
          <cell r="C4901">
            <v>20017832</v>
          </cell>
          <cell r="D4901">
            <v>44459</v>
          </cell>
        </row>
        <row r="4902">
          <cell r="A4902" t="str">
            <v>Paulo Cesar Garcia</v>
          </cell>
          <cell r="B4902">
            <v>37006437</v>
          </cell>
          <cell r="C4902">
            <v>20017841</v>
          </cell>
          <cell r="D4902">
            <v>44459</v>
          </cell>
        </row>
        <row r="4903">
          <cell r="A4903" t="str">
            <v>Aparecido Gomes</v>
          </cell>
          <cell r="B4903">
            <v>37006436</v>
          </cell>
          <cell r="C4903">
            <v>20017849</v>
          </cell>
          <cell r="D4903">
            <v>44459</v>
          </cell>
        </row>
        <row r="4904">
          <cell r="A4904" t="str">
            <v>Paulo Ricardo Dos Santos Souza</v>
          </cell>
          <cell r="B4904">
            <v>37006474</v>
          </cell>
          <cell r="C4904">
            <v>20017862</v>
          </cell>
          <cell r="D4904">
            <v>44459</v>
          </cell>
        </row>
        <row r="4905">
          <cell r="A4905" t="str">
            <v>Olegario Dos Santos Neto</v>
          </cell>
          <cell r="B4905">
            <v>37006475</v>
          </cell>
          <cell r="C4905">
            <v>20017873</v>
          </cell>
          <cell r="D4905">
            <v>44459</v>
          </cell>
        </row>
        <row r="4906">
          <cell r="A4906" t="str">
            <v>Rubens Caitano Dos Santos</v>
          </cell>
          <cell r="B4906">
            <v>37006482</v>
          </cell>
          <cell r="C4906">
            <v>20017878</v>
          </cell>
          <cell r="D4906">
            <v>44459</v>
          </cell>
        </row>
        <row r="4907">
          <cell r="A4907" t="str">
            <v>Jhonatas Gomes Da Silva</v>
          </cell>
          <cell r="B4907">
            <v>37006493</v>
          </cell>
          <cell r="C4907">
            <v>20017883</v>
          </cell>
          <cell r="D4907">
            <v>44459</v>
          </cell>
        </row>
        <row r="4908">
          <cell r="A4908" t="str">
            <v>Valdeilson Reis Fonseca</v>
          </cell>
          <cell r="B4908">
            <v>37006499</v>
          </cell>
          <cell r="C4908">
            <v>20017896</v>
          </cell>
          <cell r="D4908">
            <v>44462</v>
          </cell>
        </row>
        <row r="4909">
          <cell r="A4909" t="str">
            <v>Jonas Evaristo Esteves</v>
          </cell>
          <cell r="B4909">
            <v>37006497</v>
          </cell>
          <cell r="C4909">
            <v>20017969</v>
          </cell>
          <cell r="D4909">
            <v>44462</v>
          </cell>
        </row>
        <row r="4910">
          <cell r="A4910" t="str">
            <v>Cesar Kodrai</v>
          </cell>
          <cell r="B4910">
            <v>37006389</v>
          </cell>
          <cell r="C4910">
            <v>20018081</v>
          </cell>
          <cell r="D4910">
            <v>44452</v>
          </cell>
        </row>
        <row r="4911">
          <cell r="A4911" t="str">
            <v>Claudinei Ferreira Da Silva</v>
          </cell>
          <cell r="B4911">
            <v>37006390</v>
          </cell>
          <cell r="C4911">
            <v>20018082</v>
          </cell>
          <cell r="D4911">
            <v>44452</v>
          </cell>
        </row>
        <row r="4912">
          <cell r="A4912" t="str">
            <v>Rafael Domingues De Almeida</v>
          </cell>
          <cell r="B4912">
            <v>37006400</v>
          </cell>
          <cell r="C4912">
            <v>20018097</v>
          </cell>
          <cell r="D4912">
            <v>44452</v>
          </cell>
        </row>
        <row r="4913">
          <cell r="A4913" t="str">
            <v>Alessandro Simao Feltrin</v>
          </cell>
          <cell r="B4913">
            <v>37006506</v>
          </cell>
          <cell r="C4913">
            <v>20018107</v>
          </cell>
          <cell r="D4913">
            <v>44473</v>
          </cell>
        </row>
        <row r="4914">
          <cell r="A4914" t="str">
            <v>Antonio Cesar Coelho Madeira</v>
          </cell>
          <cell r="B4914">
            <v>37006507</v>
          </cell>
          <cell r="C4914">
            <v>20018108</v>
          </cell>
          <cell r="D4914">
            <v>44473</v>
          </cell>
        </row>
        <row r="4915">
          <cell r="A4915" t="str">
            <v>Luiz Sebastiao Jordan</v>
          </cell>
          <cell r="B4915">
            <v>37006512</v>
          </cell>
          <cell r="C4915">
            <v>20018110</v>
          </cell>
          <cell r="D4915">
            <v>44473</v>
          </cell>
        </row>
        <row r="4916">
          <cell r="A4916" t="str">
            <v>Rogerio Vieira</v>
          </cell>
          <cell r="B4916">
            <v>37006513</v>
          </cell>
          <cell r="C4916">
            <v>20018111</v>
          </cell>
          <cell r="D4916">
            <v>44473</v>
          </cell>
        </row>
        <row r="4917">
          <cell r="A4917" t="str">
            <v>Cristian Aparecido De Melo</v>
          </cell>
          <cell r="B4917">
            <v>37006523</v>
          </cell>
          <cell r="C4917">
            <v>20018115</v>
          </cell>
          <cell r="D4917">
            <v>44473</v>
          </cell>
        </row>
        <row r="4918">
          <cell r="A4918" t="str">
            <v>Reinaldo Rodrigues Dos Santos</v>
          </cell>
          <cell r="B4918">
            <v>37006524</v>
          </cell>
          <cell r="C4918">
            <v>20018116</v>
          </cell>
          <cell r="D4918">
            <v>44473</v>
          </cell>
        </row>
        <row r="4919">
          <cell r="A4919" t="str">
            <v>Joao Batista Borges</v>
          </cell>
          <cell r="B4919">
            <v>37006526</v>
          </cell>
          <cell r="C4919">
            <v>20018119</v>
          </cell>
          <cell r="D4919">
            <v>44473</v>
          </cell>
        </row>
        <row r="4920">
          <cell r="A4920" t="str">
            <v>Alexandre Cardoso De Souza</v>
          </cell>
          <cell r="B4920">
            <v>37006530</v>
          </cell>
          <cell r="C4920">
            <v>20018122</v>
          </cell>
          <cell r="D4920">
            <v>44473</v>
          </cell>
        </row>
        <row r="4921">
          <cell r="A4921" t="str">
            <v>Pedro Luiz Aleixo Do Prado</v>
          </cell>
          <cell r="B4921">
            <v>37006534</v>
          </cell>
          <cell r="C4921">
            <v>20018125</v>
          </cell>
          <cell r="D4921">
            <v>44473</v>
          </cell>
        </row>
        <row r="4922">
          <cell r="A4922" t="str">
            <v>Aparecido Cicero Gomes</v>
          </cell>
          <cell r="B4922">
            <v>37006560</v>
          </cell>
          <cell r="C4922">
            <v>20018136</v>
          </cell>
          <cell r="D4922">
            <v>44473</v>
          </cell>
        </row>
        <row r="4923">
          <cell r="A4923" t="str">
            <v>Cristian Nunes Da Silva</v>
          </cell>
          <cell r="B4923">
            <v>37006564</v>
          </cell>
          <cell r="C4923">
            <v>20018140</v>
          </cell>
          <cell r="D4923">
            <v>44473</v>
          </cell>
        </row>
        <row r="4924">
          <cell r="A4924" t="str">
            <v>Leonel Ventura Fernandes Dos Santos</v>
          </cell>
          <cell r="B4924">
            <v>37006580</v>
          </cell>
          <cell r="C4924">
            <v>20018153</v>
          </cell>
          <cell r="D4924">
            <v>44482</v>
          </cell>
        </row>
        <row r="4925">
          <cell r="A4925" t="str">
            <v>Wagner Aparecido Da Cruz</v>
          </cell>
          <cell r="B4925">
            <v>37006585</v>
          </cell>
          <cell r="C4925">
            <v>20018158</v>
          </cell>
          <cell r="D4925">
            <v>44482</v>
          </cell>
        </row>
        <row r="4926">
          <cell r="A4926" t="str">
            <v>Edson Martins</v>
          </cell>
          <cell r="B4926">
            <v>37006586</v>
          </cell>
          <cell r="C4926">
            <v>20018159</v>
          </cell>
          <cell r="D4926">
            <v>44482</v>
          </cell>
        </row>
        <row r="4927">
          <cell r="A4927" t="str">
            <v>Luiz Eduardo Dos Santos</v>
          </cell>
          <cell r="B4927">
            <v>37006590</v>
          </cell>
          <cell r="C4927">
            <v>20018162</v>
          </cell>
          <cell r="D4927">
            <v>44482</v>
          </cell>
        </row>
        <row r="4928">
          <cell r="A4928" t="str">
            <v>Adriano Sanabria Flores Monte Serrat</v>
          </cell>
          <cell r="B4928">
            <v>37006608</v>
          </cell>
          <cell r="C4928">
            <v>20018176</v>
          </cell>
          <cell r="D4928">
            <v>44487</v>
          </cell>
        </row>
        <row r="4929">
          <cell r="A4929" t="str">
            <v>Mateus Da Silva Holanda</v>
          </cell>
          <cell r="B4929">
            <v>37006609</v>
          </cell>
          <cell r="C4929">
            <v>20018177</v>
          </cell>
          <cell r="D4929">
            <v>44487</v>
          </cell>
        </row>
        <row r="4930">
          <cell r="A4930" t="str">
            <v>Marcelo Aparecido De Souza</v>
          </cell>
          <cell r="B4930">
            <v>37006625</v>
          </cell>
          <cell r="C4930">
            <v>20018190</v>
          </cell>
          <cell r="D4930">
            <v>44487</v>
          </cell>
        </row>
        <row r="4931">
          <cell r="A4931" t="str">
            <v>Jefferson Da Penha Costa</v>
          </cell>
          <cell r="B4931">
            <v>37006628</v>
          </cell>
          <cell r="C4931">
            <v>20018193</v>
          </cell>
          <cell r="D4931">
            <v>44487</v>
          </cell>
        </row>
        <row r="4932">
          <cell r="A4932" t="str">
            <v>Lourival Jose Caetano</v>
          </cell>
          <cell r="B4932">
            <v>37006629</v>
          </cell>
          <cell r="C4932">
            <v>20018194</v>
          </cell>
          <cell r="D4932">
            <v>44487</v>
          </cell>
        </row>
        <row r="4933">
          <cell r="A4933" t="str">
            <v>Cleiton Batista De Souza</v>
          </cell>
          <cell r="B4933">
            <v>37006631</v>
          </cell>
          <cell r="C4933">
            <v>20018196</v>
          </cell>
          <cell r="D4933">
            <v>44487</v>
          </cell>
        </row>
        <row r="4934">
          <cell r="A4934" t="str">
            <v>Davi Guilherme Do Carmo</v>
          </cell>
          <cell r="B4934">
            <v>37006635</v>
          </cell>
          <cell r="C4934">
            <v>20018200</v>
          </cell>
          <cell r="D4934">
            <v>44487</v>
          </cell>
        </row>
        <row r="4935">
          <cell r="A4935" t="str">
            <v>Luciano Ferreira Da Silva</v>
          </cell>
          <cell r="B4935">
            <v>37006636</v>
          </cell>
          <cell r="C4935">
            <v>20018201</v>
          </cell>
          <cell r="D4935">
            <v>44487</v>
          </cell>
        </row>
        <row r="4936">
          <cell r="A4936" t="str">
            <v>Henrique Fernando De Oliveira</v>
          </cell>
          <cell r="B4936">
            <v>37006639</v>
          </cell>
          <cell r="C4936">
            <v>20018206</v>
          </cell>
          <cell r="D4936">
            <v>44490</v>
          </cell>
        </row>
        <row r="4937">
          <cell r="A4937" t="str">
            <v>Fabio Flavio Da Silva</v>
          </cell>
          <cell r="B4937">
            <v>37006643</v>
          </cell>
          <cell r="C4937">
            <v>20018207</v>
          </cell>
          <cell r="D4937">
            <v>44490</v>
          </cell>
        </row>
        <row r="4938">
          <cell r="A4938" t="str">
            <v>Marcelo Cristiano Almeida</v>
          </cell>
          <cell r="B4938">
            <v>37006646</v>
          </cell>
          <cell r="C4938">
            <v>20018209</v>
          </cell>
          <cell r="D4938">
            <v>44490</v>
          </cell>
        </row>
        <row r="4939">
          <cell r="A4939" t="str">
            <v>Claudinei Nalin</v>
          </cell>
          <cell r="B4939">
            <v>37006645</v>
          </cell>
          <cell r="C4939">
            <v>20018210</v>
          </cell>
          <cell r="D4939">
            <v>44490</v>
          </cell>
        </row>
        <row r="4940">
          <cell r="A4940" t="str">
            <v>Benedito De Oliveira</v>
          </cell>
          <cell r="B4940">
            <v>37006650</v>
          </cell>
          <cell r="C4940">
            <v>20018212</v>
          </cell>
          <cell r="D4940">
            <v>44490</v>
          </cell>
        </row>
        <row r="4941">
          <cell r="A4941" t="str">
            <v>Donizei Miranda Barbosa</v>
          </cell>
          <cell r="B4941">
            <v>37006651</v>
          </cell>
          <cell r="C4941">
            <v>20018213</v>
          </cell>
          <cell r="D4941">
            <v>44490</v>
          </cell>
        </row>
        <row r="4942">
          <cell r="A4942" t="str">
            <v>Tayna Isabel Siqueira De Melo</v>
          </cell>
          <cell r="B4942">
            <v>37006547</v>
          </cell>
          <cell r="C4942">
            <v>20018727</v>
          </cell>
          <cell r="D4942">
            <v>44473</v>
          </cell>
        </row>
        <row r="4943">
          <cell r="A4943" t="str">
            <v>Selma Eloisa De Carvalho</v>
          </cell>
          <cell r="B4943">
            <v>37006552</v>
          </cell>
          <cell r="C4943">
            <v>20018733</v>
          </cell>
          <cell r="D4943">
            <v>44473</v>
          </cell>
        </row>
        <row r="4944">
          <cell r="A4944" t="str">
            <v>Vinicius Galdino Da Silva</v>
          </cell>
          <cell r="B4944">
            <v>37006555</v>
          </cell>
          <cell r="C4944">
            <v>20018735</v>
          </cell>
          <cell r="D4944">
            <v>44473</v>
          </cell>
        </row>
        <row r="4945">
          <cell r="A4945" t="str">
            <v>Marcos Antonio Cian</v>
          </cell>
          <cell r="B4945">
            <v>37006654</v>
          </cell>
          <cell r="C4945">
            <v>20018741</v>
          </cell>
          <cell r="D4945">
            <v>44503</v>
          </cell>
        </row>
        <row r="4946">
          <cell r="A4946" t="str">
            <v>Jaziel Dos Santos Araujo</v>
          </cell>
          <cell r="B4946">
            <v>37006675</v>
          </cell>
          <cell r="C4946">
            <v>20018752</v>
          </cell>
          <cell r="D4946">
            <v>44503</v>
          </cell>
        </row>
        <row r="4947">
          <cell r="A4947" t="str">
            <v>Anderson Denis Pereira Da Silva</v>
          </cell>
          <cell r="B4947">
            <v>37006679</v>
          </cell>
          <cell r="C4947">
            <v>20018756</v>
          </cell>
          <cell r="D4947">
            <v>44503</v>
          </cell>
        </row>
        <row r="4948">
          <cell r="A4948" t="str">
            <v>Jose Angelo Leite Barauna</v>
          </cell>
          <cell r="B4948">
            <v>37006686</v>
          </cell>
          <cell r="C4948">
            <v>20018761</v>
          </cell>
          <cell r="D4948">
            <v>44503</v>
          </cell>
        </row>
        <row r="4949">
          <cell r="A4949" t="str">
            <v>Wilson Ricardo Santos</v>
          </cell>
          <cell r="B4949">
            <v>37006698</v>
          </cell>
          <cell r="C4949">
            <v>20018773</v>
          </cell>
          <cell r="D4949">
            <v>44508</v>
          </cell>
        </row>
        <row r="4950">
          <cell r="A4950" t="str">
            <v>Adilson Batista De Lima</v>
          </cell>
          <cell r="B4950">
            <v>37006731</v>
          </cell>
          <cell r="C4950">
            <v>20018783</v>
          </cell>
          <cell r="D4950">
            <v>44516</v>
          </cell>
        </row>
        <row r="4951">
          <cell r="A4951" t="str">
            <v>Odemir Arcos</v>
          </cell>
          <cell r="B4951">
            <v>37006729</v>
          </cell>
          <cell r="C4951">
            <v>20018785</v>
          </cell>
          <cell r="D4951">
            <v>44516</v>
          </cell>
        </row>
        <row r="4952">
          <cell r="A4952" t="str">
            <v>Edson Luiz Da Silva</v>
          </cell>
          <cell r="B4952">
            <v>37006728</v>
          </cell>
          <cell r="C4952">
            <v>20018786</v>
          </cell>
          <cell r="D4952">
            <v>44516</v>
          </cell>
        </row>
        <row r="4953">
          <cell r="A4953" t="str">
            <v>Antonio Cesar Ianella</v>
          </cell>
          <cell r="B4953">
            <v>37006724</v>
          </cell>
          <cell r="C4953">
            <v>20018789</v>
          </cell>
          <cell r="D4953">
            <v>44516</v>
          </cell>
        </row>
        <row r="4954">
          <cell r="A4954" t="str">
            <v>Renato Luis De Freitas Campos</v>
          </cell>
          <cell r="B4954">
            <v>37006723</v>
          </cell>
          <cell r="C4954">
            <v>20018790</v>
          </cell>
          <cell r="D4954">
            <v>44516</v>
          </cell>
        </row>
        <row r="4955">
          <cell r="A4955" t="str">
            <v>Cristiano Fermino Alves</v>
          </cell>
          <cell r="B4955">
            <v>37006716</v>
          </cell>
          <cell r="C4955">
            <v>20018796</v>
          </cell>
          <cell r="D4955">
            <v>44516</v>
          </cell>
        </row>
        <row r="4956">
          <cell r="A4956" t="str">
            <v>Fabiano Rosa Mazetto</v>
          </cell>
          <cell r="B4956">
            <v>37006670</v>
          </cell>
          <cell r="C4956">
            <v>20018971</v>
          </cell>
          <cell r="D4956">
            <v>44503</v>
          </cell>
        </row>
        <row r="4957">
          <cell r="A4957" t="str">
            <v>Cassiano Lopes Da Silva</v>
          </cell>
          <cell r="B4957">
            <v>37006778</v>
          </cell>
          <cell r="C4957">
            <v>20018976</v>
          </cell>
          <cell r="D4957">
            <v>44522</v>
          </cell>
        </row>
        <row r="4958">
          <cell r="A4958" t="str">
            <v>Elvis De Araujo Souza</v>
          </cell>
          <cell r="B4958">
            <v>37006747</v>
          </cell>
          <cell r="C4958">
            <v>20018978</v>
          </cell>
          <cell r="D4958">
            <v>44522</v>
          </cell>
        </row>
        <row r="4959">
          <cell r="A4959" t="str">
            <v>Regis De Almeida Machado</v>
          </cell>
          <cell r="B4959">
            <v>37006751</v>
          </cell>
          <cell r="C4959">
            <v>20018981</v>
          </cell>
          <cell r="D4959">
            <v>44522</v>
          </cell>
        </row>
        <row r="4960">
          <cell r="A4960" t="str">
            <v>Amaro Da Silva Souza</v>
          </cell>
          <cell r="B4960">
            <v>37006755</v>
          </cell>
          <cell r="C4960">
            <v>20018985</v>
          </cell>
          <cell r="D4960">
            <v>44522</v>
          </cell>
        </row>
        <row r="4961">
          <cell r="A4961" t="str">
            <v>Rogerio Machado De Abreu</v>
          </cell>
          <cell r="B4961">
            <v>37006756</v>
          </cell>
          <cell r="C4961">
            <v>20018986</v>
          </cell>
          <cell r="D4961">
            <v>44522</v>
          </cell>
        </row>
        <row r="4962">
          <cell r="A4962" t="str">
            <v>Ana Lucia Evaristo Dantas</v>
          </cell>
          <cell r="B4962">
            <v>37006768</v>
          </cell>
          <cell r="C4962">
            <v>20018997</v>
          </cell>
          <cell r="D4962">
            <v>44522</v>
          </cell>
        </row>
        <row r="4963">
          <cell r="A4963" t="str">
            <v>Alex Mariano Dos Santos</v>
          </cell>
          <cell r="B4963">
            <v>37006775</v>
          </cell>
          <cell r="C4963">
            <v>20019002</v>
          </cell>
          <cell r="D4963">
            <v>44522</v>
          </cell>
        </row>
        <row r="4964">
          <cell r="A4964" t="str">
            <v>Ivone Pereira Dos Santos</v>
          </cell>
          <cell r="B4964">
            <v>37006774</v>
          </cell>
          <cell r="C4964">
            <v>20019003</v>
          </cell>
          <cell r="D4964">
            <v>44522</v>
          </cell>
        </row>
        <row r="4965">
          <cell r="A4965" t="str">
            <v>Joao Batista Barbosa Brito</v>
          </cell>
          <cell r="B4965">
            <v>37006782</v>
          </cell>
          <cell r="C4965">
            <v>20019009</v>
          </cell>
          <cell r="D4965">
            <v>44522</v>
          </cell>
        </row>
        <row r="4966">
          <cell r="A4966" t="str">
            <v>Diogenes Alves De Arruda</v>
          </cell>
          <cell r="B4966">
            <v>37006788</v>
          </cell>
          <cell r="C4966">
            <v>20019014</v>
          </cell>
          <cell r="D4966">
            <v>44522</v>
          </cell>
        </row>
        <row r="4967">
          <cell r="A4967" t="str">
            <v>Braz Aparecido Zaghi Teixeira</v>
          </cell>
          <cell r="B4967">
            <v>37006790</v>
          </cell>
          <cell r="C4967">
            <v>20019015</v>
          </cell>
          <cell r="D4967">
            <v>44522</v>
          </cell>
        </row>
        <row r="4968">
          <cell r="A4968" t="str">
            <v>Daniel Lopes Mendes Da Cruz</v>
          </cell>
          <cell r="B4968">
            <v>37006791</v>
          </cell>
          <cell r="C4968">
            <v>20019017</v>
          </cell>
          <cell r="D4968">
            <v>44522</v>
          </cell>
        </row>
        <row r="4969">
          <cell r="A4969" t="str">
            <v>Lucas Rueda Dos Santos</v>
          </cell>
          <cell r="B4969">
            <v>37006793</v>
          </cell>
          <cell r="C4969">
            <v>20019019</v>
          </cell>
          <cell r="D4969">
            <v>44522</v>
          </cell>
        </row>
        <row r="4970">
          <cell r="A4970" t="str">
            <v>Sidney Andre Camara</v>
          </cell>
          <cell r="B4970">
            <v>37006518</v>
          </cell>
          <cell r="C4970">
            <v>20019963</v>
          </cell>
          <cell r="D4970">
            <v>44473</v>
          </cell>
        </row>
        <row r="4971">
          <cell r="A4971" t="str">
            <v>William Pereira Dos Santos</v>
          </cell>
          <cell r="B4971">
            <v>37006610</v>
          </cell>
          <cell r="C4971">
            <v>20019970</v>
          </cell>
          <cell r="D4971">
            <v>44487</v>
          </cell>
        </row>
        <row r="4972">
          <cell r="A4972" t="str">
            <v>Anselmo Rodrigo Mariano</v>
          </cell>
          <cell r="B4972">
            <v>37006694</v>
          </cell>
          <cell r="C4972">
            <v>20019981</v>
          </cell>
          <cell r="D4972">
            <v>44503</v>
          </cell>
        </row>
        <row r="4973">
          <cell r="A4973" t="str">
            <v>Fernando Silva Amaral</v>
          </cell>
          <cell r="B4973">
            <v>37006826</v>
          </cell>
          <cell r="C4973">
            <v>20020000</v>
          </cell>
          <cell r="D4973">
            <v>44536</v>
          </cell>
        </row>
        <row r="4974">
          <cell r="A4974" t="str">
            <v>Rafael Benvindo Leal</v>
          </cell>
          <cell r="B4974">
            <v>37006823</v>
          </cell>
          <cell r="C4974">
            <v>20020001</v>
          </cell>
          <cell r="D4974">
            <v>44536</v>
          </cell>
        </row>
        <row r="4975">
          <cell r="A4975" t="str">
            <v>Roberto Erasmo Da Silva</v>
          </cell>
          <cell r="B4975">
            <v>37006824</v>
          </cell>
          <cell r="C4975">
            <v>20020005</v>
          </cell>
          <cell r="D4975">
            <v>44536</v>
          </cell>
        </row>
        <row r="4976">
          <cell r="A4976" t="str">
            <v>Josemar Felix Oliveira</v>
          </cell>
          <cell r="B4976">
            <v>37006830</v>
          </cell>
          <cell r="C4976">
            <v>20020007</v>
          </cell>
          <cell r="D4976">
            <v>44536</v>
          </cell>
        </row>
        <row r="4977">
          <cell r="A4977" t="str">
            <v>Marcelo Rodrigo Paludeto</v>
          </cell>
          <cell r="B4977">
            <v>37006831</v>
          </cell>
          <cell r="C4977">
            <v>20020008</v>
          </cell>
          <cell r="D4977">
            <v>44536</v>
          </cell>
        </row>
        <row r="4978">
          <cell r="A4978" t="str">
            <v>Nadie De Alcantara</v>
          </cell>
          <cell r="B4978">
            <v>37006832</v>
          </cell>
          <cell r="C4978">
            <v>20020010</v>
          </cell>
          <cell r="D4978">
            <v>44536</v>
          </cell>
        </row>
        <row r="4979">
          <cell r="A4979" t="str">
            <v>Edison Carvalho Dos Santos</v>
          </cell>
          <cell r="B4979">
            <v>37006836</v>
          </cell>
          <cell r="C4979">
            <v>20020011</v>
          </cell>
          <cell r="D4979">
            <v>44536</v>
          </cell>
        </row>
        <row r="4980">
          <cell r="A4980" t="str">
            <v>Marcio Santana De Almeida</v>
          </cell>
          <cell r="B4980">
            <v>37006839</v>
          </cell>
          <cell r="C4980">
            <v>20020015</v>
          </cell>
          <cell r="D4980">
            <v>44536</v>
          </cell>
        </row>
        <row r="4981">
          <cell r="A4981" t="str">
            <v>Edivaldo Pereira Da Silva</v>
          </cell>
          <cell r="B4981">
            <v>37007192</v>
          </cell>
          <cell r="C4981">
            <v>20020018</v>
          </cell>
          <cell r="D4981">
            <v>44609</v>
          </cell>
        </row>
        <row r="4982">
          <cell r="A4982" t="str">
            <v>Adailton Manoel Da Silva</v>
          </cell>
          <cell r="B4982">
            <v>37006855</v>
          </cell>
          <cell r="C4982">
            <v>20020031</v>
          </cell>
          <cell r="D4982">
            <v>44536</v>
          </cell>
        </row>
        <row r="4983">
          <cell r="A4983" t="str">
            <v>Alyne De Cassia Ramos Sebastiao</v>
          </cell>
          <cell r="B4983">
            <v>37006856</v>
          </cell>
          <cell r="C4983">
            <v>20020032</v>
          </cell>
          <cell r="D4983">
            <v>44536</v>
          </cell>
        </row>
        <row r="4984">
          <cell r="A4984" t="str">
            <v>Andre Ambrosio Da Conceicao</v>
          </cell>
          <cell r="B4984">
            <v>37006859</v>
          </cell>
          <cell r="C4984">
            <v>20020038</v>
          </cell>
          <cell r="D4984">
            <v>44536</v>
          </cell>
        </row>
        <row r="4985">
          <cell r="A4985" t="str">
            <v>Jaime Aparecido Teixeira</v>
          </cell>
          <cell r="B4985">
            <v>37003904</v>
          </cell>
          <cell r="C4985">
            <v>20009289</v>
          </cell>
          <cell r="D4985">
            <v>43770</v>
          </cell>
        </row>
        <row r="4986">
          <cell r="A4986" t="str">
            <v>Jeferson De Oliveira Dos Santos</v>
          </cell>
          <cell r="B4986">
            <v>37004592</v>
          </cell>
          <cell r="C4986">
            <v>20009306</v>
          </cell>
          <cell r="D4986">
            <v>44004</v>
          </cell>
        </row>
        <row r="4987">
          <cell r="A4987" t="str">
            <v>Luciano Dos Santos</v>
          </cell>
          <cell r="B4987">
            <v>37005217</v>
          </cell>
          <cell r="C4987">
            <v>20011099</v>
          </cell>
          <cell r="D4987">
            <v>44117</v>
          </cell>
        </row>
        <row r="4988">
          <cell r="A4988" t="str">
            <v>Elenilson De Araujo Cunha</v>
          </cell>
          <cell r="B4988">
            <v>37006897</v>
          </cell>
          <cell r="C4988">
            <v>20020985</v>
          </cell>
          <cell r="D4988">
            <v>44550</v>
          </cell>
        </row>
        <row r="4989">
          <cell r="A4989" t="str">
            <v>Edenilso Biscaia</v>
          </cell>
          <cell r="B4989">
            <v>37006899</v>
          </cell>
          <cell r="C4989">
            <v>20020987</v>
          </cell>
          <cell r="D4989">
            <v>44550</v>
          </cell>
        </row>
        <row r="4990">
          <cell r="A4990" t="str">
            <v>Elizeu Da Silva Santos</v>
          </cell>
          <cell r="B4990">
            <v>37006906</v>
          </cell>
          <cell r="C4990">
            <v>20020989</v>
          </cell>
          <cell r="D4990">
            <v>44550</v>
          </cell>
        </row>
        <row r="4991">
          <cell r="A4991" t="str">
            <v>Gelvano Pinheiro Oliveira</v>
          </cell>
          <cell r="B4991">
            <v>37006911</v>
          </cell>
          <cell r="C4991">
            <v>20020995</v>
          </cell>
          <cell r="D4991">
            <v>44550</v>
          </cell>
        </row>
        <row r="4992">
          <cell r="A4992" t="str">
            <v>Gleydison Vidal De Sousa</v>
          </cell>
          <cell r="B4992">
            <v>37006925</v>
          </cell>
          <cell r="C4992">
            <v>20020998</v>
          </cell>
          <cell r="D4992">
            <v>44550</v>
          </cell>
        </row>
        <row r="4993">
          <cell r="A4993" t="str">
            <v>Djone Thome</v>
          </cell>
          <cell r="B4993">
            <v>37006937</v>
          </cell>
          <cell r="C4993">
            <v>20021004</v>
          </cell>
          <cell r="D4993">
            <v>44552</v>
          </cell>
        </row>
        <row r="4994">
          <cell r="A4994" t="str">
            <v>Ramon Da Silva Camargo</v>
          </cell>
          <cell r="B4994">
            <v>37006991</v>
          </cell>
          <cell r="C4994">
            <v>20021018</v>
          </cell>
          <cell r="D4994">
            <v>44571</v>
          </cell>
        </row>
        <row r="4995">
          <cell r="A4995" t="str">
            <v>Jefte Da Silva Lacerda</v>
          </cell>
          <cell r="B4995">
            <v>37006997</v>
          </cell>
          <cell r="C4995">
            <v>20021035</v>
          </cell>
          <cell r="D4995">
            <v>44571</v>
          </cell>
        </row>
        <row r="4996">
          <cell r="A4996" t="str">
            <v>Bruno Augusto Ramos Rodrigues</v>
          </cell>
          <cell r="B4996">
            <v>37006999</v>
          </cell>
          <cell r="C4996">
            <v>20021037</v>
          </cell>
          <cell r="D4996">
            <v>44571</v>
          </cell>
        </row>
        <row r="4997">
          <cell r="A4997" t="str">
            <v>Cesar Possidonio Dos Santos</v>
          </cell>
          <cell r="B4997">
            <v>37007003</v>
          </cell>
          <cell r="C4997">
            <v>20021041</v>
          </cell>
          <cell r="D4997">
            <v>44571</v>
          </cell>
        </row>
        <row r="4998">
          <cell r="A4998" t="str">
            <v>Valdir Pereira Ferreira</v>
          </cell>
          <cell r="B4998">
            <v>37007005</v>
          </cell>
          <cell r="C4998">
            <v>20021043</v>
          </cell>
          <cell r="D4998">
            <v>44571</v>
          </cell>
        </row>
        <row r="4999">
          <cell r="A4999" t="str">
            <v>Dileto Benedito Bau</v>
          </cell>
          <cell r="B4999">
            <v>37007015</v>
          </cell>
          <cell r="C4999">
            <v>20021048</v>
          </cell>
          <cell r="D4999">
            <v>44578</v>
          </cell>
        </row>
        <row r="5000">
          <cell r="A5000" t="str">
            <v>Sueli Gomes</v>
          </cell>
          <cell r="B5000">
            <v>37007033</v>
          </cell>
          <cell r="C5000">
            <v>20021055</v>
          </cell>
          <cell r="D5000">
            <v>44578</v>
          </cell>
        </row>
        <row r="5001">
          <cell r="A5001" t="str">
            <v>Domingos Pereira</v>
          </cell>
          <cell r="B5001">
            <v>37007044</v>
          </cell>
          <cell r="C5001">
            <v>20021064</v>
          </cell>
          <cell r="D5001">
            <v>44581</v>
          </cell>
        </row>
        <row r="5002">
          <cell r="A5002" t="str">
            <v>Edson Roberto De Camargo</v>
          </cell>
          <cell r="B5002">
            <v>37006913</v>
          </cell>
          <cell r="C5002">
            <v>20021275</v>
          </cell>
          <cell r="D5002">
            <v>44550</v>
          </cell>
        </row>
        <row r="5003">
          <cell r="A5003" t="str">
            <v>Severino Ramos Gabriel</v>
          </cell>
          <cell r="B5003">
            <v>37006921</v>
          </cell>
          <cell r="C5003">
            <v>20021277</v>
          </cell>
          <cell r="D5003">
            <v>44550</v>
          </cell>
        </row>
        <row r="5004">
          <cell r="A5004" t="str">
            <v>Ademilson Da Silva</v>
          </cell>
          <cell r="B5004">
            <v>37006924</v>
          </cell>
          <cell r="C5004">
            <v>20021279</v>
          </cell>
          <cell r="D5004">
            <v>44550</v>
          </cell>
        </row>
        <row r="5005">
          <cell r="A5005" t="str">
            <v>Jose Adriano Dos Santos</v>
          </cell>
          <cell r="B5005">
            <v>37006932</v>
          </cell>
          <cell r="C5005">
            <v>20021281</v>
          </cell>
          <cell r="D5005">
            <v>44550</v>
          </cell>
        </row>
        <row r="5006">
          <cell r="A5006" t="str">
            <v>Guilherme Picoli Romano</v>
          </cell>
          <cell r="B5006">
            <v>37006933</v>
          </cell>
          <cell r="C5006">
            <v>20021282</v>
          </cell>
          <cell r="D5006">
            <v>44550</v>
          </cell>
        </row>
        <row r="5007">
          <cell r="A5007" t="str">
            <v>Anizio Donizeti Angelico</v>
          </cell>
          <cell r="B5007">
            <v>37006945</v>
          </cell>
          <cell r="C5007">
            <v>20021285</v>
          </cell>
          <cell r="D5007">
            <v>44552</v>
          </cell>
        </row>
        <row r="5008">
          <cell r="A5008" t="str">
            <v>Zeir Dos Santos</v>
          </cell>
          <cell r="B5008">
            <v>37006946</v>
          </cell>
          <cell r="C5008">
            <v>20021286</v>
          </cell>
          <cell r="D5008">
            <v>44552</v>
          </cell>
        </row>
        <row r="5009">
          <cell r="A5009" t="str">
            <v>Jose Gomes De Almeida</v>
          </cell>
          <cell r="B5009">
            <v>37006941</v>
          </cell>
          <cell r="C5009">
            <v>20021288</v>
          </cell>
          <cell r="D5009">
            <v>44552</v>
          </cell>
        </row>
        <row r="5010">
          <cell r="A5010" t="str">
            <v>Gerson Cordeiro Vitor</v>
          </cell>
          <cell r="B5010">
            <v>37006944</v>
          </cell>
          <cell r="C5010">
            <v>20021290</v>
          </cell>
          <cell r="D5010">
            <v>44552</v>
          </cell>
        </row>
        <row r="5011">
          <cell r="A5011" t="str">
            <v>Vilson Martins Ferreira</v>
          </cell>
          <cell r="B5011">
            <v>37006977</v>
          </cell>
          <cell r="C5011">
            <v>20021638</v>
          </cell>
          <cell r="D5011">
            <v>44571</v>
          </cell>
        </row>
        <row r="5012">
          <cell r="A5012" t="str">
            <v>Everson Ribas Gomes</v>
          </cell>
          <cell r="B5012">
            <v>37007008</v>
          </cell>
          <cell r="C5012">
            <v>20021647</v>
          </cell>
          <cell r="D5012">
            <v>44571</v>
          </cell>
        </row>
        <row r="5013">
          <cell r="A5013" t="str">
            <v>Bruno Henrique De Quadros</v>
          </cell>
          <cell r="B5013">
            <v>37007018</v>
          </cell>
          <cell r="C5013">
            <v>20021649</v>
          </cell>
          <cell r="D5013">
            <v>44578</v>
          </cell>
        </row>
        <row r="5014">
          <cell r="A5014" t="str">
            <v>Joelma Felix Antonio Da Silva</v>
          </cell>
          <cell r="B5014">
            <v>37007024</v>
          </cell>
          <cell r="C5014">
            <v>20021651</v>
          </cell>
          <cell r="D5014">
            <v>44578</v>
          </cell>
        </row>
        <row r="5015">
          <cell r="A5015" t="str">
            <v>Mauro Mochida Peixoto</v>
          </cell>
          <cell r="B5015">
            <v>37007131</v>
          </cell>
          <cell r="C5015">
            <v>20021657</v>
          </cell>
          <cell r="D5015">
            <v>44606</v>
          </cell>
        </row>
        <row r="5016">
          <cell r="A5016" t="str">
            <v>Fabio Oliveira Bozi</v>
          </cell>
          <cell r="B5016">
            <v>37007096</v>
          </cell>
          <cell r="C5016">
            <v>20012885</v>
          </cell>
          <cell r="D5016">
            <v>44305</v>
          </cell>
        </row>
        <row r="5017">
          <cell r="A5017" t="str">
            <v>Madalena Montalvao Da Silva</v>
          </cell>
          <cell r="B5017">
            <v>37004683</v>
          </cell>
          <cell r="C5017">
            <v>20010076</v>
          </cell>
          <cell r="D5017">
            <v>44046</v>
          </cell>
        </row>
        <row r="5018">
          <cell r="A5018" t="str">
            <v>Robson Fernando Silva</v>
          </cell>
          <cell r="B5018">
            <v>37004082</v>
          </cell>
          <cell r="C5018">
            <v>20008299</v>
          </cell>
          <cell r="D5018">
            <v>43836</v>
          </cell>
        </row>
        <row r="5019">
          <cell r="A5019" t="str">
            <v>Guilherme Lima Da Silva</v>
          </cell>
          <cell r="B5019">
            <v>37003879</v>
          </cell>
          <cell r="C5019">
            <v>20009209</v>
          </cell>
          <cell r="D5019">
            <v>43759</v>
          </cell>
        </row>
        <row r="5020">
          <cell r="A5020" t="str">
            <v>Natalia Cristina Dos Reis Silva</v>
          </cell>
          <cell r="B5020">
            <v>37003096</v>
          </cell>
          <cell r="C5020">
            <v>20009714</v>
          </cell>
          <cell r="D5020">
            <v>43570</v>
          </cell>
        </row>
        <row r="5021">
          <cell r="A5021" t="str">
            <v>Marcelo Fernandes</v>
          </cell>
          <cell r="B5021">
            <v>37000243</v>
          </cell>
          <cell r="C5021">
            <v>20009594</v>
          </cell>
          <cell r="D5021">
            <v>35468</v>
          </cell>
        </row>
        <row r="5022">
          <cell r="A5022" t="str">
            <v>Carlos Augusto Mariano</v>
          </cell>
          <cell r="B5022">
            <v>37000610</v>
          </cell>
          <cell r="C5022">
            <v>20008755</v>
          </cell>
          <cell r="D5022">
            <v>39484</v>
          </cell>
        </row>
        <row r="5023">
          <cell r="A5023" t="str">
            <v>Christiano Wiltgen</v>
          </cell>
          <cell r="B5023">
            <v>37006936</v>
          </cell>
          <cell r="C5023">
            <v>20022769</v>
          </cell>
          <cell r="D5023">
            <v>44550</v>
          </cell>
        </row>
        <row r="5024">
          <cell r="A5024" t="str">
            <v>Marcos Favero Costa</v>
          </cell>
          <cell r="B5024">
            <v>37007238</v>
          </cell>
          <cell r="C5024">
            <v>20022775</v>
          </cell>
          <cell r="D5024">
            <v>44627</v>
          </cell>
        </row>
        <row r="5025">
          <cell r="A5025" t="str">
            <v>Cleber Alexandre Mendes Francisco</v>
          </cell>
          <cell r="B5025">
            <v>37007064</v>
          </cell>
          <cell r="C5025">
            <v>20022875</v>
          </cell>
          <cell r="D5025">
            <v>44593</v>
          </cell>
        </row>
        <row r="5026">
          <cell r="A5026" t="str">
            <v>Jose Roberto Da Silva</v>
          </cell>
          <cell r="B5026">
            <v>37007062</v>
          </cell>
          <cell r="C5026">
            <v>20022877</v>
          </cell>
          <cell r="D5026">
            <v>44593</v>
          </cell>
        </row>
        <row r="5027">
          <cell r="A5027" t="str">
            <v>Auro Vieira Da Silva</v>
          </cell>
          <cell r="B5027">
            <v>37007078</v>
          </cell>
          <cell r="C5027">
            <v>20022890</v>
          </cell>
          <cell r="D5027">
            <v>44593</v>
          </cell>
        </row>
        <row r="5028">
          <cell r="A5028" t="str">
            <v>Helton Rogerio Duarte Machado</v>
          </cell>
          <cell r="B5028">
            <v>37007081</v>
          </cell>
          <cell r="C5028">
            <v>20022893</v>
          </cell>
          <cell r="D5028">
            <v>44593</v>
          </cell>
        </row>
        <row r="5029">
          <cell r="A5029" t="str">
            <v>Jose Jorge Vieira Da Silva Filho</v>
          </cell>
          <cell r="B5029">
            <v>37007082</v>
          </cell>
          <cell r="C5029">
            <v>20022894</v>
          </cell>
          <cell r="D5029">
            <v>44593</v>
          </cell>
        </row>
        <row r="5030">
          <cell r="A5030" t="str">
            <v>Andre Danilo Manoel</v>
          </cell>
          <cell r="B5030">
            <v>37007083</v>
          </cell>
          <cell r="C5030">
            <v>20022895</v>
          </cell>
          <cell r="D5030">
            <v>44593</v>
          </cell>
        </row>
        <row r="5031">
          <cell r="A5031" t="str">
            <v>Andre Zardo</v>
          </cell>
          <cell r="B5031">
            <v>37007085</v>
          </cell>
          <cell r="C5031">
            <v>20022897</v>
          </cell>
          <cell r="D5031">
            <v>44593</v>
          </cell>
        </row>
        <row r="5032">
          <cell r="A5032" t="str">
            <v>Marcio Jose De Assis</v>
          </cell>
          <cell r="B5032">
            <v>37007088</v>
          </cell>
          <cell r="C5032">
            <v>20022900</v>
          </cell>
          <cell r="D5032">
            <v>44593</v>
          </cell>
        </row>
        <row r="5033">
          <cell r="A5033" t="str">
            <v>Rodrigo Luis Alves</v>
          </cell>
          <cell r="B5033">
            <v>37007091</v>
          </cell>
          <cell r="C5033">
            <v>20022903</v>
          </cell>
          <cell r="D5033">
            <v>44593</v>
          </cell>
        </row>
        <row r="5034">
          <cell r="A5034" t="str">
            <v>Wesley Rinaldi</v>
          </cell>
          <cell r="B5034">
            <v>37007093</v>
          </cell>
          <cell r="C5034">
            <v>20022905</v>
          </cell>
          <cell r="D5034">
            <v>44593</v>
          </cell>
        </row>
        <row r="5035">
          <cell r="A5035" t="str">
            <v>Marcus Vinicius Cattini Goes</v>
          </cell>
          <cell r="B5035">
            <v>37007094</v>
          </cell>
          <cell r="C5035">
            <v>20022906</v>
          </cell>
          <cell r="D5035">
            <v>44593</v>
          </cell>
        </row>
        <row r="5036">
          <cell r="A5036" t="str">
            <v>Danner Porto Ciocca</v>
          </cell>
          <cell r="B5036">
            <v>37007107</v>
          </cell>
          <cell r="C5036">
            <v>20022916</v>
          </cell>
          <cell r="D5036">
            <v>44599</v>
          </cell>
        </row>
        <row r="5037">
          <cell r="A5037" t="str">
            <v>Luiz Carlos Veronez</v>
          </cell>
          <cell r="B5037">
            <v>37007108</v>
          </cell>
          <cell r="C5037">
            <v>20022917</v>
          </cell>
          <cell r="D5037">
            <v>44599</v>
          </cell>
        </row>
        <row r="5038">
          <cell r="A5038" t="str">
            <v>Eder Mauricio Fernandes</v>
          </cell>
          <cell r="B5038">
            <v>37007111</v>
          </cell>
          <cell r="C5038">
            <v>20022919</v>
          </cell>
          <cell r="D5038">
            <v>44599</v>
          </cell>
        </row>
        <row r="5039">
          <cell r="A5039" t="str">
            <v>Jonas Henrique Lopes Gomes</v>
          </cell>
          <cell r="B5039">
            <v>37007113</v>
          </cell>
          <cell r="C5039">
            <v>20022920</v>
          </cell>
          <cell r="D5039">
            <v>44599</v>
          </cell>
        </row>
        <row r="5040">
          <cell r="A5040" t="str">
            <v>Jefferson Ferreira De Carvalho</v>
          </cell>
          <cell r="B5040">
            <v>37007117</v>
          </cell>
          <cell r="C5040">
            <v>20022925</v>
          </cell>
          <cell r="D5040">
            <v>44599</v>
          </cell>
        </row>
        <row r="5041">
          <cell r="A5041" t="str">
            <v>Jose Vicente Cardoso</v>
          </cell>
          <cell r="B5041">
            <v>37007119</v>
          </cell>
          <cell r="C5041">
            <v>20022928</v>
          </cell>
          <cell r="D5041">
            <v>44599</v>
          </cell>
        </row>
        <row r="5042">
          <cell r="A5042" t="str">
            <v>Luzivanderson Rodrigues Froz</v>
          </cell>
          <cell r="B5042">
            <v>37007125</v>
          </cell>
          <cell r="C5042">
            <v>20022934</v>
          </cell>
          <cell r="D5042">
            <v>44599</v>
          </cell>
        </row>
        <row r="5043">
          <cell r="A5043" t="str">
            <v>Sandro Helio De Oliveira Pinheiro</v>
          </cell>
          <cell r="B5043">
            <v>37007127</v>
          </cell>
          <cell r="C5043">
            <v>20022936</v>
          </cell>
          <cell r="D5043">
            <v>44599</v>
          </cell>
        </row>
        <row r="5044">
          <cell r="A5044" t="str">
            <v>Aparecido Benedito Machado</v>
          </cell>
          <cell r="B5044">
            <v>37007135</v>
          </cell>
          <cell r="C5044">
            <v>20022940</v>
          </cell>
          <cell r="D5044">
            <v>44606</v>
          </cell>
        </row>
        <row r="5045">
          <cell r="A5045" t="str">
            <v>Adriano Jose Da Silva</v>
          </cell>
          <cell r="B5045">
            <v>37007151</v>
          </cell>
          <cell r="C5045">
            <v>20022958</v>
          </cell>
          <cell r="D5045">
            <v>44606</v>
          </cell>
        </row>
        <row r="5046">
          <cell r="A5046" t="str">
            <v>Ricardo Andrade De Souza</v>
          </cell>
          <cell r="B5046">
            <v>37007161</v>
          </cell>
          <cell r="C5046">
            <v>20022963</v>
          </cell>
          <cell r="D5046">
            <v>44606</v>
          </cell>
        </row>
        <row r="5047">
          <cell r="A5047" t="str">
            <v>Clednilson Alexandre De Paula</v>
          </cell>
          <cell r="B5047">
            <v>37007164</v>
          </cell>
          <cell r="C5047">
            <v>20022967</v>
          </cell>
          <cell r="D5047">
            <v>44606</v>
          </cell>
        </row>
        <row r="5048">
          <cell r="A5048" t="str">
            <v>Antonio Ferreira</v>
          </cell>
          <cell r="B5048">
            <v>37007166</v>
          </cell>
          <cell r="C5048">
            <v>20022969</v>
          </cell>
          <cell r="D5048">
            <v>44606</v>
          </cell>
        </row>
        <row r="5049">
          <cell r="A5049" t="str">
            <v>Bento De Souza Monteiro</v>
          </cell>
          <cell r="B5049">
            <v>37007170</v>
          </cell>
          <cell r="C5049">
            <v>20022973</v>
          </cell>
          <cell r="D5049">
            <v>44609</v>
          </cell>
        </row>
        <row r="5050">
          <cell r="A5050" t="str">
            <v>Paulo Rodrigues Dos Anjos</v>
          </cell>
          <cell r="B5050">
            <v>37007174</v>
          </cell>
          <cell r="C5050">
            <v>20022977</v>
          </cell>
          <cell r="D5050">
            <v>44609</v>
          </cell>
        </row>
        <row r="5051">
          <cell r="A5051" t="str">
            <v>Luciano Aguilera</v>
          </cell>
          <cell r="B5051">
            <v>37007177</v>
          </cell>
          <cell r="C5051">
            <v>20022980</v>
          </cell>
          <cell r="D5051">
            <v>44609</v>
          </cell>
        </row>
        <row r="5052">
          <cell r="A5052" t="str">
            <v>Estacio Ribeiro Da Silva</v>
          </cell>
          <cell r="B5052">
            <v>37007181</v>
          </cell>
          <cell r="C5052">
            <v>20022984</v>
          </cell>
          <cell r="D5052">
            <v>44609</v>
          </cell>
        </row>
        <row r="5053">
          <cell r="A5053" t="str">
            <v>Wenderson Fialho Gomes</v>
          </cell>
          <cell r="B5053">
            <v>37007185</v>
          </cell>
          <cell r="C5053">
            <v>20022988</v>
          </cell>
          <cell r="D5053">
            <v>44609</v>
          </cell>
        </row>
        <row r="5054">
          <cell r="A5054" t="str">
            <v>Jose Cicero Da Silva</v>
          </cell>
          <cell r="B5054">
            <v>37007190</v>
          </cell>
          <cell r="C5054">
            <v>20022989</v>
          </cell>
          <cell r="D5054">
            <v>44609</v>
          </cell>
        </row>
        <row r="5055">
          <cell r="A5055" t="str">
            <v>Bruno Pedroso Duarte</v>
          </cell>
          <cell r="B5055">
            <v>37007189</v>
          </cell>
          <cell r="C5055">
            <v>20022996</v>
          </cell>
          <cell r="D5055">
            <v>44609</v>
          </cell>
        </row>
        <row r="5056">
          <cell r="A5056" t="str">
            <v>Marcelo Ferreira Da Cruz</v>
          </cell>
          <cell r="B5056">
            <v>37007196</v>
          </cell>
          <cell r="C5056">
            <v>20022999</v>
          </cell>
          <cell r="D5056">
            <v>44609</v>
          </cell>
        </row>
        <row r="5057">
          <cell r="A5057" t="str">
            <v>Cleber Alves Sila</v>
          </cell>
          <cell r="B5057">
            <v>37007213</v>
          </cell>
          <cell r="C5057">
            <v>20023013</v>
          </cell>
          <cell r="D5057">
            <v>44622</v>
          </cell>
        </row>
        <row r="5058">
          <cell r="A5058" t="str">
            <v>Diego Reis Candido</v>
          </cell>
          <cell r="B5058">
            <v>37007225</v>
          </cell>
          <cell r="C5058">
            <v>20023024</v>
          </cell>
          <cell r="D5058">
            <v>44622</v>
          </cell>
        </row>
        <row r="5059">
          <cell r="A5059" t="str">
            <v>Paulo Souzano Braz</v>
          </cell>
          <cell r="B5059">
            <v>37007227</v>
          </cell>
          <cell r="C5059">
            <v>20023026</v>
          </cell>
          <cell r="D5059">
            <v>44622</v>
          </cell>
        </row>
        <row r="5060">
          <cell r="A5060" t="str">
            <v>Reginaldo Francisco Sian</v>
          </cell>
          <cell r="B5060">
            <v>37007230</v>
          </cell>
          <cell r="C5060">
            <v>20023029</v>
          </cell>
          <cell r="D5060">
            <v>44622</v>
          </cell>
        </row>
        <row r="5061">
          <cell r="A5061" t="str">
            <v>Adriano Dos Santos Brito</v>
          </cell>
          <cell r="B5061">
            <v>37002326</v>
          </cell>
          <cell r="C5061">
            <v>20008508</v>
          </cell>
          <cell r="D5061">
            <v>43255</v>
          </cell>
        </row>
        <row r="5062">
          <cell r="A5062" t="str">
            <v>Reginaldo Vieira Gomes</v>
          </cell>
          <cell r="B5062">
            <v>37007251</v>
          </cell>
          <cell r="C5062">
            <v>20023616</v>
          </cell>
          <cell r="D5062">
            <v>44627</v>
          </cell>
        </row>
        <row r="5063">
          <cell r="A5063" t="str">
            <v>Leandro Marcos Correa</v>
          </cell>
          <cell r="B5063">
            <v>37007253</v>
          </cell>
          <cell r="C5063">
            <v>20023618</v>
          </cell>
          <cell r="D5063">
            <v>44627</v>
          </cell>
        </row>
        <row r="5064">
          <cell r="A5064" t="str">
            <v>Roberio Franklim Da Silva</v>
          </cell>
          <cell r="B5064">
            <v>37007261</v>
          </cell>
          <cell r="C5064">
            <v>20023629</v>
          </cell>
          <cell r="D5064">
            <v>44627</v>
          </cell>
        </row>
        <row r="5065">
          <cell r="A5065" t="str">
            <v>Isanilson Sousa Sarraff</v>
          </cell>
          <cell r="B5065">
            <v>37007260</v>
          </cell>
          <cell r="C5065">
            <v>20023630</v>
          </cell>
          <cell r="D5065">
            <v>44627</v>
          </cell>
        </row>
        <row r="5066">
          <cell r="A5066" t="str">
            <v>Kleiton Ramon Ferreira</v>
          </cell>
          <cell r="B5066">
            <v>37007268</v>
          </cell>
          <cell r="C5066">
            <v>20023634</v>
          </cell>
          <cell r="D5066">
            <v>44627</v>
          </cell>
        </row>
        <row r="5067">
          <cell r="A5067" t="str">
            <v>Cristiano Torres Bareli</v>
          </cell>
          <cell r="B5067">
            <v>37007270</v>
          </cell>
          <cell r="C5067">
            <v>20023637</v>
          </cell>
          <cell r="D5067">
            <v>44627</v>
          </cell>
        </row>
        <row r="5068">
          <cell r="A5068" t="str">
            <v>Raimundo Vericio Dos Santos</v>
          </cell>
          <cell r="B5068">
            <v>37007271</v>
          </cell>
          <cell r="C5068">
            <v>20023639</v>
          </cell>
          <cell r="D5068">
            <v>44627</v>
          </cell>
        </row>
        <row r="5069">
          <cell r="A5069" t="str">
            <v>Rogerio Pereira Benites</v>
          </cell>
          <cell r="B5069">
            <v>37007275</v>
          </cell>
          <cell r="C5069">
            <v>20023642</v>
          </cell>
          <cell r="D5069">
            <v>44627</v>
          </cell>
        </row>
        <row r="5070">
          <cell r="A5070" t="str">
            <v>Marcelo Aleluia Rodrigues</v>
          </cell>
          <cell r="B5070">
            <v>37007281</v>
          </cell>
          <cell r="C5070">
            <v>20023653</v>
          </cell>
          <cell r="D5070">
            <v>44634</v>
          </cell>
        </row>
        <row r="5071">
          <cell r="A5071" t="str">
            <v>Roberto Pereira De Souza Junior</v>
          </cell>
          <cell r="B5071">
            <v>37007283</v>
          </cell>
          <cell r="C5071">
            <v>20023655</v>
          </cell>
          <cell r="D5071">
            <v>44634</v>
          </cell>
        </row>
        <row r="5072">
          <cell r="A5072" t="str">
            <v>Nilton Carlos Marciano</v>
          </cell>
          <cell r="B5072">
            <v>37007290</v>
          </cell>
          <cell r="C5072">
            <v>20023665</v>
          </cell>
          <cell r="D5072">
            <v>44634</v>
          </cell>
        </row>
        <row r="5073">
          <cell r="A5073" t="str">
            <v>Jonatan De Oliveira Machado</v>
          </cell>
          <cell r="B5073">
            <v>37007299</v>
          </cell>
          <cell r="C5073">
            <v>20023669</v>
          </cell>
          <cell r="D5073">
            <v>44634</v>
          </cell>
        </row>
        <row r="5074">
          <cell r="A5074" t="str">
            <v>Nilson De Paula Rosa Junior</v>
          </cell>
          <cell r="B5074">
            <v>37007301</v>
          </cell>
          <cell r="C5074">
            <v>20023670</v>
          </cell>
          <cell r="D5074">
            <v>44634</v>
          </cell>
        </row>
        <row r="5075">
          <cell r="A5075" t="str">
            <v>Anderson Da Silva Barbosa</v>
          </cell>
          <cell r="B5075">
            <v>37007303</v>
          </cell>
          <cell r="C5075">
            <v>20023673</v>
          </cell>
          <cell r="D5075">
            <v>44634</v>
          </cell>
        </row>
        <row r="5076">
          <cell r="A5076" t="str">
            <v>Luiz Henrique Oliveira De Proenca</v>
          </cell>
          <cell r="B5076">
            <v>37007306</v>
          </cell>
          <cell r="C5076">
            <v>20023675</v>
          </cell>
          <cell r="D5076">
            <v>44634</v>
          </cell>
        </row>
        <row r="5077">
          <cell r="A5077" t="str">
            <v>Marcos Denilso De Melo Junior</v>
          </cell>
          <cell r="B5077">
            <v>37007307</v>
          </cell>
          <cell r="C5077">
            <v>20023677</v>
          </cell>
          <cell r="D5077">
            <v>44634</v>
          </cell>
        </row>
        <row r="5078">
          <cell r="A5078" t="str">
            <v>Pedro De Souza</v>
          </cell>
          <cell r="B5078">
            <v>37007321</v>
          </cell>
          <cell r="C5078">
            <v>20023691</v>
          </cell>
          <cell r="D5078">
            <v>44634</v>
          </cell>
        </row>
        <row r="5079">
          <cell r="A5079" t="str">
            <v>Jose Maria De Souza Martins</v>
          </cell>
          <cell r="B5079">
            <v>37007326</v>
          </cell>
          <cell r="C5079">
            <v>20023695</v>
          </cell>
          <cell r="D5079">
            <v>44634</v>
          </cell>
        </row>
        <row r="5080">
          <cell r="A5080" t="str">
            <v>Rodrigo Alves Batista</v>
          </cell>
          <cell r="B5080">
            <v>37007331</v>
          </cell>
          <cell r="C5080">
            <v>20023700</v>
          </cell>
          <cell r="D5080">
            <v>44634</v>
          </cell>
        </row>
        <row r="5081">
          <cell r="A5081" t="str">
            <v>Orestes Correa Dos Santos</v>
          </cell>
          <cell r="B5081">
            <v>37007333</v>
          </cell>
          <cell r="C5081">
            <v>20023702</v>
          </cell>
          <cell r="D5081">
            <v>44634</v>
          </cell>
        </row>
        <row r="5082">
          <cell r="A5082" t="str">
            <v>Almir De Queiroz Ferreira</v>
          </cell>
          <cell r="B5082">
            <v>37007335</v>
          </cell>
          <cell r="C5082">
            <v>20023704</v>
          </cell>
          <cell r="D5082">
            <v>44634</v>
          </cell>
        </row>
        <row r="5083">
          <cell r="A5083" t="str">
            <v>Eleno Balbino Da Silva</v>
          </cell>
          <cell r="B5083">
            <v>37007337</v>
          </cell>
          <cell r="C5083">
            <v>20023707</v>
          </cell>
          <cell r="D5083">
            <v>44634</v>
          </cell>
        </row>
        <row r="5084">
          <cell r="A5084" t="str">
            <v>Edenilson Aparecido Dos Santos</v>
          </cell>
          <cell r="B5084">
            <v>37007349</v>
          </cell>
          <cell r="C5084">
            <v>20023717</v>
          </cell>
          <cell r="D5084">
            <v>44641</v>
          </cell>
        </row>
        <row r="5085">
          <cell r="A5085" t="str">
            <v>Sebastiao Batista De Freitas Filho</v>
          </cell>
          <cell r="B5085">
            <v>37007356</v>
          </cell>
          <cell r="C5085">
            <v>20023724</v>
          </cell>
          <cell r="D5085">
            <v>44641</v>
          </cell>
        </row>
        <row r="5086">
          <cell r="A5086" t="str">
            <v>Adriano Aparecido Lima De Oliveira</v>
          </cell>
          <cell r="B5086">
            <v>37007361</v>
          </cell>
          <cell r="C5086">
            <v>20023728</v>
          </cell>
          <cell r="D5086">
            <v>44641</v>
          </cell>
        </row>
        <row r="5087">
          <cell r="A5087" t="str">
            <v>Adeildo Ferreira Da Silva</v>
          </cell>
          <cell r="B5087">
            <v>37007370</v>
          </cell>
          <cell r="C5087">
            <v>20023732</v>
          </cell>
          <cell r="D5087">
            <v>44641</v>
          </cell>
        </row>
        <row r="5088">
          <cell r="A5088" t="str">
            <v>Daniel Pinheiro Junior</v>
          </cell>
          <cell r="B5088">
            <v>37007360</v>
          </cell>
          <cell r="C5088">
            <v>20023735</v>
          </cell>
          <cell r="D5088">
            <v>44641</v>
          </cell>
        </row>
        <row r="5089">
          <cell r="A5089" t="str">
            <v>Adriano Cantaluppi</v>
          </cell>
          <cell r="B5089">
            <v>37007372</v>
          </cell>
          <cell r="C5089">
            <v>20023742</v>
          </cell>
          <cell r="D5089">
            <v>44641</v>
          </cell>
        </row>
        <row r="5090">
          <cell r="A5090" t="str">
            <v>Ivanildo Balbino Da Silva</v>
          </cell>
          <cell r="B5090">
            <v>37007376</v>
          </cell>
          <cell r="C5090">
            <v>20023748</v>
          </cell>
          <cell r="D5090">
            <v>44641</v>
          </cell>
        </row>
        <row r="5091">
          <cell r="A5091" t="str">
            <v>Rogerio Aparecido Mota</v>
          </cell>
          <cell r="B5091">
            <v>37007384</v>
          </cell>
          <cell r="C5091">
            <v>20023800</v>
          </cell>
          <cell r="D5091">
            <v>44655</v>
          </cell>
        </row>
        <row r="5092">
          <cell r="A5092" t="str">
            <v>Richard Deibi Cedeno Ramirez</v>
          </cell>
          <cell r="B5092">
            <v>37007394</v>
          </cell>
          <cell r="C5092">
            <v>20023804</v>
          </cell>
          <cell r="D5092">
            <v>44655</v>
          </cell>
        </row>
        <row r="5093">
          <cell r="A5093" t="str">
            <v>Rodrigo Aparecido Pereira De Godoi</v>
          </cell>
          <cell r="B5093">
            <v>37007397</v>
          </cell>
          <cell r="C5093">
            <v>20023807</v>
          </cell>
          <cell r="D5093">
            <v>44655</v>
          </cell>
        </row>
        <row r="5094">
          <cell r="A5094" t="str">
            <v>Claudinei Luiz Vincoleto</v>
          </cell>
          <cell r="B5094">
            <v>37007386</v>
          </cell>
          <cell r="C5094">
            <v>20023808</v>
          </cell>
          <cell r="D5094">
            <v>44655</v>
          </cell>
        </row>
        <row r="5095">
          <cell r="A5095" t="str">
            <v>Pedro De Jesus Gomes Junior</v>
          </cell>
          <cell r="B5095">
            <v>37007389</v>
          </cell>
          <cell r="C5095">
            <v>20023809</v>
          </cell>
          <cell r="D5095">
            <v>44655</v>
          </cell>
        </row>
        <row r="5096">
          <cell r="A5096" t="str">
            <v>Valdiney Dos Reis</v>
          </cell>
          <cell r="B5096">
            <v>37007390</v>
          </cell>
          <cell r="C5096">
            <v>20023810</v>
          </cell>
          <cell r="D5096">
            <v>44655</v>
          </cell>
        </row>
        <row r="5097">
          <cell r="A5097" t="str">
            <v>Orcelo Lourenco Dos Santos Filho</v>
          </cell>
          <cell r="B5097">
            <v>37007388</v>
          </cell>
          <cell r="C5097">
            <v>20023811</v>
          </cell>
          <cell r="D5097">
            <v>44655</v>
          </cell>
        </row>
        <row r="5098">
          <cell r="A5098" t="str">
            <v>Ricardo Rodrigues Da Silva</v>
          </cell>
          <cell r="B5098">
            <v>37007387</v>
          </cell>
          <cell r="C5098">
            <v>20023812</v>
          </cell>
          <cell r="D5098">
            <v>44655</v>
          </cell>
        </row>
        <row r="5099">
          <cell r="A5099" t="str">
            <v>Thiago Thadeu Sperandio</v>
          </cell>
          <cell r="B5099">
            <v>37007398</v>
          </cell>
          <cell r="C5099">
            <v>20023815</v>
          </cell>
          <cell r="D5099">
            <v>44655</v>
          </cell>
        </row>
        <row r="5100">
          <cell r="A5100" t="str">
            <v>Marcio Aparecido Cavalheiro</v>
          </cell>
          <cell r="B5100">
            <v>37005502</v>
          </cell>
          <cell r="C5100">
            <v>20013549</v>
          </cell>
          <cell r="D5100">
            <v>44270</v>
          </cell>
        </row>
        <row r="5101">
          <cell r="A5101" t="str">
            <v>Jose Pereira Nunes Filho</v>
          </cell>
          <cell r="B5101">
            <v>37003984</v>
          </cell>
          <cell r="C5101">
            <v>20009409</v>
          </cell>
          <cell r="D5101">
            <v>43789</v>
          </cell>
        </row>
        <row r="5102">
          <cell r="A5102" t="str">
            <v>Elias Daniel Das Chagas</v>
          </cell>
          <cell r="B5102">
            <v>37003722</v>
          </cell>
          <cell r="C5102">
            <v>20008982</v>
          </cell>
          <cell r="D5102">
            <v>43745</v>
          </cell>
        </row>
        <row r="5103">
          <cell r="A5103" t="str">
            <v>Marco Antonio Diniz</v>
          </cell>
          <cell r="B5103">
            <v>37005285</v>
          </cell>
          <cell r="C5103">
            <v>20011107</v>
          </cell>
          <cell r="D5103">
            <v>44158</v>
          </cell>
        </row>
        <row r="5104">
          <cell r="A5104" t="str">
            <v>Adil Nivaldo Prezilius</v>
          </cell>
          <cell r="B5104">
            <v>37006529</v>
          </cell>
          <cell r="C5104">
            <v>20018121</v>
          </cell>
          <cell r="D5104">
            <v>44473</v>
          </cell>
        </row>
        <row r="5105">
          <cell r="A5105" t="str">
            <v>Jamilton Aparecido Teixeira</v>
          </cell>
          <cell r="B5105">
            <v>37003905</v>
          </cell>
          <cell r="C5105">
            <v>20009294</v>
          </cell>
          <cell r="D5105">
            <v>43770</v>
          </cell>
        </row>
        <row r="5106">
          <cell r="A5106" t="str">
            <v>Joao Carlos Belizario</v>
          </cell>
          <cell r="B5106">
            <v>37004839</v>
          </cell>
          <cell r="C5106">
            <v>20008095</v>
          </cell>
          <cell r="D5106">
            <v>44082</v>
          </cell>
        </row>
        <row r="5107">
          <cell r="A5107" t="str">
            <v>Marcos Roberto Pacheco</v>
          </cell>
          <cell r="B5107">
            <v>37003233</v>
          </cell>
          <cell r="C5107">
            <v>20009643</v>
          </cell>
          <cell r="D5107">
            <v>43619</v>
          </cell>
        </row>
        <row r="5108">
          <cell r="A5108" t="str">
            <v>Reginaldo Batista Dos Santos</v>
          </cell>
          <cell r="B5108">
            <v>37000632</v>
          </cell>
          <cell r="C5108">
            <v>20009816</v>
          </cell>
          <cell r="D5108">
            <v>39496</v>
          </cell>
        </row>
        <row r="5109">
          <cell r="A5109" t="str">
            <v>Givanildo De Oliveira Pedroza</v>
          </cell>
          <cell r="B5109">
            <v>37007411</v>
          </cell>
          <cell r="C5109">
            <v>20025447</v>
          </cell>
          <cell r="D5109">
            <v>44655</v>
          </cell>
        </row>
        <row r="5110">
          <cell r="A5110" t="str">
            <v>Edwar Ramon Lascano Serrano</v>
          </cell>
          <cell r="B5110">
            <v>37007130</v>
          </cell>
          <cell r="C5110">
            <v>20025422</v>
          </cell>
          <cell r="D5110">
            <v>44599</v>
          </cell>
        </row>
        <row r="5111">
          <cell r="A5111" t="str">
            <v>Sergio Antonio Rosa</v>
          </cell>
          <cell r="B5111">
            <v>37007402</v>
          </cell>
          <cell r="C5111">
            <v>20025433</v>
          </cell>
          <cell r="D5111">
            <v>44655</v>
          </cell>
        </row>
        <row r="5112">
          <cell r="A5112" t="str">
            <v>Rosemil Pires Cabral</v>
          </cell>
          <cell r="B5112">
            <v>37007403</v>
          </cell>
          <cell r="C5112">
            <v>20025436</v>
          </cell>
          <cell r="D5112">
            <v>44655</v>
          </cell>
        </row>
        <row r="5113">
          <cell r="A5113" t="str">
            <v>Flavio Loschiavo Bittencourt</v>
          </cell>
          <cell r="B5113">
            <v>37007412</v>
          </cell>
          <cell r="C5113">
            <v>20025450</v>
          </cell>
          <cell r="D5113">
            <v>44655</v>
          </cell>
        </row>
        <row r="5114">
          <cell r="A5114" t="str">
            <v>Giovani Simoni</v>
          </cell>
          <cell r="B5114">
            <v>37007413</v>
          </cell>
          <cell r="C5114">
            <v>20025451</v>
          </cell>
          <cell r="D5114">
            <v>44657</v>
          </cell>
        </row>
        <row r="5115">
          <cell r="A5115" t="str">
            <v>Rodrigo De Souza Monteiro</v>
          </cell>
          <cell r="B5115">
            <v>37007432</v>
          </cell>
          <cell r="C5115">
            <v>20025478</v>
          </cell>
          <cell r="D5115">
            <v>44662</v>
          </cell>
        </row>
        <row r="5116">
          <cell r="A5116" t="str">
            <v>Marcos Roberto De Freitas</v>
          </cell>
          <cell r="B5116">
            <v>37007433</v>
          </cell>
          <cell r="C5116">
            <v>20025479</v>
          </cell>
          <cell r="D5116">
            <v>44662</v>
          </cell>
        </row>
        <row r="5117">
          <cell r="A5117" t="str">
            <v>Cleber Aparecido Queiroz</v>
          </cell>
          <cell r="B5117">
            <v>37007434</v>
          </cell>
          <cell r="C5117">
            <v>20025481</v>
          </cell>
          <cell r="D5117">
            <v>44662</v>
          </cell>
        </row>
        <row r="5118">
          <cell r="A5118" t="str">
            <v>Osmar Da Conceicao</v>
          </cell>
          <cell r="B5118">
            <v>37007435</v>
          </cell>
          <cell r="C5118">
            <v>20025487</v>
          </cell>
          <cell r="D5118">
            <v>44662</v>
          </cell>
        </row>
        <row r="5119">
          <cell r="A5119" t="str">
            <v>Sidnei Carmo Oliveira</v>
          </cell>
          <cell r="B5119">
            <v>37007443</v>
          </cell>
          <cell r="C5119">
            <v>20025497</v>
          </cell>
          <cell r="D5119">
            <v>44662</v>
          </cell>
        </row>
        <row r="5120">
          <cell r="A5120" t="str">
            <v>Laercio Da Silva Cardoso</v>
          </cell>
          <cell r="B5120">
            <v>37007446</v>
          </cell>
          <cell r="C5120">
            <v>20025500</v>
          </cell>
          <cell r="D5120">
            <v>44662</v>
          </cell>
        </row>
        <row r="5121">
          <cell r="A5121" t="str">
            <v>Juan Carlos Serrano Ramirez</v>
          </cell>
          <cell r="B5121">
            <v>37007456</v>
          </cell>
          <cell r="C5121">
            <v>20025517</v>
          </cell>
          <cell r="D5121">
            <v>44669</v>
          </cell>
        </row>
        <row r="5122">
          <cell r="A5122" t="str">
            <v>Marco Antonio Ribeiro Ramos</v>
          </cell>
          <cell r="B5122">
            <v>37007463</v>
          </cell>
          <cell r="C5122">
            <v>20025525</v>
          </cell>
          <cell r="D5122">
            <v>44669</v>
          </cell>
        </row>
        <row r="5123">
          <cell r="A5123" t="str">
            <v>Luan Barbosa Delfino</v>
          </cell>
          <cell r="B5123">
            <v>37007466</v>
          </cell>
          <cell r="C5123">
            <v>20025529</v>
          </cell>
          <cell r="D5123">
            <v>44669</v>
          </cell>
        </row>
        <row r="5124">
          <cell r="A5124" t="str">
            <v>Raquel Goncalves Moura</v>
          </cell>
          <cell r="B5124">
            <v>37007468</v>
          </cell>
          <cell r="C5124">
            <v>20025533</v>
          </cell>
          <cell r="D5124">
            <v>44669</v>
          </cell>
        </row>
        <row r="5125">
          <cell r="A5125" t="str">
            <v>Osvaldo Pereira Dos Santos</v>
          </cell>
          <cell r="B5125">
            <v>37007474</v>
          </cell>
          <cell r="C5125">
            <v>20025541</v>
          </cell>
          <cell r="D5125">
            <v>44669</v>
          </cell>
        </row>
        <row r="5126">
          <cell r="A5126" t="str">
            <v>Marcos Paulo De Lima Silva</v>
          </cell>
          <cell r="B5126">
            <v>37007478</v>
          </cell>
          <cell r="C5126">
            <v>20025548</v>
          </cell>
          <cell r="D5126">
            <v>44669</v>
          </cell>
        </row>
        <row r="5127">
          <cell r="A5127" t="str">
            <v>Milton Costa Garcia</v>
          </cell>
          <cell r="B5127">
            <v>37007479</v>
          </cell>
          <cell r="C5127">
            <v>20025551</v>
          </cell>
          <cell r="D5127">
            <v>44669</v>
          </cell>
        </row>
        <row r="5128">
          <cell r="A5128" t="str">
            <v>Vinicius Aparecido Bronzatti</v>
          </cell>
          <cell r="B5128">
            <v>37007482</v>
          </cell>
          <cell r="C5128">
            <v>20025553</v>
          </cell>
          <cell r="D5128">
            <v>44669</v>
          </cell>
        </row>
        <row r="5129">
          <cell r="A5129" t="str">
            <v>Douglas Felix Bastos</v>
          </cell>
          <cell r="B5129">
            <v>37007484</v>
          </cell>
          <cell r="C5129">
            <v>20025558</v>
          </cell>
          <cell r="D5129">
            <v>44669</v>
          </cell>
        </row>
        <row r="5130">
          <cell r="A5130" t="str">
            <v>Thiago Freitas De Mendonca</v>
          </cell>
          <cell r="B5130">
            <v>37007485</v>
          </cell>
          <cell r="C5130">
            <v>20025560</v>
          </cell>
          <cell r="D5130">
            <v>44669</v>
          </cell>
        </row>
        <row r="5131">
          <cell r="A5131" t="str">
            <v>Luciano Jose Da Silva</v>
          </cell>
          <cell r="B5131">
            <v>37007490</v>
          </cell>
          <cell r="C5131">
            <v>20025566</v>
          </cell>
          <cell r="D5131">
            <v>44669</v>
          </cell>
        </row>
        <row r="5132">
          <cell r="A5132" t="str">
            <v>Pedro Francisco Da Silva Filho</v>
          </cell>
          <cell r="B5132">
            <v>37007499</v>
          </cell>
          <cell r="C5132">
            <v>20025582</v>
          </cell>
          <cell r="D5132">
            <v>44669</v>
          </cell>
        </row>
        <row r="5133">
          <cell r="A5133" t="str">
            <v>Adalberto Donizete Pereira</v>
          </cell>
          <cell r="B5133">
            <v>37007500</v>
          </cell>
          <cell r="C5133">
            <v>20025583</v>
          </cell>
          <cell r="D5133">
            <v>44669</v>
          </cell>
        </row>
        <row r="5134">
          <cell r="A5134" t="str">
            <v>Daniel Dos Santos Rodrigues</v>
          </cell>
          <cell r="B5134">
            <v>37007502</v>
          </cell>
          <cell r="C5134">
            <v>20025586</v>
          </cell>
          <cell r="D5134">
            <v>44669</v>
          </cell>
        </row>
        <row r="5135">
          <cell r="A5135" t="str">
            <v>Felipe Andrigo Romani</v>
          </cell>
          <cell r="B5135">
            <v>37007504</v>
          </cell>
          <cell r="C5135">
            <v>20025591</v>
          </cell>
          <cell r="D5135">
            <v>44669</v>
          </cell>
        </row>
        <row r="5136">
          <cell r="A5136" t="str">
            <v>Igor Rogerio Ribeiro Telles</v>
          </cell>
          <cell r="B5136">
            <v>37007506</v>
          </cell>
          <cell r="C5136">
            <v>20025593</v>
          </cell>
          <cell r="D5136">
            <v>44669</v>
          </cell>
        </row>
        <row r="5137">
          <cell r="A5137" t="str">
            <v>Jefferson De Souza Soares</v>
          </cell>
          <cell r="B5137">
            <v>37007516</v>
          </cell>
          <cell r="C5137">
            <v>20025614</v>
          </cell>
          <cell r="D5137">
            <v>44683</v>
          </cell>
        </row>
        <row r="5138">
          <cell r="A5138" t="str">
            <v>Ronaldo Paulino Dos Santos</v>
          </cell>
          <cell r="B5138">
            <v>37007618</v>
          </cell>
          <cell r="C5138">
            <v>20025616</v>
          </cell>
          <cell r="D5138">
            <v>44683</v>
          </cell>
        </row>
        <row r="5139">
          <cell r="A5139" t="str">
            <v>Jose Jackson Mendes Brito</v>
          </cell>
          <cell r="B5139">
            <v>37007623</v>
          </cell>
          <cell r="C5139">
            <v>20025620</v>
          </cell>
          <cell r="D5139">
            <v>44683</v>
          </cell>
        </row>
        <row r="5140">
          <cell r="A5140" t="str">
            <v>Antonio Carlos De Lima</v>
          </cell>
          <cell r="B5140">
            <v>37007625</v>
          </cell>
          <cell r="C5140">
            <v>20025625</v>
          </cell>
          <cell r="D5140">
            <v>44683</v>
          </cell>
        </row>
        <row r="5141">
          <cell r="A5141" t="str">
            <v>Alex Junior Pereira</v>
          </cell>
          <cell r="B5141">
            <v>37007670</v>
          </cell>
          <cell r="C5141">
            <v>20025708</v>
          </cell>
          <cell r="D5141">
            <v>44690</v>
          </cell>
        </row>
        <row r="5142">
          <cell r="A5142" t="str">
            <v>Everton Elias Leme</v>
          </cell>
          <cell r="B5142">
            <v>37007686</v>
          </cell>
          <cell r="C5142">
            <v>20025733</v>
          </cell>
          <cell r="D5142">
            <v>44690</v>
          </cell>
        </row>
        <row r="5143">
          <cell r="A5143" t="str">
            <v>Adilson Rodrigues Basto</v>
          </cell>
          <cell r="B5143">
            <v>37007654</v>
          </cell>
          <cell r="C5143">
            <v>20025666</v>
          </cell>
          <cell r="D5143">
            <v>44683</v>
          </cell>
        </row>
        <row r="5144">
          <cell r="A5144" t="str">
            <v>Luiz Carlos Vieira Taja</v>
          </cell>
          <cell r="B5144">
            <v>37007638</v>
          </cell>
          <cell r="C5144">
            <v>20025675</v>
          </cell>
          <cell r="D5144">
            <v>44683</v>
          </cell>
        </row>
        <row r="5145">
          <cell r="A5145" t="str">
            <v>Vilson Roberto Pires</v>
          </cell>
          <cell r="B5145">
            <v>37007617</v>
          </cell>
          <cell r="C5145">
            <v>20025691</v>
          </cell>
          <cell r="D5145">
            <v>44683</v>
          </cell>
        </row>
        <row r="5146">
          <cell r="A5146" t="str">
            <v>Danilo De Melo Oliveira</v>
          </cell>
          <cell r="B5146">
            <v>37007664</v>
          </cell>
          <cell r="C5146">
            <v>20025699</v>
          </cell>
          <cell r="D5146">
            <v>44690</v>
          </cell>
        </row>
        <row r="5147">
          <cell r="A5147" t="str">
            <v>Reginaldo Antonio Dos Santos Bertula</v>
          </cell>
          <cell r="B5147">
            <v>37007667</v>
          </cell>
          <cell r="C5147">
            <v>20025704</v>
          </cell>
          <cell r="D5147">
            <v>44690</v>
          </cell>
        </row>
        <row r="5148">
          <cell r="A5148" t="str">
            <v>Cristiano Jose Dos Santos</v>
          </cell>
          <cell r="B5148">
            <v>37007672</v>
          </cell>
          <cell r="C5148">
            <v>20025711</v>
          </cell>
          <cell r="D5148">
            <v>44690</v>
          </cell>
        </row>
        <row r="5149">
          <cell r="A5149" t="str">
            <v>Jose Aldeni Oliveira Da Silva</v>
          </cell>
          <cell r="B5149">
            <v>37007681</v>
          </cell>
          <cell r="C5149">
            <v>20025721</v>
          </cell>
          <cell r="D5149">
            <v>44690</v>
          </cell>
        </row>
        <row r="5150">
          <cell r="A5150" t="str">
            <v>Kailani Gois Pelegrim</v>
          </cell>
          <cell r="B5150">
            <v>37007679</v>
          </cell>
          <cell r="C5150">
            <v>20025728</v>
          </cell>
          <cell r="D5150">
            <v>44690</v>
          </cell>
        </row>
        <row r="5151">
          <cell r="A5151" t="str">
            <v>Adriano De Andrade Barros</v>
          </cell>
          <cell r="B5151">
            <v>37007690</v>
          </cell>
          <cell r="C5151">
            <v>20025743</v>
          </cell>
          <cell r="D5151">
            <v>44690</v>
          </cell>
        </row>
        <row r="5152">
          <cell r="A5152" t="str">
            <v>Eliel Gomes De Freitas</v>
          </cell>
          <cell r="B5152">
            <v>37007691</v>
          </cell>
          <cell r="C5152">
            <v>20025747</v>
          </cell>
          <cell r="D5152">
            <v>44690</v>
          </cell>
        </row>
        <row r="5153">
          <cell r="A5153" t="str">
            <v>Rafael Dos Santos</v>
          </cell>
          <cell r="B5153">
            <v>37007692</v>
          </cell>
          <cell r="C5153">
            <v>20025748</v>
          </cell>
          <cell r="D5153">
            <v>44690</v>
          </cell>
        </row>
        <row r="5154">
          <cell r="A5154" t="str">
            <v>Marcos Lourencio De Souza</v>
          </cell>
          <cell r="B5154">
            <v>37007693</v>
          </cell>
          <cell r="C5154">
            <v>20025750</v>
          </cell>
          <cell r="D5154">
            <v>44690</v>
          </cell>
        </row>
        <row r="5155">
          <cell r="A5155" t="str">
            <v>Leonardo Castro Gomes Cardoso</v>
          </cell>
          <cell r="B5155">
            <v>37007697</v>
          </cell>
          <cell r="C5155">
            <v>20025760</v>
          </cell>
          <cell r="D5155">
            <v>44690</v>
          </cell>
        </row>
        <row r="5156">
          <cell r="A5156" t="str">
            <v>Francisco Antonio Machado Junior</v>
          </cell>
          <cell r="B5156">
            <v>37007702</v>
          </cell>
          <cell r="C5156">
            <v>20025764</v>
          </cell>
          <cell r="D5156">
            <v>44690</v>
          </cell>
        </row>
        <row r="5157">
          <cell r="A5157" t="str">
            <v>Everton Aparecido Zanon</v>
          </cell>
          <cell r="B5157">
            <v>37007706</v>
          </cell>
          <cell r="C5157">
            <v>20025772</v>
          </cell>
          <cell r="D5157">
            <v>44690</v>
          </cell>
        </row>
        <row r="5158">
          <cell r="A5158" t="str">
            <v>Claudemir Mendonca</v>
          </cell>
          <cell r="B5158">
            <v>37007720</v>
          </cell>
          <cell r="C5158">
            <v>20025800</v>
          </cell>
          <cell r="D5158">
            <v>44690</v>
          </cell>
        </row>
        <row r="5159">
          <cell r="A5159" t="str">
            <v>Alexandre Henrique Pedro Da Silva</v>
          </cell>
          <cell r="B5159">
            <v>37007735</v>
          </cell>
          <cell r="C5159">
            <v>20025819</v>
          </cell>
          <cell r="D5159">
            <v>44697</v>
          </cell>
        </row>
        <row r="5160">
          <cell r="A5160" t="str">
            <v>Luiz Fernandes Budek De Souza</v>
          </cell>
          <cell r="B5160">
            <v>37007738</v>
          </cell>
          <cell r="C5160">
            <v>20025822</v>
          </cell>
          <cell r="D5160">
            <v>44697</v>
          </cell>
        </row>
        <row r="5161">
          <cell r="A5161" t="str">
            <v>Lara De Almeida Calvo</v>
          </cell>
          <cell r="B5161">
            <v>37007737</v>
          </cell>
          <cell r="C5161">
            <v>20025824</v>
          </cell>
          <cell r="D5161">
            <v>44697</v>
          </cell>
        </row>
        <row r="5162">
          <cell r="A5162" t="str">
            <v>Marcio Silveira Bello Pereira</v>
          </cell>
          <cell r="B5162">
            <v>37007747</v>
          </cell>
          <cell r="C5162">
            <v>20025838</v>
          </cell>
          <cell r="D5162">
            <v>44697</v>
          </cell>
        </row>
        <row r="5163">
          <cell r="A5163" t="str">
            <v>Fernando Rangel Da Silva</v>
          </cell>
          <cell r="B5163">
            <v>37007748</v>
          </cell>
          <cell r="C5163">
            <v>20025840</v>
          </cell>
          <cell r="D5163">
            <v>44697</v>
          </cell>
        </row>
        <row r="5164">
          <cell r="A5164" t="str">
            <v>Glauco Jose De Moraes</v>
          </cell>
          <cell r="B5164">
            <v>37007763</v>
          </cell>
          <cell r="C5164">
            <v>20025936</v>
          </cell>
          <cell r="D5164">
            <v>44704</v>
          </cell>
        </row>
        <row r="5165">
          <cell r="A5165" t="str">
            <v>Cicero De Oliveira Vieira</v>
          </cell>
          <cell r="B5165">
            <v>37008038</v>
          </cell>
          <cell r="C5165">
            <v>20025941</v>
          </cell>
          <cell r="D5165">
            <v>44713</v>
          </cell>
        </row>
        <row r="5166">
          <cell r="A5166" t="str">
            <v>Jose Roberto De Lima</v>
          </cell>
          <cell r="B5166">
            <v>37007818</v>
          </cell>
          <cell r="C5166">
            <v>20025960</v>
          </cell>
          <cell r="D5166">
            <v>44704</v>
          </cell>
        </row>
        <row r="5167">
          <cell r="A5167" t="str">
            <v>Jose Hilton Da Conceicao Dos Santos</v>
          </cell>
          <cell r="B5167">
            <v>37008000</v>
          </cell>
          <cell r="C5167">
            <v>20025970</v>
          </cell>
          <cell r="D5167">
            <v>44713</v>
          </cell>
        </row>
        <row r="5168">
          <cell r="A5168" t="str">
            <v>Taina Karina Pereira</v>
          </cell>
          <cell r="B5168">
            <v>37007806</v>
          </cell>
          <cell r="C5168">
            <v>20025985</v>
          </cell>
          <cell r="D5168">
            <v>44704</v>
          </cell>
        </row>
        <row r="5169">
          <cell r="A5169" t="str">
            <v>Valeria Paula Martins</v>
          </cell>
          <cell r="B5169">
            <v>37007981</v>
          </cell>
          <cell r="C5169">
            <v>20026017</v>
          </cell>
          <cell r="D5169">
            <v>44713</v>
          </cell>
        </row>
        <row r="5170">
          <cell r="A5170" t="str">
            <v>Wilson Juliano Ferreira Da Luz Plinta</v>
          </cell>
          <cell r="B5170">
            <v>37007773</v>
          </cell>
          <cell r="C5170">
            <v>20026018</v>
          </cell>
          <cell r="D5170">
            <v>44704</v>
          </cell>
        </row>
        <row r="5171">
          <cell r="A5171" t="str">
            <v>Rafael Verissimo Senario</v>
          </cell>
          <cell r="B5171">
            <v>37008035</v>
          </cell>
          <cell r="C5171">
            <v>20026019</v>
          </cell>
          <cell r="D5171">
            <v>44713</v>
          </cell>
        </row>
        <row r="5172">
          <cell r="A5172" t="str">
            <v>Luiz Carlos Kodrai</v>
          </cell>
          <cell r="B5172">
            <v>37007963</v>
          </cell>
          <cell r="C5172">
            <v>20026028</v>
          </cell>
          <cell r="D5172">
            <v>44713</v>
          </cell>
        </row>
        <row r="5173">
          <cell r="A5173" t="str">
            <v>Lucas Elias Dos Santos</v>
          </cell>
          <cell r="B5173">
            <v>37007990</v>
          </cell>
          <cell r="C5173">
            <v>20026029</v>
          </cell>
          <cell r="D5173">
            <v>44713</v>
          </cell>
        </row>
        <row r="5174">
          <cell r="A5174" t="str">
            <v>Edenir Batista De Araujo</v>
          </cell>
          <cell r="B5174">
            <v>37008009</v>
          </cell>
          <cell r="C5174">
            <v>20026031</v>
          </cell>
          <cell r="D5174">
            <v>44713</v>
          </cell>
        </row>
        <row r="5175">
          <cell r="A5175" t="str">
            <v>Danilo Jose Barbirato</v>
          </cell>
          <cell r="B5175">
            <v>37008008</v>
          </cell>
          <cell r="C5175">
            <v>20026033</v>
          </cell>
          <cell r="D5175">
            <v>44713</v>
          </cell>
        </row>
        <row r="5176">
          <cell r="A5176" t="str">
            <v>Joao Vitor Maldonado</v>
          </cell>
          <cell r="B5176">
            <v>37008012</v>
          </cell>
          <cell r="C5176">
            <v>20026034</v>
          </cell>
          <cell r="D5176">
            <v>44713</v>
          </cell>
        </row>
        <row r="5177">
          <cell r="A5177" t="str">
            <v>Odair Jose Da Silva</v>
          </cell>
          <cell r="B5177">
            <v>37008054</v>
          </cell>
          <cell r="C5177">
            <v>20026035</v>
          </cell>
          <cell r="D5177">
            <v>44713</v>
          </cell>
        </row>
        <row r="5178">
          <cell r="A5178" t="str">
            <v>Jorge De Souza Bezerra</v>
          </cell>
          <cell r="B5178">
            <v>37008014</v>
          </cell>
          <cell r="C5178">
            <v>20026037</v>
          </cell>
          <cell r="D5178">
            <v>44713</v>
          </cell>
        </row>
        <row r="5179">
          <cell r="A5179" t="str">
            <v>Acacio Damazio</v>
          </cell>
          <cell r="B5179">
            <v>37008020</v>
          </cell>
          <cell r="C5179">
            <v>20026063</v>
          </cell>
          <cell r="D5179">
            <v>44713</v>
          </cell>
        </row>
        <row r="5180">
          <cell r="A5180" t="str">
            <v>Moises Dos Santos Oliveira Balieiro</v>
          </cell>
          <cell r="B5180">
            <v>37008071</v>
          </cell>
          <cell r="C5180">
            <v>20026065</v>
          </cell>
          <cell r="D5180">
            <v>44713</v>
          </cell>
        </row>
        <row r="5181">
          <cell r="A5181" t="str">
            <v>Vagner De Almeida Moraes</v>
          </cell>
          <cell r="B5181">
            <v>37008026</v>
          </cell>
          <cell r="C5181">
            <v>20026067</v>
          </cell>
          <cell r="D5181">
            <v>44713</v>
          </cell>
        </row>
        <row r="5182">
          <cell r="A5182" t="str">
            <v>Kairon De Albuquerque Carvalho</v>
          </cell>
          <cell r="B5182">
            <v>37007791</v>
          </cell>
          <cell r="C5182">
            <v>20026073</v>
          </cell>
          <cell r="D5182">
            <v>44704</v>
          </cell>
        </row>
        <row r="5183">
          <cell r="A5183" t="str">
            <v>Jefferson Saraiva</v>
          </cell>
          <cell r="B5183">
            <v>37007949</v>
          </cell>
          <cell r="C5183">
            <v>20026076</v>
          </cell>
          <cell r="D5183">
            <v>44713</v>
          </cell>
        </row>
        <row r="5184">
          <cell r="A5184" t="str">
            <v>Vinicius Malaquias</v>
          </cell>
          <cell r="B5184">
            <v>37007954</v>
          </cell>
          <cell r="C5184">
            <v>20026077</v>
          </cell>
          <cell r="D5184">
            <v>44713</v>
          </cell>
        </row>
        <row r="5185">
          <cell r="A5185" t="str">
            <v>Alessandro Leandro Cardoso</v>
          </cell>
          <cell r="B5185">
            <v>37008004</v>
          </cell>
          <cell r="C5185">
            <v>20026080</v>
          </cell>
          <cell r="D5185">
            <v>44713</v>
          </cell>
        </row>
        <row r="5186">
          <cell r="A5186" t="str">
            <v>Leonardo Jose Pereira Bicudo</v>
          </cell>
          <cell r="B5186">
            <v>37008028</v>
          </cell>
          <cell r="C5186">
            <v>20026084</v>
          </cell>
          <cell r="D5186">
            <v>44713</v>
          </cell>
        </row>
        <row r="5187">
          <cell r="A5187" t="str">
            <v>Alex Leone Valensoela</v>
          </cell>
          <cell r="B5187">
            <v>37008017</v>
          </cell>
          <cell r="C5187">
            <v>20026085</v>
          </cell>
          <cell r="D5187">
            <v>44713</v>
          </cell>
        </row>
        <row r="5188">
          <cell r="A5188" t="str">
            <v>Jose Antonio Barbosa</v>
          </cell>
          <cell r="B5188">
            <v>37008068</v>
          </cell>
          <cell r="C5188">
            <v>20026089</v>
          </cell>
          <cell r="D5188">
            <v>44713</v>
          </cell>
        </row>
        <row r="5189">
          <cell r="A5189" t="str">
            <v>Ariosmar Damaceno Sobrinho</v>
          </cell>
          <cell r="B5189">
            <v>37008032</v>
          </cell>
          <cell r="C5189">
            <v>20026096</v>
          </cell>
          <cell r="D5189">
            <v>44713</v>
          </cell>
        </row>
        <row r="5190">
          <cell r="A5190" t="str">
            <v>Fabio Campos Kaizer</v>
          </cell>
          <cell r="B5190">
            <v>37007940</v>
          </cell>
          <cell r="C5190">
            <v>20026098</v>
          </cell>
          <cell r="D5190">
            <v>44713</v>
          </cell>
        </row>
        <row r="5191">
          <cell r="A5191" t="str">
            <v>Isabela Paes Ribeiro</v>
          </cell>
          <cell r="B5191">
            <v>37008043</v>
          </cell>
          <cell r="C5191">
            <v>20026106</v>
          </cell>
          <cell r="D5191">
            <v>44713</v>
          </cell>
        </row>
        <row r="5192">
          <cell r="A5192" t="str">
            <v>Ernando Santos De Jesus</v>
          </cell>
          <cell r="B5192">
            <v>37007759</v>
          </cell>
          <cell r="C5192">
            <v>20026110</v>
          </cell>
          <cell r="D5192">
            <v>44704</v>
          </cell>
        </row>
        <row r="5193">
          <cell r="A5193" t="str">
            <v>Helder Antonio Cordeiro De Oliveira</v>
          </cell>
          <cell r="B5193">
            <v>37007760</v>
          </cell>
          <cell r="C5193">
            <v>20026111</v>
          </cell>
          <cell r="D5193">
            <v>44704</v>
          </cell>
        </row>
        <row r="5194">
          <cell r="A5194" t="str">
            <v>Matheus Henrique Dos Santos</v>
          </cell>
          <cell r="B5194">
            <v>37007761</v>
          </cell>
          <cell r="C5194">
            <v>20026112</v>
          </cell>
          <cell r="D5194">
            <v>44704</v>
          </cell>
        </row>
        <row r="5195">
          <cell r="A5195" t="str">
            <v>Mateus Gabriel De Felicio E Carvalho</v>
          </cell>
          <cell r="B5195">
            <v>37007766</v>
          </cell>
          <cell r="C5195">
            <v>20026114</v>
          </cell>
          <cell r="D5195">
            <v>44704</v>
          </cell>
        </row>
        <row r="5196">
          <cell r="A5196" t="str">
            <v>Luis Henrique Leriano De Souza</v>
          </cell>
          <cell r="B5196">
            <v>37007767</v>
          </cell>
          <cell r="C5196">
            <v>20026115</v>
          </cell>
          <cell r="D5196">
            <v>44704</v>
          </cell>
        </row>
        <row r="5197">
          <cell r="A5197" t="str">
            <v>Genilson Araujo Dos Santos Reis</v>
          </cell>
          <cell r="B5197">
            <v>37007768</v>
          </cell>
          <cell r="C5197">
            <v>20026116</v>
          </cell>
          <cell r="D5197">
            <v>44704</v>
          </cell>
        </row>
        <row r="5198">
          <cell r="A5198" t="str">
            <v>Valdeci Elias Da Silva</v>
          </cell>
          <cell r="B5198">
            <v>37007783</v>
          </cell>
          <cell r="C5198">
            <v>20026118</v>
          </cell>
          <cell r="D5198">
            <v>44704</v>
          </cell>
        </row>
        <row r="5199">
          <cell r="A5199" t="str">
            <v>Wesley Neris Santana Da Silva Neves</v>
          </cell>
          <cell r="B5199">
            <v>37007811</v>
          </cell>
          <cell r="C5199">
            <v>20026121</v>
          </cell>
          <cell r="D5199">
            <v>44704</v>
          </cell>
        </row>
        <row r="5200">
          <cell r="A5200" t="str">
            <v>Janiel Barbosa Dos Santos</v>
          </cell>
          <cell r="B5200">
            <v>37007814</v>
          </cell>
          <cell r="C5200">
            <v>20026122</v>
          </cell>
          <cell r="D5200">
            <v>44704</v>
          </cell>
        </row>
        <row r="5201">
          <cell r="A5201" t="str">
            <v>Kauan Peterson Dos Santos Da Silva</v>
          </cell>
          <cell r="B5201">
            <v>37007833</v>
          </cell>
          <cell r="C5201">
            <v>20026124</v>
          </cell>
          <cell r="D5201">
            <v>44704</v>
          </cell>
        </row>
        <row r="5202">
          <cell r="A5202" t="str">
            <v>Carlos Roberto Da Silva</v>
          </cell>
          <cell r="B5202">
            <v>37007946</v>
          </cell>
          <cell r="C5202">
            <v>20026125</v>
          </cell>
          <cell r="D5202">
            <v>44713</v>
          </cell>
        </row>
        <row r="5203">
          <cell r="A5203" t="str">
            <v>Jonathan Henrique De Lima Aranha</v>
          </cell>
          <cell r="B5203">
            <v>37007985</v>
          </cell>
          <cell r="C5203">
            <v>20026130</v>
          </cell>
          <cell r="D5203">
            <v>44713</v>
          </cell>
        </row>
        <row r="5204">
          <cell r="A5204" t="str">
            <v>Luciano Zangari Prandi Junior</v>
          </cell>
          <cell r="B5204">
            <v>37008046</v>
          </cell>
          <cell r="C5204">
            <v>20026132</v>
          </cell>
          <cell r="D5204">
            <v>44713</v>
          </cell>
        </row>
        <row r="5205">
          <cell r="A5205" t="str">
            <v>Fernando Carreira Stafussi</v>
          </cell>
          <cell r="B5205">
            <v>37008034</v>
          </cell>
          <cell r="C5205">
            <v>20026133</v>
          </cell>
          <cell r="D5205">
            <v>44713</v>
          </cell>
        </row>
        <row r="5206">
          <cell r="A5206" t="str">
            <v>Carlos Roberto De Carvalho Neto</v>
          </cell>
          <cell r="B5206">
            <v>37007782</v>
          </cell>
          <cell r="C5206">
            <v>20026136</v>
          </cell>
          <cell r="D5206">
            <v>44704</v>
          </cell>
        </row>
        <row r="5207">
          <cell r="A5207" t="str">
            <v>Ivan Jose Alves</v>
          </cell>
          <cell r="B5207">
            <v>37007809</v>
          </cell>
          <cell r="C5207">
            <v>20026138</v>
          </cell>
          <cell r="D5207">
            <v>44704</v>
          </cell>
        </row>
        <row r="5208">
          <cell r="A5208" t="str">
            <v>Clayton Rodrigo Venancio De Freitas</v>
          </cell>
          <cell r="B5208">
            <v>37007812</v>
          </cell>
          <cell r="C5208">
            <v>20026142</v>
          </cell>
          <cell r="D5208">
            <v>44704</v>
          </cell>
        </row>
        <row r="5209">
          <cell r="A5209" t="str">
            <v>Lucas Soares De Almeida Sanqueti</v>
          </cell>
          <cell r="B5209">
            <v>37007830</v>
          </cell>
          <cell r="C5209">
            <v>20026144</v>
          </cell>
          <cell r="D5209">
            <v>44704</v>
          </cell>
        </row>
        <row r="5210">
          <cell r="A5210" t="str">
            <v>Henrique Crepaldi Fodra</v>
          </cell>
          <cell r="B5210">
            <v>37007952</v>
          </cell>
          <cell r="C5210">
            <v>20026145</v>
          </cell>
          <cell r="D5210">
            <v>44713</v>
          </cell>
        </row>
        <row r="5211">
          <cell r="A5211" t="str">
            <v>Leonardo Lima Aranha</v>
          </cell>
          <cell r="B5211">
            <v>37007955</v>
          </cell>
          <cell r="C5211">
            <v>20026146</v>
          </cell>
          <cell r="D5211">
            <v>44713</v>
          </cell>
        </row>
        <row r="5212">
          <cell r="A5212" t="str">
            <v>Guilherme Gaschlez De Lima</v>
          </cell>
          <cell r="B5212">
            <v>37007960</v>
          </cell>
          <cell r="C5212">
            <v>20026147</v>
          </cell>
          <cell r="D5212">
            <v>44713</v>
          </cell>
        </row>
        <row r="5213">
          <cell r="A5213" t="str">
            <v>Newton Aparecido Camargo</v>
          </cell>
          <cell r="B5213">
            <v>37007967</v>
          </cell>
          <cell r="C5213">
            <v>20026148</v>
          </cell>
          <cell r="D5213">
            <v>44713</v>
          </cell>
        </row>
        <row r="5214">
          <cell r="A5214" t="str">
            <v>Lucas Fernando Rodrigues</v>
          </cell>
          <cell r="B5214">
            <v>37007989</v>
          </cell>
          <cell r="C5214">
            <v>20026151</v>
          </cell>
          <cell r="D5214">
            <v>44713</v>
          </cell>
        </row>
        <row r="5215">
          <cell r="A5215" t="str">
            <v>Willian Rodrigo Pires Santos</v>
          </cell>
          <cell r="B5215">
            <v>37008019</v>
          </cell>
          <cell r="C5215">
            <v>20026152</v>
          </cell>
          <cell r="D5215">
            <v>44713</v>
          </cell>
        </row>
        <row r="5216">
          <cell r="A5216" t="str">
            <v>Tiago Henrique Milla</v>
          </cell>
          <cell r="B5216">
            <v>37008023</v>
          </cell>
          <cell r="C5216">
            <v>20026153</v>
          </cell>
          <cell r="D5216">
            <v>44713</v>
          </cell>
        </row>
        <row r="5217">
          <cell r="A5217" t="str">
            <v>Aldo Pereira Steker</v>
          </cell>
          <cell r="B5217">
            <v>37008053</v>
          </cell>
          <cell r="C5217">
            <v>20026154</v>
          </cell>
          <cell r="D5217">
            <v>44713</v>
          </cell>
        </row>
        <row r="5218">
          <cell r="A5218" t="str">
            <v>Leandro Nunes De Oliveira</v>
          </cell>
          <cell r="B5218">
            <v>37008059</v>
          </cell>
          <cell r="C5218">
            <v>20026155</v>
          </cell>
          <cell r="D5218">
            <v>44713</v>
          </cell>
        </row>
        <row r="5219">
          <cell r="A5219" t="str">
            <v>Thamiris Borges Da Silva</v>
          </cell>
          <cell r="B5219">
            <v>37007921</v>
          </cell>
          <cell r="C5219">
            <v>20026158</v>
          </cell>
          <cell r="D5219">
            <v>44704</v>
          </cell>
        </row>
        <row r="5220">
          <cell r="A5220" t="str">
            <v>Belsazar Silva Da Cunha</v>
          </cell>
          <cell r="B5220">
            <v>37007800</v>
          </cell>
          <cell r="C5220">
            <v>20026159</v>
          </cell>
          <cell r="D5220">
            <v>44704</v>
          </cell>
        </row>
        <row r="5221">
          <cell r="A5221" t="str">
            <v>Diego Tavares</v>
          </cell>
          <cell r="B5221">
            <v>37007943</v>
          </cell>
          <cell r="C5221">
            <v>20026174</v>
          </cell>
          <cell r="D5221">
            <v>44713</v>
          </cell>
        </row>
        <row r="5222">
          <cell r="A5222" t="str">
            <v>Jose Rodrigo Claro</v>
          </cell>
          <cell r="B5222">
            <v>37007994</v>
          </cell>
          <cell r="C5222">
            <v>20026178</v>
          </cell>
          <cell r="D5222">
            <v>44713</v>
          </cell>
        </row>
        <row r="5223">
          <cell r="A5223" t="str">
            <v>Welton Pereira Da Silva</v>
          </cell>
          <cell r="B5223">
            <v>37007418</v>
          </cell>
          <cell r="C5223">
            <v>20026181</v>
          </cell>
          <cell r="D5223">
            <v>44662</v>
          </cell>
        </row>
        <row r="5224">
          <cell r="A5224" t="str">
            <v>Marcio Nappo</v>
          </cell>
          <cell r="B5224">
            <v>37007414</v>
          </cell>
          <cell r="C5224">
            <v>20026185</v>
          </cell>
          <cell r="D5224">
            <v>44662</v>
          </cell>
        </row>
        <row r="5225">
          <cell r="A5225" t="str">
            <v>Joao Magela De Melos</v>
          </cell>
          <cell r="B5225">
            <v>37007936</v>
          </cell>
          <cell r="C5225">
            <v>20026743</v>
          </cell>
          <cell r="D5225">
            <v>44713</v>
          </cell>
        </row>
        <row r="5226">
          <cell r="A5226" t="str">
            <v>Isabel Cristina Alves Pinto Ribeiro</v>
          </cell>
          <cell r="B5226">
            <v>37008075</v>
          </cell>
          <cell r="C5226">
            <v>20026758</v>
          </cell>
          <cell r="D5226">
            <v>44713</v>
          </cell>
        </row>
        <row r="5227">
          <cell r="A5227" t="str">
            <v>GABRIELA GONCALVES MOREIRA MATZNER</v>
          </cell>
          <cell r="B5227">
            <v>37008082</v>
          </cell>
          <cell r="C5227">
            <v>20026766</v>
          </cell>
          <cell r="D5227">
            <v>44713</v>
          </cell>
        </row>
        <row r="5228">
          <cell r="A5228" t="str">
            <v>Elio Antonio De Oliveira Filho</v>
          </cell>
          <cell r="B5228">
            <v>37008089</v>
          </cell>
          <cell r="C5228">
            <v>20026767</v>
          </cell>
          <cell r="D5228">
            <v>44713</v>
          </cell>
        </row>
        <row r="5229">
          <cell r="A5229" t="str">
            <v>Luciano Raimundo Nunes</v>
          </cell>
          <cell r="B5229">
            <v>37008088</v>
          </cell>
          <cell r="C5229">
            <v>20026769</v>
          </cell>
          <cell r="D5229">
            <v>44713</v>
          </cell>
        </row>
        <row r="5230">
          <cell r="A5230" t="str">
            <v>Fernando Aparecido Godeguez</v>
          </cell>
          <cell r="B5230">
            <v>37008087</v>
          </cell>
          <cell r="C5230">
            <v>20026771</v>
          </cell>
          <cell r="D5230">
            <v>44713</v>
          </cell>
        </row>
        <row r="5231">
          <cell r="A5231" t="str">
            <v>Alex Sandro Stalone Dos Santos</v>
          </cell>
          <cell r="B5231">
            <v>37008092</v>
          </cell>
          <cell r="C5231">
            <v>20026790</v>
          </cell>
          <cell r="D5231">
            <v>44713</v>
          </cell>
        </row>
        <row r="5232">
          <cell r="A5232" t="str">
            <v>Nelson Lourenco Sestini Dos Santos</v>
          </cell>
          <cell r="B5232">
            <v>37007933</v>
          </cell>
          <cell r="C5232">
            <v>20026814</v>
          </cell>
          <cell r="D5232">
            <v>44713</v>
          </cell>
        </row>
        <row r="5233">
          <cell r="A5233" t="str">
            <v>Liniker Adrian De Oliveira</v>
          </cell>
          <cell r="B5233">
            <v>37008626</v>
          </cell>
          <cell r="C5233">
            <v>20027735</v>
          </cell>
          <cell r="D5233">
            <v>44760</v>
          </cell>
        </row>
        <row r="5234">
          <cell r="A5234" t="str">
            <v>Miriany Naiara Fernandes</v>
          </cell>
          <cell r="B5234">
            <v>37008665</v>
          </cell>
          <cell r="C5234">
            <v>20027737</v>
          </cell>
          <cell r="D5234">
            <v>44760</v>
          </cell>
        </row>
        <row r="5235">
          <cell r="A5235" t="str">
            <v>Roseni Venancio De Moraes Jesus</v>
          </cell>
          <cell r="B5235">
            <v>37008671</v>
          </cell>
          <cell r="C5235">
            <v>20027954</v>
          </cell>
          <cell r="D5235">
            <v>44760</v>
          </cell>
        </row>
        <row r="5236">
          <cell r="A5236" t="str">
            <v>Ana Paula De Caldas</v>
          </cell>
          <cell r="B5236">
            <v>37008621</v>
          </cell>
          <cell r="C5236">
            <v>20027965</v>
          </cell>
          <cell r="D5236">
            <v>44760</v>
          </cell>
        </row>
        <row r="5237">
          <cell r="A5237" t="str">
            <v>Selma Tenorio Ferro</v>
          </cell>
          <cell r="B5237">
            <v>37000947</v>
          </cell>
          <cell r="C5237">
            <v>20009918</v>
          </cell>
          <cell r="D5237">
            <v>40840</v>
          </cell>
        </row>
        <row r="5238">
          <cell r="A5238" t="str">
            <v>Rodrigo Aparecido Da Silva Pinto</v>
          </cell>
          <cell r="B5238">
            <v>37008656</v>
          </cell>
          <cell r="C5238">
            <v>20028352</v>
          </cell>
          <cell r="D5238">
            <v>44760</v>
          </cell>
        </row>
        <row r="5239">
          <cell r="A5239" t="str">
            <v>Gislaine Camargo Fonseca</v>
          </cell>
          <cell r="B5239">
            <v>37008650</v>
          </cell>
          <cell r="C5239">
            <v>20028411</v>
          </cell>
          <cell r="D5239">
            <v>44760</v>
          </cell>
        </row>
        <row r="5240">
          <cell r="A5240" t="str">
            <v>Jefferson Barbosa Preste De Oliveira</v>
          </cell>
          <cell r="B5240">
            <v>37008647</v>
          </cell>
          <cell r="C5240">
            <v>20028414</v>
          </cell>
          <cell r="D5240">
            <v>44760</v>
          </cell>
        </row>
        <row r="5241">
          <cell r="A5241" t="str">
            <v>Daniel Dantas</v>
          </cell>
          <cell r="B5241">
            <v>37008648</v>
          </cell>
          <cell r="C5241">
            <v>20028415</v>
          </cell>
          <cell r="D5241">
            <v>44760</v>
          </cell>
        </row>
        <row r="5242">
          <cell r="A5242" t="str">
            <v>Bruna Colombo De Almeida</v>
          </cell>
          <cell r="B5242">
            <v>37008694</v>
          </cell>
          <cell r="C5242">
            <v>20028751</v>
          </cell>
          <cell r="D5242">
            <v>44760</v>
          </cell>
        </row>
        <row r="5243">
          <cell r="A5243" t="str">
            <v>Luzia De Fatima Pereira Da Silva</v>
          </cell>
          <cell r="B5243">
            <v>37008686</v>
          </cell>
          <cell r="C5243">
            <v>20028752</v>
          </cell>
          <cell r="D5243">
            <v>44760</v>
          </cell>
        </row>
        <row r="5244">
          <cell r="A5244" t="str">
            <v>Tiego Rodrigo Litchteneker</v>
          </cell>
          <cell r="B5244">
            <v>37008702</v>
          </cell>
          <cell r="C5244">
            <v>20028760</v>
          </cell>
          <cell r="D5244">
            <v>44760</v>
          </cell>
        </row>
        <row r="5245">
          <cell r="A5245" t="str">
            <v>Thiago Petine</v>
          </cell>
          <cell r="B5245">
            <v>37008726</v>
          </cell>
          <cell r="C5245">
            <v>20029513</v>
          </cell>
          <cell r="D5245">
            <v>44760</v>
          </cell>
        </row>
        <row r="5246">
          <cell r="A5246" t="str">
            <v>Nilton Aparecido Silva</v>
          </cell>
          <cell r="B5246">
            <v>37008859</v>
          </cell>
          <cell r="C5246">
            <v>20029994</v>
          </cell>
          <cell r="D5246">
            <v>44777</v>
          </cell>
        </row>
        <row r="5247">
          <cell r="A5247" t="str">
            <v>Eguenson Reis Da Silva</v>
          </cell>
          <cell r="B5247">
            <v>37008838</v>
          </cell>
          <cell r="C5247">
            <v>20029977</v>
          </cell>
          <cell r="D5247">
            <v>44777</v>
          </cell>
        </row>
        <row r="5248">
          <cell r="A5248" t="str">
            <v>Dair Aparecido Torres</v>
          </cell>
          <cell r="B5248">
            <v>37008875</v>
          </cell>
          <cell r="C5248">
            <v>20030016</v>
          </cell>
          <cell r="D5248">
            <v>44777</v>
          </cell>
        </row>
        <row r="5249">
          <cell r="A5249" t="str">
            <v>Edvaldo Barboza</v>
          </cell>
          <cell r="B5249">
            <v>37008885</v>
          </cell>
          <cell r="C5249">
            <v>20030031</v>
          </cell>
          <cell r="D5249">
            <v>44777</v>
          </cell>
        </row>
        <row r="5250">
          <cell r="A5250" t="str">
            <v>Eli Cristiano Mussi</v>
          </cell>
          <cell r="B5250">
            <v>37008891</v>
          </cell>
          <cell r="C5250">
            <v>20030040</v>
          </cell>
          <cell r="D5250">
            <v>44777</v>
          </cell>
        </row>
        <row r="5251">
          <cell r="A5251" t="str">
            <v>Paulo Henrique Da Silva</v>
          </cell>
          <cell r="B5251">
            <v>37008900</v>
          </cell>
          <cell r="C5251">
            <v>20030052</v>
          </cell>
          <cell r="D5251">
            <v>44777</v>
          </cell>
        </row>
        <row r="5252">
          <cell r="A5252" t="str">
            <v>Luis Henrique Ferreira</v>
          </cell>
          <cell r="B5252">
            <v>37008904</v>
          </cell>
          <cell r="C5252">
            <v>20030061</v>
          </cell>
          <cell r="D5252">
            <v>44777</v>
          </cell>
        </row>
        <row r="5253">
          <cell r="A5253" t="str">
            <v>Samuel Ferreira De Souza</v>
          </cell>
          <cell r="B5253">
            <v>37008906</v>
          </cell>
          <cell r="C5253">
            <v>20030063</v>
          </cell>
          <cell r="D5253">
            <v>44777</v>
          </cell>
        </row>
        <row r="5254">
          <cell r="A5254" t="str">
            <v>Darci Foizzer</v>
          </cell>
          <cell r="B5254">
            <v>37008907</v>
          </cell>
          <cell r="C5254">
            <v>20030066</v>
          </cell>
          <cell r="D5254">
            <v>44777</v>
          </cell>
        </row>
        <row r="5255">
          <cell r="A5255" t="str">
            <v>Josiel Pereira</v>
          </cell>
          <cell r="B5255">
            <v>37008908</v>
          </cell>
          <cell r="C5255">
            <v>20030070</v>
          </cell>
          <cell r="D5255">
            <v>44777</v>
          </cell>
        </row>
        <row r="5256">
          <cell r="A5256" t="str">
            <v>Jerri Gilberto Teixeira</v>
          </cell>
          <cell r="B5256">
            <v>37008954</v>
          </cell>
          <cell r="C5256">
            <v>20030081</v>
          </cell>
          <cell r="D5256">
            <v>44777</v>
          </cell>
        </row>
        <row r="5257">
          <cell r="A5257" t="str">
            <v>Edson Luis De Franca</v>
          </cell>
          <cell r="B5257">
            <v>37008958</v>
          </cell>
          <cell r="C5257">
            <v>20030088</v>
          </cell>
          <cell r="D5257">
            <v>44777</v>
          </cell>
        </row>
        <row r="5258">
          <cell r="A5258" t="str">
            <v>Claudinei De Matos</v>
          </cell>
          <cell r="B5258">
            <v>37008959</v>
          </cell>
          <cell r="C5258">
            <v>20030093</v>
          </cell>
          <cell r="D5258">
            <v>44777</v>
          </cell>
        </row>
        <row r="5259">
          <cell r="A5259" t="str">
            <v>Abel Jose De Oliveira</v>
          </cell>
          <cell r="B5259">
            <v>37008963</v>
          </cell>
          <cell r="C5259">
            <v>20030099</v>
          </cell>
          <cell r="D5259">
            <v>44777</v>
          </cell>
        </row>
        <row r="5260">
          <cell r="A5260" t="str">
            <v>Jose Adriano Da Silva Santos</v>
          </cell>
          <cell r="B5260">
            <v>37008964</v>
          </cell>
          <cell r="C5260">
            <v>20030101</v>
          </cell>
          <cell r="D5260">
            <v>44777</v>
          </cell>
        </row>
        <row r="5261">
          <cell r="A5261" t="str">
            <v>Elenilson Alexandre Alves</v>
          </cell>
          <cell r="B5261">
            <v>37008965</v>
          </cell>
          <cell r="C5261">
            <v>20030103</v>
          </cell>
          <cell r="D5261">
            <v>44777</v>
          </cell>
        </row>
        <row r="5262">
          <cell r="A5262" t="str">
            <v>Fabio Quintilho Da Silva</v>
          </cell>
          <cell r="B5262">
            <v>37008967</v>
          </cell>
          <cell r="C5262">
            <v>20030109</v>
          </cell>
          <cell r="D5262">
            <v>44777</v>
          </cell>
        </row>
        <row r="5263">
          <cell r="A5263" t="str">
            <v>Marcos Antonio Grassi</v>
          </cell>
          <cell r="B5263">
            <v>37008971</v>
          </cell>
          <cell r="C5263">
            <v>20030119</v>
          </cell>
          <cell r="D5263">
            <v>44777</v>
          </cell>
        </row>
        <row r="5264">
          <cell r="A5264" t="str">
            <v>Jeferson Vicente Vigna</v>
          </cell>
          <cell r="B5264">
            <v>37008972</v>
          </cell>
          <cell r="C5264">
            <v>20030121</v>
          </cell>
          <cell r="D5264">
            <v>44777</v>
          </cell>
        </row>
        <row r="5265">
          <cell r="A5265" t="str">
            <v>Claudio Dos Reis</v>
          </cell>
          <cell r="B5265">
            <v>37008910</v>
          </cell>
          <cell r="C5265">
            <v>20030135</v>
          </cell>
          <cell r="D5265">
            <v>44777</v>
          </cell>
        </row>
        <row r="5266">
          <cell r="A5266" t="str">
            <v>Leandro Generick</v>
          </cell>
          <cell r="B5266">
            <v>37008918</v>
          </cell>
          <cell r="C5266">
            <v>20030139</v>
          </cell>
          <cell r="D5266">
            <v>44777</v>
          </cell>
        </row>
        <row r="5267">
          <cell r="A5267" t="str">
            <v>Herminio Jose Miralha</v>
          </cell>
          <cell r="B5267">
            <v>37008920</v>
          </cell>
          <cell r="C5267">
            <v>20030140</v>
          </cell>
          <cell r="D5267">
            <v>44777</v>
          </cell>
        </row>
        <row r="5268">
          <cell r="A5268" t="str">
            <v>Antonio Francisco Pereira Da Silva</v>
          </cell>
          <cell r="B5268">
            <v>37008923</v>
          </cell>
          <cell r="C5268">
            <v>20030143</v>
          </cell>
          <cell r="D5268">
            <v>44777</v>
          </cell>
        </row>
        <row r="5269">
          <cell r="A5269" t="str">
            <v>Marcos Carvalho Ferreira</v>
          </cell>
          <cell r="B5269">
            <v>37008928</v>
          </cell>
          <cell r="C5269">
            <v>20030146</v>
          </cell>
          <cell r="D5269">
            <v>44777</v>
          </cell>
        </row>
        <row r="5270">
          <cell r="A5270" t="str">
            <v>Fernando Ricardo Silva</v>
          </cell>
          <cell r="B5270">
            <v>37008931</v>
          </cell>
          <cell r="C5270">
            <v>20030149</v>
          </cell>
          <cell r="D5270">
            <v>44777</v>
          </cell>
        </row>
        <row r="5271">
          <cell r="A5271" t="str">
            <v>Nathane Alves De Melo Imperatori</v>
          </cell>
          <cell r="B5271">
            <v>37009030</v>
          </cell>
          <cell r="C5271">
            <v>20030995</v>
          </cell>
          <cell r="D5271">
            <v>44781</v>
          </cell>
        </row>
        <row r="5272">
          <cell r="A5272" t="str">
            <v>Paulo Sergio Zanella</v>
          </cell>
          <cell r="B5272">
            <v>37009026</v>
          </cell>
          <cell r="C5272">
            <v>20030999</v>
          </cell>
          <cell r="D5272">
            <v>44781</v>
          </cell>
        </row>
        <row r="5273">
          <cell r="A5273" t="str">
            <v>Diego Devellis Da Silva</v>
          </cell>
          <cell r="B5273">
            <v>37009019</v>
          </cell>
          <cell r="C5273">
            <v>20031000</v>
          </cell>
          <cell r="D5273">
            <v>44781</v>
          </cell>
        </row>
        <row r="5274">
          <cell r="A5274" t="str">
            <v>Tiara Oliveira Candido De Mattos</v>
          </cell>
          <cell r="B5274">
            <v>37009004</v>
          </cell>
          <cell r="C5274">
            <v>20030991</v>
          </cell>
          <cell r="D5274">
            <v>44781</v>
          </cell>
        </row>
        <row r="5275">
          <cell r="A5275" t="str">
            <v>Joao Lopes Da Silva</v>
          </cell>
          <cell r="B5275">
            <v>37009025</v>
          </cell>
          <cell r="C5275">
            <v>20031002</v>
          </cell>
          <cell r="D5275">
            <v>44781</v>
          </cell>
        </row>
        <row r="5276">
          <cell r="A5276" t="str">
            <v>Joao Paulo Bernegozzi</v>
          </cell>
          <cell r="B5276">
            <v>37009108</v>
          </cell>
          <cell r="C5276">
            <v>20031070</v>
          </cell>
          <cell r="D5276">
            <v>44788</v>
          </cell>
        </row>
        <row r="5277">
          <cell r="A5277" t="str">
            <v>Joao Biribile Neto</v>
          </cell>
          <cell r="B5277">
            <v>37008989</v>
          </cell>
          <cell r="C5277">
            <v>20031105</v>
          </cell>
          <cell r="D5277">
            <v>44781</v>
          </cell>
        </row>
        <row r="5278">
          <cell r="A5278" t="str">
            <v>Luis Valentino Freire</v>
          </cell>
          <cell r="B5278">
            <v>37008997</v>
          </cell>
          <cell r="C5278">
            <v>20031108</v>
          </cell>
          <cell r="D5278">
            <v>44781</v>
          </cell>
        </row>
        <row r="5279">
          <cell r="A5279" t="str">
            <v>Daniel Antonio Dos Anjos Batista</v>
          </cell>
          <cell r="B5279">
            <v>37009050</v>
          </cell>
          <cell r="C5279">
            <v>20031111</v>
          </cell>
          <cell r="D5279">
            <v>44781</v>
          </cell>
        </row>
        <row r="5280">
          <cell r="A5280" t="str">
            <v>Barbara Aires Pereira De Souza</v>
          </cell>
          <cell r="B5280">
            <v>37009113</v>
          </cell>
          <cell r="C5280">
            <v>20031123</v>
          </cell>
          <cell r="D5280">
            <v>44788</v>
          </cell>
        </row>
        <row r="5281">
          <cell r="A5281" t="str">
            <v>Patrick Castilho Christ Machado</v>
          </cell>
          <cell r="B5281">
            <v>37009035</v>
          </cell>
          <cell r="C5281">
            <v>20031120</v>
          </cell>
          <cell r="D5281">
            <v>44781</v>
          </cell>
        </row>
        <row r="5282">
          <cell r="A5282" t="str">
            <v>Maria Elize Rodrigues Branco</v>
          </cell>
          <cell r="B5282">
            <v>37009038</v>
          </cell>
          <cell r="C5282">
            <v>20031125</v>
          </cell>
          <cell r="D5282">
            <v>44781</v>
          </cell>
        </row>
        <row r="5283">
          <cell r="A5283" t="str">
            <v>Amanda De Almeida Milagres</v>
          </cell>
          <cell r="B5283">
            <v>37009061</v>
          </cell>
          <cell r="C5283">
            <v>20031403</v>
          </cell>
          <cell r="D5283">
            <v>44788</v>
          </cell>
        </row>
        <row r="5284">
          <cell r="A5284" t="str">
            <v>Thiago Pereira De Freitas</v>
          </cell>
          <cell r="B5284">
            <v>37009106</v>
          </cell>
          <cell r="C5284">
            <v>20031411</v>
          </cell>
          <cell r="D5284">
            <v>44788</v>
          </cell>
        </row>
        <row r="5285">
          <cell r="A5285" t="str">
            <v>Israel Belizario Goncalves</v>
          </cell>
          <cell r="B5285">
            <v>37009090</v>
          </cell>
          <cell r="C5285">
            <v>20031413</v>
          </cell>
          <cell r="D5285">
            <v>44788</v>
          </cell>
        </row>
        <row r="5286">
          <cell r="A5286" t="str">
            <v>Gervazio Eduardo Verdiana Dos Santos</v>
          </cell>
          <cell r="B5286">
            <v>37009103</v>
          </cell>
          <cell r="C5286">
            <v>20031418</v>
          </cell>
          <cell r="D5286">
            <v>44788</v>
          </cell>
        </row>
        <row r="5287">
          <cell r="A5287" t="str">
            <v>Vinicius Gustavo Afonso</v>
          </cell>
          <cell r="B5287">
            <v>37009115</v>
          </cell>
          <cell r="C5287">
            <v>20031425</v>
          </cell>
          <cell r="D5287">
            <v>44788</v>
          </cell>
        </row>
        <row r="5288">
          <cell r="A5288" t="str">
            <v>Geovane Neris De Oliveira Diniz</v>
          </cell>
          <cell r="B5288">
            <v>37009070</v>
          </cell>
          <cell r="C5288">
            <v>20031433</v>
          </cell>
          <cell r="D5288">
            <v>44788</v>
          </cell>
        </row>
        <row r="5289">
          <cell r="A5289" t="str">
            <v>Edilson Ferreira Dos Santos</v>
          </cell>
          <cell r="B5289">
            <v>37009074</v>
          </cell>
          <cell r="C5289">
            <v>20031510</v>
          </cell>
          <cell r="D5289">
            <v>44788</v>
          </cell>
        </row>
        <row r="5290">
          <cell r="A5290" t="str">
            <v>Marco Aurelio Da Silva Machado</v>
          </cell>
          <cell r="B5290">
            <v>37009094</v>
          </cell>
          <cell r="C5290">
            <v>20031514</v>
          </cell>
          <cell r="D5290">
            <v>44788</v>
          </cell>
        </row>
        <row r="5291">
          <cell r="A5291" t="str">
            <v>Priscilla De Caires Mendes</v>
          </cell>
          <cell r="B5291">
            <v>37009083</v>
          </cell>
          <cell r="C5291">
            <v>20031520</v>
          </cell>
          <cell r="D5291">
            <v>44788</v>
          </cell>
        </row>
        <row r="5292">
          <cell r="A5292" t="str">
            <v>Estela Georgina Porfirio</v>
          </cell>
          <cell r="B5292">
            <v>37009087</v>
          </cell>
          <cell r="C5292">
            <v>20031521</v>
          </cell>
          <cell r="D5292">
            <v>44788</v>
          </cell>
        </row>
        <row r="5293">
          <cell r="A5293" t="str">
            <v>Maycon Cota Lopes</v>
          </cell>
          <cell r="B5293">
            <v>37009096</v>
          </cell>
          <cell r="C5293">
            <v>20031522</v>
          </cell>
          <cell r="D5293">
            <v>44788</v>
          </cell>
        </row>
        <row r="5294">
          <cell r="A5294" t="str">
            <v>Jhonatan Cassiano Garcia</v>
          </cell>
          <cell r="B5294">
            <v>37009024</v>
          </cell>
          <cell r="C5294">
            <v>20031783</v>
          </cell>
          <cell r="D5294">
            <v>44781</v>
          </cell>
        </row>
        <row r="5295">
          <cell r="A5295" t="str">
            <v>Rodolfo De Souza Rodrigues</v>
          </cell>
          <cell r="B5295">
            <v>37007645</v>
          </cell>
          <cell r="C5295">
            <v>20025655</v>
          </cell>
          <cell r="D5295">
            <v>44683</v>
          </cell>
        </row>
        <row r="5296">
          <cell r="A5296" t="str">
            <v>Alisson Araujo De Oliveira</v>
          </cell>
          <cell r="B5296">
            <v>37009135</v>
          </cell>
          <cell r="C5296">
            <v>20031790</v>
          </cell>
          <cell r="D5296">
            <v>44791</v>
          </cell>
        </row>
        <row r="5297">
          <cell r="A5297" t="str">
            <v>Fabiano Rodrigues De Souza</v>
          </cell>
          <cell r="B5297">
            <v>37009160</v>
          </cell>
          <cell r="C5297">
            <v>20031833</v>
          </cell>
          <cell r="D5297">
            <v>44795</v>
          </cell>
        </row>
        <row r="5298">
          <cell r="A5298" t="str">
            <v>Sebastiao Ferreira Rodrigues</v>
          </cell>
          <cell r="B5298">
            <v>37009158</v>
          </cell>
          <cell r="C5298">
            <v>20031834</v>
          </cell>
          <cell r="D5298">
            <v>44795</v>
          </cell>
        </row>
        <row r="5299">
          <cell r="A5299" t="str">
            <v>Jose Augusto Gomes Correia</v>
          </cell>
          <cell r="B5299">
            <v>37009185</v>
          </cell>
          <cell r="C5299">
            <v>20031836</v>
          </cell>
          <cell r="D5299">
            <v>44795</v>
          </cell>
        </row>
        <row r="5300">
          <cell r="A5300" t="str">
            <v>Osmar De Arruda</v>
          </cell>
          <cell r="B5300">
            <v>37009154</v>
          </cell>
          <cell r="C5300">
            <v>20031841</v>
          </cell>
          <cell r="D5300">
            <v>44795</v>
          </cell>
        </row>
        <row r="5301">
          <cell r="A5301" t="str">
            <v>Roberto Antonio De Andrade</v>
          </cell>
          <cell r="B5301">
            <v>37009153</v>
          </cell>
          <cell r="C5301">
            <v>20031846</v>
          </cell>
          <cell r="D5301">
            <v>44795</v>
          </cell>
        </row>
        <row r="5302">
          <cell r="A5302" t="str">
            <v>Nildo Cerqueira Cavalcante</v>
          </cell>
          <cell r="B5302">
            <v>37009195</v>
          </cell>
          <cell r="C5302">
            <v>20031847</v>
          </cell>
          <cell r="D5302">
            <v>44795</v>
          </cell>
        </row>
        <row r="5303">
          <cell r="A5303" t="str">
            <v>Arcisio Claudinei Silva</v>
          </cell>
          <cell r="B5303">
            <v>37009197</v>
          </cell>
          <cell r="C5303">
            <v>20031849</v>
          </cell>
          <cell r="D5303">
            <v>44795</v>
          </cell>
        </row>
        <row r="5304">
          <cell r="A5304" t="str">
            <v>Alex Garcia Pereira</v>
          </cell>
          <cell r="B5304">
            <v>37009163</v>
          </cell>
          <cell r="C5304">
            <v>20031853</v>
          </cell>
          <cell r="D5304">
            <v>44795</v>
          </cell>
        </row>
        <row r="5305">
          <cell r="A5305" t="str">
            <v>Alex Misael Martinez</v>
          </cell>
          <cell r="B5305">
            <v>37009199</v>
          </cell>
          <cell r="C5305">
            <v>20031855</v>
          </cell>
          <cell r="D5305">
            <v>44795</v>
          </cell>
        </row>
        <row r="5306">
          <cell r="A5306" t="str">
            <v>Osvaldo Guerra Paixao Junior</v>
          </cell>
          <cell r="B5306">
            <v>37009162</v>
          </cell>
          <cell r="C5306">
            <v>20031911</v>
          </cell>
          <cell r="D5306">
            <v>44795</v>
          </cell>
        </row>
        <row r="5307">
          <cell r="A5307" t="str">
            <v>Ronaldo Francisco Dos Santos</v>
          </cell>
          <cell r="B5307">
            <v>37009193</v>
          </cell>
          <cell r="C5307">
            <v>20031913</v>
          </cell>
          <cell r="D5307">
            <v>44795</v>
          </cell>
        </row>
        <row r="5308">
          <cell r="A5308" t="str">
            <v>Roberto Carlos Ribeiro</v>
          </cell>
          <cell r="B5308">
            <v>37009202</v>
          </cell>
          <cell r="C5308">
            <v>20031914</v>
          </cell>
          <cell r="D5308">
            <v>44795</v>
          </cell>
        </row>
        <row r="5309">
          <cell r="A5309" t="str">
            <v>Jose Carlos Dantas</v>
          </cell>
          <cell r="B5309">
            <v>37009176</v>
          </cell>
          <cell r="C5309">
            <v>20031916</v>
          </cell>
          <cell r="D5309">
            <v>44795</v>
          </cell>
        </row>
        <row r="5310">
          <cell r="A5310" t="str">
            <v>Sidney Martins Bueno</v>
          </cell>
          <cell r="B5310">
            <v>37009216</v>
          </cell>
          <cell r="C5310">
            <v>20031832</v>
          </cell>
          <cell r="D5310">
            <v>44795</v>
          </cell>
        </row>
        <row r="5311">
          <cell r="A5311" t="str">
            <v>Daniel Carlos De Oliveira</v>
          </cell>
          <cell r="B5311">
            <v>37009215</v>
          </cell>
          <cell r="C5311">
            <v>20031919</v>
          </cell>
          <cell r="D5311">
            <v>44795</v>
          </cell>
        </row>
        <row r="5312">
          <cell r="A5312" t="str">
            <v>Andre Sebastiao Oliveira Benathar</v>
          </cell>
          <cell r="B5312">
            <v>37009186</v>
          </cell>
          <cell r="C5312">
            <v>20031923</v>
          </cell>
          <cell r="D5312">
            <v>44795</v>
          </cell>
        </row>
        <row r="5313">
          <cell r="A5313" t="str">
            <v>Jacson Marques Fonteneles Dos Santos</v>
          </cell>
          <cell r="B5313">
            <v>37009170</v>
          </cell>
          <cell r="C5313">
            <v>20031924</v>
          </cell>
          <cell r="D5313">
            <v>44795</v>
          </cell>
        </row>
        <row r="5314">
          <cell r="A5314" t="str">
            <v>Roberto Sousa Lopes</v>
          </cell>
          <cell r="B5314">
            <v>37009169</v>
          </cell>
          <cell r="C5314">
            <v>20031925</v>
          </cell>
          <cell r="D5314">
            <v>44795</v>
          </cell>
        </row>
        <row r="5315">
          <cell r="A5315" t="str">
            <v>Andre Breve Goncalves</v>
          </cell>
          <cell r="B5315">
            <v>37009220</v>
          </cell>
          <cell r="C5315">
            <v>20031928</v>
          </cell>
          <cell r="D5315">
            <v>44795</v>
          </cell>
        </row>
        <row r="5316">
          <cell r="A5316" t="str">
            <v>Everton Job Freire</v>
          </cell>
          <cell r="B5316">
            <v>37009187</v>
          </cell>
          <cell r="C5316">
            <v>20031936</v>
          </cell>
          <cell r="D5316">
            <v>44795</v>
          </cell>
        </row>
        <row r="5317">
          <cell r="A5317" t="str">
            <v>Fernando Dos Santos Ferreira</v>
          </cell>
          <cell r="B5317">
            <v>37009212</v>
          </cell>
          <cell r="C5317">
            <v>20031940</v>
          </cell>
          <cell r="D5317">
            <v>44795</v>
          </cell>
        </row>
        <row r="5318">
          <cell r="A5318" t="str">
            <v>Lourival Fernandes</v>
          </cell>
          <cell r="B5318">
            <v>37009200</v>
          </cell>
          <cell r="C5318">
            <v>20032233</v>
          </cell>
          <cell r="D5318">
            <v>44795</v>
          </cell>
        </row>
        <row r="5319">
          <cell r="A5319" t="str">
            <v>Deivid Francisco Teixeira</v>
          </cell>
          <cell r="B5319">
            <v>37009198</v>
          </cell>
          <cell r="C5319">
            <v>20032235</v>
          </cell>
          <cell r="D5319">
            <v>44795</v>
          </cell>
        </row>
        <row r="5320">
          <cell r="A5320" t="str">
            <v>Epaminondas Dias Junior</v>
          </cell>
          <cell r="B5320">
            <v>37009183</v>
          </cell>
          <cell r="C5320">
            <v>20032237</v>
          </cell>
          <cell r="D5320">
            <v>44795</v>
          </cell>
        </row>
        <row r="5321">
          <cell r="A5321" t="str">
            <v>Kalita Luis Soares</v>
          </cell>
          <cell r="B5321">
            <v>37008882</v>
          </cell>
          <cell r="C5321">
            <v>20032243</v>
          </cell>
          <cell r="D5321">
            <v>44777</v>
          </cell>
        </row>
        <row r="5322">
          <cell r="A5322" t="str">
            <v>Marcio Roberto Ferreira Dantas</v>
          </cell>
          <cell r="B5322">
            <v>37009331</v>
          </cell>
          <cell r="C5322">
            <v>20032342</v>
          </cell>
          <cell r="D5322">
            <v>44809</v>
          </cell>
        </row>
        <row r="5323">
          <cell r="A5323" t="str">
            <v>Edneia De Fatima Marcato</v>
          </cell>
          <cell r="B5323">
            <v>37008742</v>
          </cell>
          <cell r="C5323">
            <v>20032350</v>
          </cell>
          <cell r="D5323">
            <v>44774</v>
          </cell>
        </row>
        <row r="5324">
          <cell r="A5324" t="str">
            <v>Juciele Hilda Da Silva Galvao</v>
          </cell>
          <cell r="B5324">
            <v>37008746</v>
          </cell>
          <cell r="C5324">
            <v>20032354</v>
          </cell>
          <cell r="D5324">
            <v>44774</v>
          </cell>
        </row>
        <row r="5325">
          <cell r="A5325" t="str">
            <v>Gizeli Cristina De Souza Grana</v>
          </cell>
          <cell r="B5325">
            <v>37008735</v>
          </cell>
          <cell r="C5325">
            <v>20032345</v>
          </cell>
          <cell r="D5325">
            <v>44774</v>
          </cell>
        </row>
        <row r="5326">
          <cell r="A5326" t="str">
            <v>Naiara Leticia Alves Ferreira</v>
          </cell>
          <cell r="B5326">
            <v>37008745</v>
          </cell>
          <cell r="C5326">
            <v>20032353</v>
          </cell>
          <cell r="D5326">
            <v>44774</v>
          </cell>
        </row>
        <row r="5327">
          <cell r="A5327" t="str">
            <v>Joel Goncalves Moura</v>
          </cell>
          <cell r="B5327">
            <v>37008748</v>
          </cell>
          <cell r="C5327">
            <v>20032356</v>
          </cell>
          <cell r="D5327">
            <v>44774</v>
          </cell>
        </row>
        <row r="5328">
          <cell r="A5328" t="str">
            <v>Karolayne Micaella Dos Santos Gabriel</v>
          </cell>
          <cell r="B5328">
            <v>37008750</v>
          </cell>
          <cell r="C5328">
            <v>20032358</v>
          </cell>
          <cell r="D5328">
            <v>44774</v>
          </cell>
        </row>
        <row r="5329">
          <cell r="A5329" t="str">
            <v>Adriana Aparecida Ribeiro</v>
          </cell>
          <cell r="B5329">
            <v>37008751</v>
          </cell>
          <cell r="C5329">
            <v>20032359</v>
          </cell>
          <cell r="D5329">
            <v>44774</v>
          </cell>
        </row>
        <row r="5330">
          <cell r="A5330" t="str">
            <v>Victor Mamede Nogueira</v>
          </cell>
          <cell r="B5330">
            <v>37008799</v>
          </cell>
          <cell r="C5330">
            <v>20032363</v>
          </cell>
          <cell r="D5330">
            <v>44774</v>
          </cell>
        </row>
        <row r="5331">
          <cell r="A5331" t="str">
            <v>Kleber Barbosa Ferreira</v>
          </cell>
          <cell r="B5331">
            <v>37000932</v>
          </cell>
          <cell r="C5331">
            <v>20009456</v>
          </cell>
          <cell r="D5331">
            <v>40791</v>
          </cell>
        </row>
        <row r="5332">
          <cell r="A5332" t="str">
            <v>Diego Pereira Da Silva</v>
          </cell>
          <cell r="B5332">
            <v>37008794</v>
          </cell>
          <cell r="C5332">
            <v>20032406</v>
          </cell>
          <cell r="D5332">
            <v>44774</v>
          </cell>
        </row>
        <row r="5333">
          <cell r="A5333" t="str">
            <v>Tauany Almeida De Oliveira</v>
          </cell>
          <cell r="B5333">
            <v>37008770</v>
          </cell>
          <cell r="C5333">
            <v>20032417</v>
          </cell>
          <cell r="D5333">
            <v>44774</v>
          </cell>
        </row>
        <row r="5334">
          <cell r="A5334" t="str">
            <v>Diego Sesti</v>
          </cell>
          <cell r="B5334">
            <v>37009051</v>
          </cell>
          <cell r="C5334">
            <v>20032432</v>
          </cell>
          <cell r="D5334">
            <v>44781</v>
          </cell>
        </row>
        <row r="5335">
          <cell r="A5335" t="str">
            <v>Izaias Pereira Da Ressurreicao</v>
          </cell>
          <cell r="B5335">
            <v>37005931</v>
          </cell>
          <cell r="C5335">
            <v>20015640</v>
          </cell>
          <cell r="D5335">
            <v>44382</v>
          </cell>
        </row>
        <row r="5336">
          <cell r="A5336" t="str">
            <v>Caio Henrique Silva Barbosa</v>
          </cell>
          <cell r="B5336">
            <v>37005911</v>
          </cell>
          <cell r="C5336">
            <v>20015638</v>
          </cell>
          <cell r="D5336">
            <v>44382</v>
          </cell>
        </row>
        <row r="5337">
          <cell r="A5337" t="str">
            <v>Durval Fernando Dos Santos</v>
          </cell>
          <cell r="B5337">
            <v>37009262</v>
          </cell>
          <cell r="C5337">
            <v>20032518</v>
          </cell>
          <cell r="D5337">
            <v>44809</v>
          </cell>
        </row>
        <row r="5338">
          <cell r="A5338" t="str">
            <v>Adilson De Oliveira</v>
          </cell>
          <cell r="B5338">
            <v>37003900</v>
          </cell>
          <cell r="C5338">
            <v>20008497</v>
          </cell>
          <cell r="D5338">
            <v>43770</v>
          </cell>
        </row>
        <row r="5339">
          <cell r="A5339" t="str">
            <v>Milene Damasceno Lopes</v>
          </cell>
          <cell r="B5339">
            <v>37009275</v>
          </cell>
          <cell r="C5339">
            <v>20032520</v>
          </cell>
          <cell r="D5339">
            <v>44809</v>
          </cell>
        </row>
        <row r="5340">
          <cell r="A5340" t="str">
            <v>Elson Mendes Murca Neto</v>
          </cell>
          <cell r="B5340">
            <v>37009039</v>
          </cell>
          <cell r="C5340">
            <v>20032607</v>
          </cell>
          <cell r="D5340">
            <v>44781</v>
          </cell>
        </row>
        <row r="5341">
          <cell r="A5341" t="str">
            <v>Laercio Dos Santos Camargo</v>
          </cell>
          <cell r="B5341">
            <v>37009320</v>
          </cell>
          <cell r="C5341">
            <v>20032608</v>
          </cell>
          <cell r="D5341">
            <v>44809</v>
          </cell>
        </row>
        <row r="5342">
          <cell r="A5342" t="str">
            <v>Andre Soares De Campos</v>
          </cell>
          <cell r="B5342">
            <v>37009257</v>
          </cell>
          <cell r="C5342">
            <v>20032609</v>
          </cell>
          <cell r="D5342">
            <v>44809</v>
          </cell>
        </row>
        <row r="5343">
          <cell r="A5343" t="str">
            <v>Jeferson De Paula Silva</v>
          </cell>
          <cell r="B5343">
            <v>37005649</v>
          </cell>
          <cell r="C5343">
            <v>20013948</v>
          </cell>
          <cell r="D5343">
            <v>44329</v>
          </cell>
        </row>
        <row r="5344">
          <cell r="A5344" t="str">
            <v>Gustavo Henrique Nascimento</v>
          </cell>
          <cell r="B5344">
            <v>37009233</v>
          </cell>
          <cell r="C5344">
            <v>20032611</v>
          </cell>
          <cell r="D5344">
            <v>44809</v>
          </cell>
        </row>
        <row r="5345">
          <cell r="A5345" t="str">
            <v>Maicon Braga Rodrigues</v>
          </cell>
          <cell r="B5345">
            <v>37005184</v>
          </cell>
          <cell r="C5345">
            <v>20011619</v>
          </cell>
          <cell r="D5345">
            <v>44214</v>
          </cell>
        </row>
        <row r="5346">
          <cell r="A5346" t="str">
            <v>Elvis Dias Pereira Maia</v>
          </cell>
          <cell r="B5346">
            <v>37005182</v>
          </cell>
          <cell r="C5346">
            <v>20011617</v>
          </cell>
          <cell r="D5346">
            <v>44214</v>
          </cell>
        </row>
        <row r="5347">
          <cell r="A5347" t="str">
            <v>Leandro Lopes Arruda</v>
          </cell>
          <cell r="B5347">
            <v>37005169</v>
          </cell>
          <cell r="C5347">
            <v>20011604</v>
          </cell>
          <cell r="D5347">
            <v>44214</v>
          </cell>
        </row>
        <row r="5348">
          <cell r="A5348" t="str">
            <v>Fabricio Ribeiro De Almeida</v>
          </cell>
          <cell r="B5348">
            <v>37005170</v>
          </cell>
          <cell r="C5348">
            <v>20011605</v>
          </cell>
          <cell r="D5348">
            <v>44214</v>
          </cell>
        </row>
        <row r="5349">
          <cell r="A5349" t="str">
            <v>Robson Vieira Da Costa</v>
          </cell>
          <cell r="B5349">
            <v>37005185</v>
          </cell>
          <cell r="C5349">
            <v>20011620</v>
          </cell>
          <cell r="D5349">
            <v>44214</v>
          </cell>
        </row>
        <row r="5350">
          <cell r="A5350" t="str">
            <v>Lucas Aparecido De Almeida</v>
          </cell>
          <cell r="B5350">
            <v>37005405</v>
          </cell>
          <cell r="C5350">
            <v>20013522</v>
          </cell>
          <cell r="D5350">
            <v>44256</v>
          </cell>
        </row>
        <row r="5351">
          <cell r="A5351" t="str">
            <v>Luiz Fernando Santos Matias</v>
          </cell>
          <cell r="B5351">
            <v>37005385</v>
          </cell>
          <cell r="C5351">
            <v>20015993</v>
          </cell>
          <cell r="D5351">
            <v>44256</v>
          </cell>
        </row>
        <row r="5352">
          <cell r="A5352" t="str">
            <v>Everton Goncalves Silva</v>
          </cell>
          <cell r="B5352">
            <v>37006572</v>
          </cell>
          <cell r="C5352">
            <v>20018144</v>
          </cell>
          <cell r="D5352">
            <v>44473</v>
          </cell>
        </row>
        <row r="5353">
          <cell r="A5353" t="str">
            <v>Antonio Marcos Martins</v>
          </cell>
          <cell r="B5353">
            <v>37009237</v>
          </cell>
          <cell r="C5353">
            <v>20032755</v>
          </cell>
          <cell r="D5353">
            <v>44809</v>
          </cell>
        </row>
        <row r="5354">
          <cell r="A5354" t="str">
            <v>Denys Rafael Da Silva</v>
          </cell>
          <cell r="B5354">
            <v>37005193</v>
          </cell>
          <cell r="C5354">
            <v>20011628</v>
          </cell>
          <cell r="D5354">
            <v>44214</v>
          </cell>
        </row>
        <row r="5355">
          <cell r="A5355" t="str">
            <v>Andre De Souza Martins</v>
          </cell>
          <cell r="B5355">
            <v>37003901</v>
          </cell>
          <cell r="C5355">
            <v>20008616</v>
          </cell>
          <cell r="D5355">
            <v>43770</v>
          </cell>
        </row>
        <row r="5356">
          <cell r="A5356" t="str">
            <v>Antonio Dos Anjos Rodrigues</v>
          </cell>
          <cell r="B5356">
            <v>37005533</v>
          </cell>
          <cell r="C5356">
            <v>20013574</v>
          </cell>
          <cell r="D5356">
            <v>44291</v>
          </cell>
        </row>
        <row r="5357">
          <cell r="A5357" t="str">
            <v>Antonio Tavares Neto</v>
          </cell>
          <cell r="B5357">
            <v>37000596</v>
          </cell>
          <cell r="C5357">
            <v>20008667</v>
          </cell>
          <cell r="D5357">
            <v>39468</v>
          </cell>
        </row>
        <row r="5358">
          <cell r="A5358" t="str">
            <v>Edemilson De Lima Duarte</v>
          </cell>
          <cell r="B5358">
            <v>37005198</v>
          </cell>
          <cell r="C5358">
            <v>20011633</v>
          </cell>
          <cell r="D5358">
            <v>44214</v>
          </cell>
        </row>
        <row r="5359">
          <cell r="A5359" t="str">
            <v>Gilmar Pereira Nunes</v>
          </cell>
          <cell r="B5359">
            <v>37005537</v>
          </cell>
          <cell r="C5359">
            <v>20013577</v>
          </cell>
          <cell r="D5359">
            <v>44291</v>
          </cell>
        </row>
        <row r="5360">
          <cell r="A5360" t="str">
            <v>Joao Batista De Queiroz</v>
          </cell>
          <cell r="B5360">
            <v>37003906</v>
          </cell>
          <cell r="C5360">
            <v>20009322</v>
          </cell>
          <cell r="D5360">
            <v>43770</v>
          </cell>
        </row>
        <row r="5361">
          <cell r="A5361" t="str">
            <v>Humberto Aparecido Vecchi</v>
          </cell>
          <cell r="B5361">
            <v>37001357</v>
          </cell>
          <cell r="C5361">
            <v>20009256</v>
          </cell>
          <cell r="D5361">
            <v>41694</v>
          </cell>
        </row>
        <row r="5362">
          <cell r="A5362" t="str">
            <v>Rogerio Prestes Ferreira</v>
          </cell>
          <cell r="B5362">
            <v>37005520</v>
          </cell>
          <cell r="C5362">
            <v>20013563</v>
          </cell>
          <cell r="D5362">
            <v>44277</v>
          </cell>
        </row>
        <row r="5363">
          <cell r="A5363" t="str">
            <v>Sandro Frogel</v>
          </cell>
          <cell r="B5363">
            <v>37004611</v>
          </cell>
          <cell r="C5363">
            <v>20008311</v>
          </cell>
          <cell r="D5363">
            <v>44018</v>
          </cell>
        </row>
        <row r="5364">
          <cell r="A5364" t="str">
            <v>Benedito Da Silva Dos Santos</v>
          </cell>
          <cell r="B5364">
            <v>37005861</v>
          </cell>
          <cell r="C5364">
            <v>20016088</v>
          </cell>
          <cell r="D5364">
            <v>44368</v>
          </cell>
        </row>
        <row r="5365">
          <cell r="A5365" t="str">
            <v>Jose Carlos Jeronimo</v>
          </cell>
          <cell r="B5365">
            <v>37000603</v>
          </cell>
          <cell r="C5365">
            <v>20009382</v>
          </cell>
          <cell r="D5365">
            <v>39468</v>
          </cell>
        </row>
        <row r="5366">
          <cell r="A5366" t="str">
            <v>Reinaldo De Almeida Ferreira</v>
          </cell>
          <cell r="B5366">
            <v>37009298</v>
          </cell>
          <cell r="C5366">
            <v>20032754</v>
          </cell>
          <cell r="D5366">
            <v>44809</v>
          </cell>
        </row>
        <row r="5367">
          <cell r="A5367" t="str">
            <v>Mauricio Frutuoso Cavalcanti</v>
          </cell>
          <cell r="B5367">
            <v>37009267</v>
          </cell>
          <cell r="C5367">
            <v>20032959</v>
          </cell>
          <cell r="D5367">
            <v>44809</v>
          </cell>
        </row>
        <row r="5368">
          <cell r="A5368" t="str">
            <v>Paulo Suman</v>
          </cell>
          <cell r="B5368">
            <v>37009284</v>
          </cell>
          <cell r="C5368">
            <v>20032960</v>
          </cell>
          <cell r="D5368">
            <v>44809</v>
          </cell>
        </row>
        <row r="5369">
          <cell r="A5369" t="str">
            <v>Kennedy Sandro Pereira De Souza</v>
          </cell>
          <cell r="B5369">
            <v>37009307</v>
          </cell>
          <cell r="C5369">
            <v>20032969</v>
          </cell>
          <cell r="D5369">
            <v>44809</v>
          </cell>
        </row>
        <row r="5370">
          <cell r="A5370" t="str">
            <v>Wellington Darc Da Cruz Cunha</v>
          </cell>
          <cell r="B5370">
            <v>37009241</v>
          </cell>
          <cell r="C5370">
            <v>20032970</v>
          </cell>
          <cell r="D5370">
            <v>44809</v>
          </cell>
        </row>
        <row r="5371">
          <cell r="A5371" t="str">
            <v>Jeberson Ansilago</v>
          </cell>
          <cell r="B5371">
            <v>37009308</v>
          </cell>
          <cell r="C5371">
            <v>20032981</v>
          </cell>
          <cell r="D5371">
            <v>44809</v>
          </cell>
        </row>
        <row r="5372">
          <cell r="A5372" t="str">
            <v>Francisco Das Chagas Dos Santos Sousa</v>
          </cell>
          <cell r="B5372">
            <v>37009283</v>
          </cell>
          <cell r="C5372">
            <v>20032966</v>
          </cell>
          <cell r="D5372">
            <v>44809</v>
          </cell>
        </row>
        <row r="5373">
          <cell r="A5373" t="str">
            <v>Claudilene Aparecida Alves Pena</v>
          </cell>
          <cell r="B5373">
            <v>37009291</v>
          </cell>
          <cell r="C5373">
            <v>20032971</v>
          </cell>
          <cell r="D5373">
            <v>44809</v>
          </cell>
        </row>
        <row r="5374">
          <cell r="A5374" t="str">
            <v>Jocimar Facco Rocha</v>
          </cell>
          <cell r="B5374">
            <v>37009353</v>
          </cell>
          <cell r="C5374">
            <v>20032987</v>
          </cell>
          <cell r="D5374">
            <v>44816</v>
          </cell>
        </row>
        <row r="5375">
          <cell r="A5375" t="str">
            <v>Juliana Maria Ferreira De Souza Diniz</v>
          </cell>
          <cell r="B5375">
            <v>37009301</v>
          </cell>
          <cell r="C5375">
            <v>20033002</v>
          </cell>
          <cell r="D5375">
            <v>44809</v>
          </cell>
        </row>
        <row r="5376">
          <cell r="A5376" t="str">
            <v>Jose Luiz Veloz Silva</v>
          </cell>
          <cell r="B5376">
            <v>37009327</v>
          </cell>
          <cell r="C5376">
            <v>20033027</v>
          </cell>
          <cell r="D5376">
            <v>44809</v>
          </cell>
        </row>
        <row r="5377">
          <cell r="A5377" t="str">
            <v>Osni Hilgemberg</v>
          </cell>
          <cell r="B5377">
            <v>37009312</v>
          </cell>
          <cell r="C5377">
            <v>20033040</v>
          </cell>
          <cell r="D5377">
            <v>44809</v>
          </cell>
        </row>
        <row r="5378">
          <cell r="A5378" t="str">
            <v>Nivaldo Bento Miranda</v>
          </cell>
          <cell r="B5378">
            <v>37009329</v>
          </cell>
          <cell r="C5378">
            <v>20033035</v>
          </cell>
          <cell r="D5378">
            <v>44809</v>
          </cell>
        </row>
        <row r="5379">
          <cell r="A5379" t="str">
            <v>Dyeferson Renan Da Silva Oliveira</v>
          </cell>
          <cell r="B5379">
            <v>37009339</v>
          </cell>
          <cell r="C5379">
            <v>20033037</v>
          </cell>
          <cell r="D5379">
            <v>44809</v>
          </cell>
        </row>
        <row r="5380">
          <cell r="A5380" t="str">
            <v>Lusiano Da Conceicao Lopes</v>
          </cell>
          <cell r="B5380">
            <v>37009276</v>
          </cell>
          <cell r="C5380">
            <v>20033041</v>
          </cell>
          <cell r="D5380">
            <v>44809</v>
          </cell>
        </row>
        <row r="5381">
          <cell r="A5381" t="str">
            <v>Naiara Alves Felipe</v>
          </cell>
          <cell r="B5381">
            <v>37009343</v>
          </cell>
          <cell r="C5381">
            <v>20033045</v>
          </cell>
          <cell r="D5381">
            <v>44809</v>
          </cell>
        </row>
        <row r="5382">
          <cell r="A5382" t="str">
            <v>Jose Otavio Moreira</v>
          </cell>
          <cell r="B5382">
            <v>37009299</v>
          </cell>
          <cell r="C5382">
            <v>20033046</v>
          </cell>
          <cell r="D5382">
            <v>44809</v>
          </cell>
        </row>
        <row r="5383">
          <cell r="A5383" t="str">
            <v>Efraim Jefferson De Oliveira</v>
          </cell>
          <cell r="B5383">
            <v>37009362</v>
          </cell>
          <cell r="C5383">
            <v>20033144</v>
          </cell>
          <cell r="D5383">
            <v>44816</v>
          </cell>
        </row>
        <row r="5384">
          <cell r="A5384" t="str">
            <v>Antonio Carlos Ribeiro Alves</v>
          </cell>
          <cell r="B5384">
            <v>37009351</v>
          </cell>
          <cell r="C5384">
            <v>20033147</v>
          </cell>
          <cell r="D5384">
            <v>44816</v>
          </cell>
        </row>
        <row r="5385">
          <cell r="A5385" t="str">
            <v>Karine Antonia Moraes Ribeiro</v>
          </cell>
          <cell r="B5385">
            <v>37006084</v>
          </cell>
          <cell r="C5385">
            <v>20016857</v>
          </cell>
          <cell r="D5385">
            <v>44410</v>
          </cell>
        </row>
        <row r="5386">
          <cell r="A5386" t="str">
            <v>Marcelo Aparecido Bento</v>
          </cell>
          <cell r="B5386">
            <v>37009363</v>
          </cell>
          <cell r="C5386">
            <v>20033143</v>
          </cell>
          <cell r="D5386">
            <v>44816</v>
          </cell>
        </row>
        <row r="5387">
          <cell r="A5387" t="str">
            <v>Jose Ferreira Da Silva</v>
          </cell>
          <cell r="B5387">
            <v>37009350</v>
          </cell>
          <cell r="C5387">
            <v>20033148</v>
          </cell>
          <cell r="D5387">
            <v>44816</v>
          </cell>
        </row>
        <row r="5388">
          <cell r="A5388" t="str">
            <v>Gilmario Dos Santos</v>
          </cell>
          <cell r="B5388">
            <v>37009358</v>
          </cell>
          <cell r="C5388">
            <v>20033155</v>
          </cell>
          <cell r="D5388">
            <v>44816</v>
          </cell>
        </row>
        <row r="5389">
          <cell r="A5389" t="str">
            <v>Ricardo Oliveira Ribeiro Garcia</v>
          </cell>
          <cell r="B5389">
            <v>37009365</v>
          </cell>
          <cell r="C5389">
            <v>20033153</v>
          </cell>
          <cell r="D5389">
            <v>44816</v>
          </cell>
        </row>
        <row r="5390">
          <cell r="A5390" t="str">
            <v>Evandro Andia Lobo</v>
          </cell>
          <cell r="B5390">
            <v>37009356</v>
          </cell>
          <cell r="C5390">
            <v>20033157</v>
          </cell>
          <cell r="D5390">
            <v>44816</v>
          </cell>
        </row>
        <row r="5391">
          <cell r="A5391" t="str">
            <v>Jadson Batista Dos Santos</v>
          </cell>
          <cell r="B5391">
            <v>37009354</v>
          </cell>
          <cell r="C5391">
            <v>20033159</v>
          </cell>
          <cell r="D5391">
            <v>44816</v>
          </cell>
        </row>
        <row r="5392">
          <cell r="A5392" t="str">
            <v>Valdemir Donizetti Da Silva</v>
          </cell>
          <cell r="B5392">
            <v>37009372</v>
          </cell>
          <cell r="C5392">
            <v>20033348</v>
          </cell>
          <cell r="D5392">
            <v>44816</v>
          </cell>
        </row>
        <row r="5393">
          <cell r="A5393" t="str">
            <v>Leandro Puerta Gianfilici</v>
          </cell>
          <cell r="B5393">
            <v>37009371</v>
          </cell>
          <cell r="C5393">
            <v>20033351</v>
          </cell>
          <cell r="D5393">
            <v>44816</v>
          </cell>
        </row>
        <row r="5394">
          <cell r="A5394" t="str">
            <v>Everton Luiz Mendes Da Silva</v>
          </cell>
          <cell r="B5394">
            <v>37009382</v>
          </cell>
          <cell r="C5394">
            <v>20033393</v>
          </cell>
          <cell r="D5394">
            <v>44816</v>
          </cell>
        </row>
        <row r="5395">
          <cell r="A5395" t="str">
            <v>Jorge Flexa Barbosa</v>
          </cell>
          <cell r="B5395">
            <v>37009369</v>
          </cell>
          <cell r="C5395">
            <v>20033390</v>
          </cell>
          <cell r="D5395">
            <v>44816</v>
          </cell>
        </row>
        <row r="5396">
          <cell r="A5396" t="str">
            <v>Jose Roberto De Lima</v>
          </cell>
          <cell r="B5396">
            <v>37009368</v>
          </cell>
          <cell r="C5396">
            <v>20033397</v>
          </cell>
          <cell r="D5396">
            <v>44816</v>
          </cell>
        </row>
        <row r="5397">
          <cell r="A5397" t="str">
            <v>Murilo Gomes Da Costa</v>
          </cell>
          <cell r="B5397">
            <v>37009366</v>
          </cell>
          <cell r="C5397">
            <v>20033398</v>
          </cell>
          <cell r="D5397">
            <v>44816</v>
          </cell>
        </row>
        <row r="5398">
          <cell r="A5398" t="str">
            <v>Carlos Pereira Ponciano</v>
          </cell>
          <cell r="B5398">
            <v>37009376</v>
          </cell>
          <cell r="C5398">
            <v>20033400</v>
          </cell>
          <cell r="D5398">
            <v>44816</v>
          </cell>
        </row>
        <row r="5399">
          <cell r="A5399" t="str">
            <v>Adelino Moreira Da Silva</v>
          </cell>
          <cell r="B5399">
            <v>37009394</v>
          </cell>
          <cell r="C5399">
            <v>20033409</v>
          </cell>
          <cell r="D5399">
            <v>44816</v>
          </cell>
        </row>
        <row r="5400">
          <cell r="A5400" t="str">
            <v>Vanderlei Dias Barbosa</v>
          </cell>
          <cell r="B5400">
            <v>37009379</v>
          </cell>
          <cell r="C5400">
            <v>20033410</v>
          </cell>
          <cell r="D5400">
            <v>44816</v>
          </cell>
        </row>
        <row r="5401">
          <cell r="A5401" t="str">
            <v>Marcio Nogueira Dos Santos</v>
          </cell>
          <cell r="B5401">
            <v>37009387</v>
          </cell>
          <cell r="C5401">
            <v>20033693</v>
          </cell>
          <cell r="D5401">
            <v>44816</v>
          </cell>
        </row>
        <row r="5402">
          <cell r="A5402" t="str">
            <v>Aguinaldo Dias Cesario</v>
          </cell>
          <cell r="B5402">
            <v>37009393</v>
          </cell>
          <cell r="C5402">
            <v>20033692</v>
          </cell>
          <cell r="D5402">
            <v>44816</v>
          </cell>
        </row>
        <row r="5403">
          <cell r="A5403" t="str">
            <v>Adriana De Souza Rosa De Oliveira</v>
          </cell>
          <cell r="B5403">
            <v>37009435</v>
          </cell>
          <cell r="C5403">
            <v>20033728</v>
          </cell>
          <cell r="D5403">
            <v>44823</v>
          </cell>
        </row>
        <row r="5404">
          <cell r="A5404" t="str">
            <v>Odair Cordeiro De Oliveira</v>
          </cell>
          <cell r="B5404">
            <v>37009423</v>
          </cell>
          <cell r="C5404">
            <v>20033737</v>
          </cell>
          <cell r="D5404">
            <v>44823</v>
          </cell>
        </row>
        <row r="5405">
          <cell r="A5405" t="str">
            <v>Paulo Henrique Marola</v>
          </cell>
          <cell r="B5405">
            <v>37009415</v>
          </cell>
          <cell r="C5405">
            <v>20033740</v>
          </cell>
          <cell r="D5405">
            <v>44816</v>
          </cell>
        </row>
        <row r="5406">
          <cell r="A5406" t="str">
            <v>Carlos Daniel Costa Rocha</v>
          </cell>
          <cell r="B5406">
            <v>37009452</v>
          </cell>
          <cell r="C5406">
            <v>20034027</v>
          </cell>
          <cell r="D5406">
            <v>44823</v>
          </cell>
        </row>
        <row r="5407">
          <cell r="A5407" t="str">
            <v>Cristiano Santos Ferreira</v>
          </cell>
          <cell r="B5407">
            <v>37009446</v>
          </cell>
          <cell r="C5407">
            <v>20034034</v>
          </cell>
          <cell r="D5407">
            <v>44837</v>
          </cell>
        </row>
        <row r="5408">
          <cell r="A5408" t="str">
            <v>Edson Santos De Souza</v>
          </cell>
          <cell r="B5408">
            <v>37009448</v>
          </cell>
          <cell r="C5408">
            <v>20034033</v>
          </cell>
          <cell r="D5408">
            <v>44823</v>
          </cell>
        </row>
        <row r="5409">
          <cell r="A5409" t="str">
            <v>Joziel Antunes De Souza</v>
          </cell>
          <cell r="B5409">
            <v>37005420</v>
          </cell>
          <cell r="C5409">
            <v>20013531</v>
          </cell>
          <cell r="D5409">
            <v>44263</v>
          </cell>
        </row>
        <row r="5410">
          <cell r="A5410" t="str">
            <v>Erivelto Jose Nascimento Silva</v>
          </cell>
          <cell r="B5410">
            <v>37008831</v>
          </cell>
          <cell r="C5410">
            <v>20034551</v>
          </cell>
          <cell r="D5410">
            <v>44777</v>
          </cell>
        </row>
        <row r="5411">
          <cell r="A5411" t="str">
            <v>Marcelo Xavier Duarte Pipa</v>
          </cell>
          <cell r="B5411">
            <v>37008814</v>
          </cell>
          <cell r="C5411">
            <v>20034587</v>
          </cell>
          <cell r="D5411">
            <v>44777</v>
          </cell>
        </row>
        <row r="5412">
          <cell r="A5412" t="str">
            <v>Valmir Aparecido Fonseca</v>
          </cell>
          <cell r="B5412">
            <v>37008815</v>
          </cell>
          <cell r="C5412">
            <v>20034592</v>
          </cell>
          <cell r="D5412">
            <v>44777</v>
          </cell>
        </row>
        <row r="5413">
          <cell r="A5413" t="str">
            <v>Aguinaldo Israel Pela</v>
          </cell>
          <cell r="B5413">
            <v>37008851</v>
          </cell>
          <cell r="C5413">
            <v>20034586</v>
          </cell>
          <cell r="D5413">
            <v>44777</v>
          </cell>
        </row>
        <row r="5414">
          <cell r="A5414" t="str">
            <v>Marcos Antonio Soares</v>
          </cell>
          <cell r="B5414">
            <v>37008818</v>
          </cell>
          <cell r="C5414">
            <v>20034589</v>
          </cell>
          <cell r="D5414">
            <v>44777</v>
          </cell>
        </row>
        <row r="5415">
          <cell r="A5415" t="str">
            <v>Jose Carlos Camilo</v>
          </cell>
          <cell r="B5415">
            <v>37008813</v>
          </cell>
          <cell r="C5415">
            <v>20034590</v>
          </cell>
          <cell r="D5415">
            <v>44777</v>
          </cell>
        </row>
        <row r="5416">
          <cell r="A5416" t="str">
            <v>Benedito Cleber De Siqueira</v>
          </cell>
          <cell r="B5416">
            <v>37008845</v>
          </cell>
          <cell r="C5416">
            <v>20034593</v>
          </cell>
          <cell r="D5416">
            <v>44777</v>
          </cell>
        </row>
        <row r="5417">
          <cell r="A5417" t="str">
            <v>Ademir Cordeiro De Lima</v>
          </cell>
          <cell r="B5417">
            <v>37008976</v>
          </cell>
          <cell r="C5417">
            <v>20034596</v>
          </cell>
          <cell r="D5417">
            <v>44777</v>
          </cell>
        </row>
        <row r="5418">
          <cell r="A5418" t="str">
            <v>Pedro Pereira Da Silva</v>
          </cell>
          <cell r="B5418">
            <v>37008841</v>
          </cell>
          <cell r="C5418">
            <v>20034595</v>
          </cell>
          <cell r="D5418">
            <v>44777</v>
          </cell>
        </row>
        <row r="5419">
          <cell r="A5419" t="str">
            <v>Fabio Junior Mendes Da Silva</v>
          </cell>
          <cell r="B5419">
            <v>37008912</v>
          </cell>
          <cell r="C5419">
            <v>20034639</v>
          </cell>
          <cell r="D5419">
            <v>44777</v>
          </cell>
        </row>
        <row r="5420">
          <cell r="A5420" t="str">
            <v>Guilherme Dos Santos De Souza</v>
          </cell>
          <cell r="B5420">
            <v>37008926</v>
          </cell>
          <cell r="C5420">
            <v>20034644</v>
          </cell>
          <cell r="D5420">
            <v>44777</v>
          </cell>
        </row>
        <row r="5421">
          <cell r="A5421" t="str">
            <v>Maicon Mota Santos</v>
          </cell>
          <cell r="B5421">
            <v>37008917</v>
          </cell>
          <cell r="C5421">
            <v>20034642</v>
          </cell>
          <cell r="D5421">
            <v>44777</v>
          </cell>
        </row>
        <row r="5422">
          <cell r="A5422" t="str">
            <v>Gustavo Lima De Oliveira</v>
          </cell>
          <cell r="B5422">
            <v>37009491</v>
          </cell>
          <cell r="C5422">
            <v>20034828</v>
          </cell>
          <cell r="D5422">
            <v>44837</v>
          </cell>
        </row>
        <row r="5423">
          <cell r="A5423" t="str">
            <v>Maria Silvana Dos Santos Blanco</v>
          </cell>
          <cell r="B5423">
            <v>37009496</v>
          </cell>
          <cell r="C5423">
            <v>20034832</v>
          </cell>
          <cell r="D5423">
            <v>44837</v>
          </cell>
        </row>
        <row r="5424">
          <cell r="A5424" t="str">
            <v>Juliana Tomaz De Aquino</v>
          </cell>
          <cell r="B5424">
            <v>37009495</v>
          </cell>
          <cell r="C5424">
            <v>20034841</v>
          </cell>
          <cell r="D5424">
            <v>44837</v>
          </cell>
        </row>
        <row r="5425">
          <cell r="A5425" t="str">
            <v>Drieli Da Silva De Godoy</v>
          </cell>
          <cell r="B5425">
            <v>37009540</v>
          </cell>
          <cell r="C5425">
            <v>20034826</v>
          </cell>
          <cell r="D5425">
            <v>44837</v>
          </cell>
        </row>
        <row r="5426">
          <cell r="A5426" t="str">
            <v>Tania De Oliveira Porfirio</v>
          </cell>
          <cell r="B5426">
            <v>37009494</v>
          </cell>
          <cell r="C5426">
            <v>20034830</v>
          </cell>
          <cell r="D5426">
            <v>44837</v>
          </cell>
        </row>
        <row r="5427">
          <cell r="A5427" t="str">
            <v>Solange Aparecida Domingues</v>
          </cell>
          <cell r="B5427">
            <v>37009493</v>
          </cell>
          <cell r="C5427">
            <v>20034842</v>
          </cell>
          <cell r="D5427">
            <v>44837</v>
          </cell>
        </row>
        <row r="5428">
          <cell r="A5428" t="str">
            <v>Juliana Leite Caetano</v>
          </cell>
          <cell r="B5428">
            <v>37009500</v>
          </cell>
          <cell r="C5428">
            <v>20034843</v>
          </cell>
          <cell r="D5428">
            <v>44837</v>
          </cell>
        </row>
        <row r="5429">
          <cell r="A5429" t="str">
            <v>Odair Rogerio De Souza</v>
          </cell>
          <cell r="B5429">
            <v>37009513</v>
          </cell>
          <cell r="C5429">
            <v>20034870</v>
          </cell>
          <cell r="D5429">
            <v>44837</v>
          </cell>
        </row>
        <row r="5430">
          <cell r="A5430" t="str">
            <v>Ramiro Pinheiro Lima Filho</v>
          </cell>
          <cell r="B5430">
            <v>37009522</v>
          </cell>
          <cell r="C5430">
            <v>20034872</v>
          </cell>
          <cell r="D5430">
            <v>44837</v>
          </cell>
        </row>
        <row r="5431">
          <cell r="A5431" t="str">
            <v>Luis Paulo Santos Silva</v>
          </cell>
          <cell r="B5431">
            <v>37009509</v>
          </cell>
          <cell r="C5431">
            <v>20034873</v>
          </cell>
          <cell r="D5431">
            <v>44837</v>
          </cell>
        </row>
        <row r="5432">
          <cell r="A5432" t="str">
            <v>Marli Quirino Morais</v>
          </cell>
          <cell r="B5432">
            <v>37009503</v>
          </cell>
          <cell r="C5432">
            <v>20034881</v>
          </cell>
          <cell r="D5432">
            <v>44837</v>
          </cell>
        </row>
        <row r="5433">
          <cell r="A5433" t="str">
            <v>Ivonete Aparecida Goncalves Brito</v>
          </cell>
          <cell r="B5433">
            <v>37009524</v>
          </cell>
          <cell r="C5433">
            <v>20034876</v>
          </cell>
          <cell r="D5433">
            <v>44837</v>
          </cell>
        </row>
        <row r="5434">
          <cell r="A5434" t="str">
            <v>Gabriely Tayna Pomare</v>
          </cell>
          <cell r="B5434">
            <v>37009523</v>
          </cell>
          <cell r="C5434">
            <v>20034877</v>
          </cell>
          <cell r="D5434">
            <v>44837</v>
          </cell>
        </row>
        <row r="5435">
          <cell r="A5435" t="str">
            <v>Luciana De Oliveira Silva</v>
          </cell>
          <cell r="B5435">
            <v>37009541</v>
          </cell>
          <cell r="C5435">
            <v>20034878</v>
          </cell>
          <cell r="D5435">
            <v>44837</v>
          </cell>
        </row>
        <row r="5436">
          <cell r="A5436" t="str">
            <v>Claudineia De Souza Do Rosario</v>
          </cell>
          <cell r="B5436">
            <v>37009504</v>
          </cell>
          <cell r="C5436">
            <v>20034880</v>
          </cell>
          <cell r="D5436">
            <v>44837</v>
          </cell>
        </row>
        <row r="5437">
          <cell r="A5437" t="str">
            <v>Fabio Junior Alves Ferreira</v>
          </cell>
          <cell r="B5437">
            <v>37009514</v>
          </cell>
          <cell r="C5437">
            <v>20034884</v>
          </cell>
          <cell r="D5437">
            <v>44837</v>
          </cell>
        </row>
        <row r="5438">
          <cell r="A5438" t="str">
            <v>Giovana Cristina Antonio</v>
          </cell>
          <cell r="B5438">
            <v>37009527</v>
          </cell>
          <cell r="C5438">
            <v>20034890</v>
          </cell>
          <cell r="D5438">
            <v>44837</v>
          </cell>
        </row>
        <row r="5439">
          <cell r="A5439" t="str">
            <v>Fernanda Reis Pinto</v>
          </cell>
          <cell r="B5439">
            <v>37009501</v>
          </cell>
          <cell r="C5439">
            <v>20034883</v>
          </cell>
          <cell r="D5439">
            <v>44837</v>
          </cell>
        </row>
        <row r="5440">
          <cell r="A5440" t="str">
            <v>Alex Baumann Skau</v>
          </cell>
          <cell r="B5440">
            <v>37009532</v>
          </cell>
          <cell r="C5440">
            <v>20034887</v>
          </cell>
          <cell r="D5440">
            <v>44837</v>
          </cell>
        </row>
        <row r="5441">
          <cell r="A5441" t="str">
            <v>Gilmar Evangelista De Oliveira</v>
          </cell>
          <cell r="B5441">
            <v>37009538</v>
          </cell>
          <cell r="C5441">
            <v>20034889</v>
          </cell>
          <cell r="D5441">
            <v>44837</v>
          </cell>
        </row>
        <row r="5442">
          <cell r="A5442" t="str">
            <v>David Ferreira</v>
          </cell>
          <cell r="B5442">
            <v>37009521</v>
          </cell>
          <cell r="C5442">
            <v>20034891</v>
          </cell>
          <cell r="D5442">
            <v>44837</v>
          </cell>
        </row>
        <row r="5443">
          <cell r="A5443" t="str">
            <v>Cristofer Felipe Ferreira</v>
          </cell>
          <cell r="B5443">
            <v>37009529</v>
          </cell>
          <cell r="C5443">
            <v>20034893</v>
          </cell>
          <cell r="D5443">
            <v>44837</v>
          </cell>
        </row>
        <row r="5444">
          <cell r="A5444" t="str">
            <v>Carlos Alberto Brazilio</v>
          </cell>
          <cell r="B5444">
            <v>37009526</v>
          </cell>
          <cell r="C5444">
            <v>20034894</v>
          </cell>
          <cell r="D5444">
            <v>44837</v>
          </cell>
        </row>
        <row r="5445">
          <cell r="A5445" t="str">
            <v>Aurinha Ferreira Dos Santos Gomes</v>
          </cell>
          <cell r="B5445">
            <v>37009537</v>
          </cell>
          <cell r="C5445">
            <v>20034892</v>
          </cell>
          <cell r="D5445">
            <v>44837</v>
          </cell>
        </row>
        <row r="5446">
          <cell r="A5446" t="str">
            <v>Robson Carlos Pascoine</v>
          </cell>
          <cell r="B5446">
            <v>37009531</v>
          </cell>
          <cell r="C5446">
            <v>20034896</v>
          </cell>
          <cell r="D5446">
            <v>44837</v>
          </cell>
        </row>
        <row r="5447">
          <cell r="A5447" t="str">
            <v>Ido Camargo Junior</v>
          </cell>
          <cell r="B5447">
            <v>37003903</v>
          </cell>
          <cell r="C5447">
            <v>20009260</v>
          </cell>
          <cell r="D5447">
            <v>43770</v>
          </cell>
        </row>
        <row r="5448">
          <cell r="A5448" t="str">
            <v>Matheus Tozelli Ferraresi</v>
          </cell>
          <cell r="B5448">
            <v>37009518</v>
          </cell>
          <cell r="C5448">
            <v>20034897</v>
          </cell>
          <cell r="D5448">
            <v>44837</v>
          </cell>
        </row>
        <row r="5449">
          <cell r="A5449" t="str">
            <v>Julio Cesar Fernandes</v>
          </cell>
          <cell r="B5449">
            <v>37008874</v>
          </cell>
          <cell r="C5449">
            <v>20034914</v>
          </cell>
          <cell r="D5449">
            <v>44777</v>
          </cell>
        </row>
        <row r="5450">
          <cell r="A5450" t="str">
            <v>John Mayk Tocantins Da Silva</v>
          </cell>
          <cell r="B5450">
            <v>37008816</v>
          </cell>
          <cell r="C5450">
            <v>20034918</v>
          </cell>
          <cell r="D5450">
            <v>44777</v>
          </cell>
        </row>
        <row r="5451">
          <cell r="A5451" t="str">
            <v>Bruno Aparecido Soares</v>
          </cell>
          <cell r="B5451">
            <v>37008809</v>
          </cell>
          <cell r="C5451">
            <v>20034917</v>
          </cell>
          <cell r="D5451">
            <v>44777</v>
          </cell>
        </row>
        <row r="5452">
          <cell r="A5452" t="str">
            <v>Douglas Weliton Pereira</v>
          </cell>
          <cell r="B5452">
            <v>37008822</v>
          </cell>
          <cell r="C5452">
            <v>20034923</v>
          </cell>
          <cell r="D5452">
            <v>44777</v>
          </cell>
        </row>
        <row r="5453">
          <cell r="A5453" t="str">
            <v>Jose Roberto Ferreira Souza</v>
          </cell>
          <cell r="B5453">
            <v>37008873</v>
          </cell>
          <cell r="C5453">
            <v>20034928</v>
          </cell>
          <cell r="D5453">
            <v>44777</v>
          </cell>
        </row>
        <row r="5454">
          <cell r="A5454" t="str">
            <v>Diogenes Carlos Pereira</v>
          </cell>
          <cell r="B5454">
            <v>37008854</v>
          </cell>
          <cell r="C5454">
            <v>20034929</v>
          </cell>
          <cell r="D5454">
            <v>44777</v>
          </cell>
        </row>
        <row r="5455">
          <cell r="A5455" t="str">
            <v>Kaina Dos Santos Diniz</v>
          </cell>
          <cell r="B5455">
            <v>37008857</v>
          </cell>
          <cell r="C5455">
            <v>20034924</v>
          </cell>
          <cell r="D5455">
            <v>44777</v>
          </cell>
        </row>
        <row r="5456">
          <cell r="A5456" t="str">
            <v>Jefferson Volpato Da Silva</v>
          </cell>
          <cell r="B5456">
            <v>37008839</v>
          </cell>
          <cell r="C5456">
            <v>20034930</v>
          </cell>
          <cell r="D5456">
            <v>44777</v>
          </cell>
        </row>
        <row r="5457">
          <cell r="A5457" t="str">
            <v>Claudoardes Jesus Da Silva</v>
          </cell>
          <cell r="B5457">
            <v>37008828</v>
          </cell>
          <cell r="C5457">
            <v>20034934</v>
          </cell>
          <cell r="D5457">
            <v>44777</v>
          </cell>
        </row>
        <row r="5458">
          <cell r="A5458" t="str">
            <v>Everton Nascimento Machado</v>
          </cell>
          <cell r="B5458">
            <v>37008830</v>
          </cell>
          <cell r="C5458">
            <v>20034933</v>
          </cell>
          <cell r="D5458">
            <v>44777</v>
          </cell>
        </row>
        <row r="5459">
          <cell r="A5459" t="str">
            <v>Fausto Augusto Pinheiro</v>
          </cell>
          <cell r="B5459">
            <v>37008825</v>
          </cell>
          <cell r="C5459">
            <v>20034937</v>
          </cell>
          <cell r="D5459">
            <v>44777</v>
          </cell>
        </row>
        <row r="5460">
          <cell r="A5460" t="str">
            <v>Gabriel Vinicius Santos Silva</v>
          </cell>
          <cell r="B5460">
            <v>37009536</v>
          </cell>
          <cell r="C5460">
            <v>20035242</v>
          </cell>
          <cell r="D5460">
            <v>44837</v>
          </cell>
        </row>
        <row r="5461">
          <cell r="A5461" t="str">
            <v>Lucivaldo Dos Santos Galvao</v>
          </cell>
          <cell r="B5461">
            <v>37008939</v>
          </cell>
          <cell r="C5461">
            <v>20035265</v>
          </cell>
          <cell r="D5461">
            <v>44777</v>
          </cell>
        </row>
        <row r="5462">
          <cell r="A5462" t="str">
            <v>Luis Gustavo Amaral</v>
          </cell>
          <cell r="B5462">
            <v>37008936</v>
          </cell>
          <cell r="C5462">
            <v>20035268</v>
          </cell>
          <cell r="D5462">
            <v>44777</v>
          </cell>
        </row>
        <row r="5463">
          <cell r="A5463" t="str">
            <v>Mauricio Calado Da Silva Junior</v>
          </cell>
          <cell r="B5463">
            <v>37008946</v>
          </cell>
          <cell r="C5463">
            <v>20035276</v>
          </cell>
          <cell r="D5463">
            <v>44777</v>
          </cell>
        </row>
        <row r="5464">
          <cell r="A5464" t="str">
            <v>Guilherme Augusto Caravanti Cafeo</v>
          </cell>
          <cell r="B5464">
            <v>37008938</v>
          </cell>
          <cell r="C5464">
            <v>20035266</v>
          </cell>
          <cell r="D5464">
            <v>44777</v>
          </cell>
        </row>
        <row r="5465">
          <cell r="A5465" t="str">
            <v>Nicodemos Cordeiro Macedo</v>
          </cell>
          <cell r="B5465">
            <v>37008957</v>
          </cell>
          <cell r="C5465">
            <v>20035269</v>
          </cell>
          <cell r="D5465">
            <v>44777</v>
          </cell>
        </row>
        <row r="5466">
          <cell r="A5466" t="str">
            <v>Rafael Luiz Peres</v>
          </cell>
          <cell r="B5466">
            <v>37008945</v>
          </cell>
          <cell r="C5466">
            <v>20035275</v>
          </cell>
          <cell r="D5466">
            <v>44777</v>
          </cell>
        </row>
        <row r="5467">
          <cell r="A5467" t="str">
            <v>Jose Augusto Gomes Sabino</v>
          </cell>
          <cell r="B5467">
            <v>37008913</v>
          </cell>
          <cell r="C5467">
            <v>20035277</v>
          </cell>
          <cell r="D5467">
            <v>44777</v>
          </cell>
        </row>
        <row r="5468">
          <cell r="A5468" t="str">
            <v>Sebastiao Antonio Da Silva</v>
          </cell>
          <cell r="B5468">
            <v>37008934</v>
          </cell>
          <cell r="C5468">
            <v>20035280</v>
          </cell>
          <cell r="D5468">
            <v>44777</v>
          </cell>
        </row>
        <row r="5469">
          <cell r="A5469" t="str">
            <v>Milandia Vicente Costa</v>
          </cell>
          <cell r="B5469">
            <v>37008955</v>
          </cell>
          <cell r="C5469">
            <v>20035279</v>
          </cell>
          <cell r="D5469">
            <v>44777</v>
          </cell>
        </row>
        <row r="5470">
          <cell r="A5470" t="str">
            <v>Ricardo Mateus Silvestrini Dias</v>
          </cell>
          <cell r="B5470">
            <v>37008941</v>
          </cell>
          <cell r="C5470">
            <v>20035286</v>
          </cell>
          <cell r="D5470">
            <v>44777</v>
          </cell>
        </row>
        <row r="5471">
          <cell r="A5471" t="str">
            <v>Silvio Cesar Ribeiro De Novaes</v>
          </cell>
          <cell r="B5471">
            <v>37008930</v>
          </cell>
          <cell r="C5471">
            <v>20035287</v>
          </cell>
          <cell r="D5471">
            <v>44777</v>
          </cell>
        </row>
        <row r="5472">
          <cell r="A5472" t="str">
            <v>Reginaldo Cardoso Da Silva</v>
          </cell>
          <cell r="B5472">
            <v>37008887</v>
          </cell>
          <cell r="C5472">
            <v>20035288</v>
          </cell>
          <cell r="D5472">
            <v>44777</v>
          </cell>
        </row>
        <row r="5473">
          <cell r="A5473" t="str">
            <v>Levi Borges Da Cunha</v>
          </cell>
          <cell r="B5473">
            <v>37008880</v>
          </cell>
          <cell r="C5473">
            <v>20035289</v>
          </cell>
          <cell r="D5473">
            <v>44777</v>
          </cell>
        </row>
        <row r="5474">
          <cell r="A5474" t="str">
            <v>Mario De Oliveira Almeida</v>
          </cell>
          <cell r="B5474">
            <v>37008890</v>
          </cell>
          <cell r="C5474">
            <v>20035282</v>
          </cell>
          <cell r="D5474">
            <v>44777</v>
          </cell>
        </row>
        <row r="5475">
          <cell r="A5475" t="str">
            <v>Vanderlei Natalicio Minatelli</v>
          </cell>
          <cell r="B5475">
            <v>37008927</v>
          </cell>
          <cell r="C5475">
            <v>20035283</v>
          </cell>
          <cell r="D5475">
            <v>44777</v>
          </cell>
        </row>
        <row r="5476">
          <cell r="A5476" t="str">
            <v>Jose Manoel Ferreira Da Silva</v>
          </cell>
          <cell r="B5476">
            <v>37008922</v>
          </cell>
          <cell r="C5476">
            <v>20035284</v>
          </cell>
          <cell r="D5476">
            <v>44777</v>
          </cell>
        </row>
        <row r="5477">
          <cell r="A5477" t="str">
            <v>Deybison Xavier Pereira</v>
          </cell>
          <cell r="B5477">
            <v>37009555</v>
          </cell>
          <cell r="C5477">
            <v>20035348</v>
          </cell>
          <cell r="D5477">
            <v>44837</v>
          </cell>
        </row>
        <row r="5478">
          <cell r="A5478" t="str">
            <v>Olaziel Goncalves Ferreira</v>
          </cell>
          <cell r="B5478">
            <v>37009597</v>
          </cell>
          <cell r="C5478">
            <v>20035356</v>
          </cell>
          <cell r="D5478">
            <v>44837</v>
          </cell>
        </row>
        <row r="5479">
          <cell r="A5479" t="str">
            <v>Jonas Daniel Fernandes</v>
          </cell>
          <cell r="B5479">
            <v>37009544</v>
          </cell>
          <cell r="C5479">
            <v>20035355</v>
          </cell>
          <cell r="D5479">
            <v>44837</v>
          </cell>
        </row>
        <row r="5480">
          <cell r="A5480" t="str">
            <v>Anderson Luiz Santos De Franca</v>
          </cell>
          <cell r="B5480">
            <v>37009578</v>
          </cell>
          <cell r="C5480">
            <v>20035359</v>
          </cell>
          <cell r="D5480">
            <v>44837</v>
          </cell>
        </row>
        <row r="5481">
          <cell r="A5481" t="str">
            <v>Ricardo Rocha Silvestre</v>
          </cell>
          <cell r="B5481">
            <v>37009580</v>
          </cell>
          <cell r="C5481">
            <v>20035361</v>
          </cell>
          <cell r="D5481">
            <v>44844</v>
          </cell>
        </row>
        <row r="5482">
          <cell r="A5482" t="str">
            <v>Mayco Marques Oliveira</v>
          </cell>
          <cell r="B5482">
            <v>37009548</v>
          </cell>
          <cell r="C5482">
            <v>20035366</v>
          </cell>
          <cell r="D5482">
            <v>44837</v>
          </cell>
        </row>
        <row r="5483">
          <cell r="A5483" t="str">
            <v>Matheus Henrique Cruz De Oliveira</v>
          </cell>
          <cell r="B5483">
            <v>37009581</v>
          </cell>
          <cell r="C5483">
            <v>20035358</v>
          </cell>
          <cell r="D5483">
            <v>44837</v>
          </cell>
        </row>
        <row r="5484">
          <cell r="A5484" t="str">
            <v>Jose Jocimar Ruy Pinto</v>
          </cell>
          <cell r="B5484">
            <v>37009586</v>
          </cell>
          <cell r="C5484">
            <v>20035362</v>
          </cell>
          <cell r="D5484">
            <v>44837</v>
          </cell>
        </row>
        <row r="5485">
          <cell r="A5485" t="str">
            <v>Eliel Santos Cardoso</v>
          </cell>
          <cell r="B5485">
            <v>37009565</v>
          </cell>
          <cell r="C5485">
            <v>20035373</v>
          </cell>
          <cell r="D5485">
            <v>44837</v>
          </cell>
        </row>
        <row r="5486">
          <cell r="A5486" t="str">
            <v>Claudinei De Oliveira</v>
          </cell>
          <cell r="B5486">
            <v>37009594</v>
          </cell>
          <cell r="C5486">
            <v>20035372</v>
          </cell>
          <cell r="D5486">
            <v>44837</v>
          </cell>
        </row>
        <row r="5487">
          <cell r="A5487" t="str">
            <v>Izabella Zagato Giglioli Da Costa</v>
          </cell>
          <cell r="B5487">
            <v>37002614</v>
          </cell>
          <cell r="C5487">
            <v>20009287</v>
          </cell>
          <cell r="D5487">
            <v>43409</v>
          </cell>
        </row>
        <row r="5488">
          <cell r="A5488" t="str">
            <v>Antonio Jose Da Silva</v>
          </cell>
          <cell r="B5488">
            <v>37008979</v>
          </cell>
          <cell r="C5488">
            <v>20035547</v>
          </cell>
          <cell r="D5488">
            <v>44777</v>
          </cell>
        </row>
        <row r="5489">
          <cell r="A5489" t="str">
            <v>Fabiano Da Silva Prates</v>
          </cell>
          <cell r="B5489">
            <v>37008837</v>
          </cell>
          <cell r="C5489">
            <v>20035550</v>
          </cell>
          <cell r="D5489">
            <v>44777</v>
          </cell>
        </row>
        <row r="5490">
          <cell r="A5490" t="str">
            <v>Jonathan Nunes Da Silva</v>
          </cell>
          <cell r="B5490">
            <v>37008840</v>
          </cell>
          <cell r="C5490">
            <v>20035551</v>
          </cell>
          <cell r="D5490">
            <v>44777</v>
          </cell>
        </row>
        <row r="5491">
          <cell r="A5491" t="str">
            <v>Rodrigo Venancio</v>
          </cell>
          <cell r="B5491">
            <v>37008943</v>
          </cell>
          <cell r="C5491">
            <v>20035553</v>
          </cell>
          <cell r="D5491">
            <v>44777</v>
          </cell>
        </row>
        <row r="5492">
          <cell r="A5492" t="str">
            <v>Bruno Felipe De Oliveira</v>
          </cell>
          <cell r="B5492">
            <v>37008806</v>
          </cell>
          <cell r="C5492">
            <v>20035549</v>
          </cell>
          <cell r="D5492">
            <v>44777</v>
          </cell>
        </row>
        <row r="5493">
          <cell r="A5493" t="str">
            <v>Luiz Antonio Correia</v>
          </cell>
          <cell r="B5493">
            <v>37008985</v>
          </cell>
          <cell r="C5493">
            <v>20035552</v>
          </cell>
          <cell r="D5493">
            <v>44777</v>
          </cell>
        </row>
        <row r="5494">
          <cell r="A5494" t="str">
            <v>Joao Paulo De Andrade</v>
          </cell>
          <cell r="B5494">
            <v>37009604</v>
          </cell>
          <cell r="C5494">
            <v>20035646</v>
          </cell>
          <cell r="D5494">
            <v>44839</v>
          </cell>
        </row>
        <row r="5495">
          <cell r="A5495" t="str">
            <v>Welington De Melo Cardoso</v>
          </cell>
          <cell r="B5495">
            <v>37009613</v>
          </cell>
          <cell r="C5495">
            <v>20035656</v>
          </cell>
          <cell r="D5495">
            <v>44839</v>
          </cell>
        </row>
        <row r="5496">
          <cell r="A5496" t="str">
            <v>Daniel Oliveira Lima</v>
          </cell>
          <cell r="B5496">
            <v>37009605</v>
          </cell>
          <cell r="C5496">
            <v>20035650</v>
          </cell>
          <cell r="D5496">
            <v>44839</v>
          </cell>
        </row>
        <row r="5497">
          <cell r="A5497" t="str">
            <v>Jorge Gomes De Moraes Junior</v>
          </cell>
          <cell r="B5497">
            <v>37009610</v>
          </cell>
          <cell r="C5497">
            <v>20035653</v>
          </cell>
          <cell r="D5497">
            <v>44839</v>
          </cell>
        </row>
        <row r="5498">
          <cell r="A5498" t="str">
            <v>Leandro Aparecido Fiomani Bonfim</v>
          </cell>
          <cell r="B5498">
            <v>37009608</v>
          </cell>
          <cell r="C5498">
            <v>20035655</v>
          </cell>
          <cell r="D5498">
            <v>44839</v>
          </cell>
        </row>
        <row r="5499">
          <cell r="A5499" t="str">
            <v>Robson William De Oliveira</v>
          </cell>
          <cell r="B5499">
            <v>37009614</v>
          </cell>
          <cell r="C5499">
            <v>20035694</v>
          </cell>
          <cell r="D5499">
            <v>44839</v>
          </cell>
        </row>
        <row r="5500">
          <cell r="A5500" t="str">
            <v>Bruno Martins</v>
          </cell>
          <cell r="B5500">
            <v>37009619</v>
          </cell>
          <cell r="C5500">
            <v>20035711</v>
          </cell>
          <cell r="D5500">
            <v>44844</v>
          </cell>
        </row>
        <row r="5501">
          <cell r="A5501" t="str">
            <v>Cristiano Rodrigo Ladeira</v>
          </cell>
          <cell r="B5501">
            <v>37009620</v>
          </cell>
          <cell r="C5501">
            <v>20035712</v>
          </cell>
          <cell r="D5501">
            <v>44844</v>
          </cell>
        </row>
        <row r="5502">
          <cell r="A5502" t="str">
            <v>Robson Pires Santos</v>
          </cell>
          <cell r="B5502">
            <v>37009621</v>
          </cell>
          <cell r="C5502">
            <v>20035726</v>
          </cell>
          <cell r="D5502">
            <v>44844</v>
          </cell>
        </row>
        <row r="5503">
          <cell r="A5503" t="str">
            <v>Cristiano Paulo Dos Santos</v>
          </cell>
          <cell r="B5503">
            <v>37009647</v>
          </cell>
          <cell r="C5503">
            <v>20035719</v>
          </cell>
          <cell r="D5503">
            <v>44844</v>
          </cell>
        </row>
        <row r="5504">
          <cell r="A5504" t="str">
            <v>Ennia Rafael De Oliveira Guedes Bueno</v>
          </cell>
          <cell r="B5504">
            <v>37009640</v>
          </cell>
          <cell r="C5504">
            <v>20035771</v>
          </cell>
          <cell r="D5504">
            <v>44844</v>
          </cell>
        </row>
        <row r="5505">
          <cell r="A5505" t="str">
            <v>Diego Messias Vicente Leitao</v>
          </cell>
          <cell r="B5505">
            <v>37004573</v>
          </cell>
          <cell r="C5505">
            <v>20010096</v>
          </cell>
          <cell r="D5505">
            <v>43997</v>
          </cell>
        </row>
        <row r="5506">
          <cell r="A5506" t="str">
            <v>Efigenio Teixeira Lopes</v>
          </cell>
          <cell r="B5506">
            <v>37002422</v>
          </cell>
          <cell r="C5506">
            <v>20008972</v>
          </cell>
          <cell r="D5506">
            <v>43332</v>
          </cell>
        </row>
        <row r="5507">
          <cell r="A5507" t="str">
            <v>Andreia De Almeida Bueno</v>
          </cell>
          <cell r="B5507">
            <v>37003452</v>
          </cell>
          <cell r="C5507">
            <v>20008630</v>
          </cell>
          <cell r="D5507">
            <v>43656</v>
          </cell>
        </row>
        <row r="5508">
          <cell r="A5508" t="str">
            <v>Marcio Jose Ruiz Pires</v>
          </cell>
          <cell r="B5508">
            <v>37000606</v>
          </cell>
          <cell r="C5508">
            <v>20009612</v>
          </cell>
          <cell r="D5508">
            <v>39468</v>
          </cell>
        </row>
        <row r="5509">
          <cell r="A5509" t="str">
            <v>Carlos Alberto Rossini Junior</v>
          </cell>
          <cell r="B5509">
            <v>37006908</v>
          </cell>
          <cell r="C5509">
            <v>20020991</v>
          </cell>
          <cell r="D5509">
            <v>44550</v>
          </cell>
        </row>
        <row r="5510">
          <cell r="A5510" t="str">
            <v>Wagner Alexandre Dos Santos Silva</v>
          </cell>
          <cell r="B5510">
            <v>37006910</v>
          </cell>
          <cell r="C5510">
            <v>20021273</v>
          </cell>
          <cell r="D5510">
            <v>44550</v>
          </cell>
        </row>
        <row r="5511">
          <cell r="A5511" t="str">
            <v>Alessandre Dos Santos Santana</v>
          </cell>
          <cell r="B5511">
            <v>37009698</v>
          </cell>
          <cell r="C5511">
            <v>20035991</v>
          </cell>
          <cell r="D5511">
            <v>44851</v>
          </cell>
        </row>
        <row r="5512">
          <cell r="A5512" t="str">
            <v>Fernando Jose Da Silva</v>
          </cell>
          <cell r="B5512">
            <v>37009712</v>
          </cell>
          <cell r="C5512">
            <v>20035996</v>
          </cell>
          <cell r="D5512">
            <v>44851</v>
          </cell>
        </row>
        <row r="5513">
          <cell r="A5513" t="str">
            <v>Mariana De Oliveira Martins</v>
          </cell>
          <cell r="B5513">
            <v>37009688</v>
          </cell>
          <cell r="C5513">
            <v>20036001</v>
          </cell>
          <cell r="D5513">
            <v>44851</v>
          </cell>
        </row>
        <row r="5514">
          <cell r="A5514" t="str">
            <v>Bruno Silva Soares</v>
          </cell>
          <cell r="B5514">
            <v>37009734</v>
          </cell>
          <cell r="C5514">
            <v>20036004</v>
          </cell>
          <cell r="D5514">
            <v>44851</v>
          </cell>
        </row>
        <row r="5515">
          <cell r="A5515" t="str">
            <v>Emerson Roberto Schoeninger</v>
          </cell>
          <cell r="B5515">
            <v>37003914</v>
          </cell>
          <cell r="C5515">
            <v>20009008</v>
          </cell>
          <cell r="D5515">
            <v>43773</v>
          </cell>
        </row>
        <row r="5516">
          <cell r="A5516" t="str">
            <v>Vanderlei Donisete Geraldi</v>
          </cell>
          <cell r="B5516">
            <v>37009707</v>
          </cell>
          <cell r="C5516">
            <v>20036371</v>
          </cell>
          <cell r="D5516">
            <v>44851</v>
          </cell>
        </row>
        <row r="5517">
          <cell r="A5517" t="str">
            <v>Daniele Medina Brazoloto</v>
          </cell>
          <cell r="B5517">
            <v>37002421</v>
          </cell>
          <cell r="C5517">
            <v>20008866</v>
          </cell>
          <cell r="D5517">
            <v>43332</v>
          </cell>
        </row>
        <row r="5518">
          <cell r="A5518" t="str">
            <v>Cleisson Souza Rocha</v>
          </cell>
          <cell r="B5518">
            <v>37009704</v>
          </cell>
          <cell r="C5518">
            <v>20036379</v>
          </cell>
          <cell r="D5518">
            <v>44851</v>
          </cell>
        </row>
        <row r="5519">
          <cell r="A5519" t="str">
            <v>Marina Sinicio De Barros</v>
          </cell>
          <cell r="B5519">
            <v>37005286</v>
          </cell>
          <cell r="C5519">
            <v>20011111</v>
          </cell>
          <cell r="D5519">
            <v>44158</v>
          </cell>
        </row>
        <row r="5520">
          <cell r="A5520" t="str">
            <v>Jose Dos Santos Pereira</v>
          </cell>
          <cell r="B5520">
            <v>37009702</v>
          </cell>
          <cell r="C5520">
            <v>20036373</v>
          </cell>
          <cell r="D5520">
            <v>44851</v>
          </cell>
        </row>
        <row r="5521">
          <cell r="A5521" t="str">
            <v>Natalia De Oliveira Alberconi</v>
          </cell>
          <cell r="B5521">
            <v>37004954</v>
          </cell>
          <cell r="C5521">
            <v>20008438</v>
          </cell>
          <cell r="D5521">
            <v>44109</v>
          </cell>
        </row>
        <row r="5522">
          <cell r="A5522" t="str">
            <v>Manoel Browne De Paula</v>
          </cell>
          <cell r="B5522">
            <v>37009739</v>
          </cell>
          <cell r="C5522">
            <v>20036459</v>
          </cell>
          <cell r="D5522">
            <v>44851</v>
          </cell>
        </row>
        <row r="5523">
          <cell r="A5523" t="str">
            <v>Jose Victor Marcolino Ianuck</v>
          </cell>
          <cell r="B5523">
            <v>37009740</v>
          </cell>
          <cell r="C5523">
            <v>20036464</v>
          </cell>
          <cell r="D5523">
            <v>44851</v>
          </cell>
        </row>
        <row r="5524">
          <cell r="A5524" t="str">
            <v>Marcelo Lourenco Mariano</v>
          </cell>
          <cell r="B5524">
            <v>37009748</v>
          </cell>
          <cell r="C5524">
            <v>20036471</v>
          </cell>
          <cell r="D5524">
            <v>44851</v>
          </cell>
        </row>
        <row r="5525">
          <cell r="A5525" t="str">
            <v>Marcos Machado Dos Santos Junior</v>
          </cell>
          <cell r="B5525">
            <v>37009747</v>
          </cell>
          <cell r="C5525">
            <v>20036470</v>
          </cell>
          <cell r="D5525">
            <v>44851</v>
          </cell>
        </row>
        <row r="5526">
          <cell r="A5526" t="str">
            <v>Antonio Jose Fernandes</v>
          </cell>
          <cell r="B5526">
            <v>37006559</v>
          </cell>
          <cell r="C5526">
            <v>20018135</v>
          </cell>
          <cell r="D5526">
            <v>44473</v>
          </cell>
        </row>
        <row r="5527">
          <cell r="A5527" t="str">
            <v>Durval Nascimento Bento</v>
          </cell>
          <cell r="B5527">
            <v>37006039</v>
          </cell>
          <cell r="C5527">
            <v>20015668</v>
          </cell>
          <cell r="D5527">
            <v>44396</v>
          </cell>
        </row>
        <row r="5528">
          <cell r="A5528" t="str">
            <v>Julio Aparecido Silveira</v>
          </cell>
          <cell r="B5528">
            <v>37009044</v>
          </cell>
          <cell r="C5528">
            <v>20036624</v>
          </cell>
          <cell r="D5528">
            <v>44781</v>
          </cell>
        </row>
        <row r="5529">
          <cell r="A5529" t="str">
            <v>Jose Guilherme Pereira Braga</v>
          </cell>
          <cell r="B5529">
            <v>37006202</v>
          </cell>
          <cell r="C5529">
            <v>20017912</v>
          </cell>
          <cell r="D5529">
            <v>44424</v>
          </cell>
        </row>
        <row r="5530">
          <cell r="A5530" t="str">
            <v>Jose Antonio Zanon</v>
          </cell>
          <cell r="B5530">
            <v>37000867</v>
          </cell>
          <cell r="C5530">
            <v>20009376</v>
          </cell>
          <cell r="D5530">
            <v>40686</v>
          </cell>
        </row>
        <row r="5531">
          <cell r="A5531" t="str">
            <v>Gilberto Ferreira Moraes</v>
          </cell>
          <cell r="B5531">
            <v>37004677</v>
          </cell>
          <cell r="C5531">
            <v>20008366</v>
          </cell>
          <cell r="D5531">
            <v>44046</v>
          </cell>
        </row>
        <row r="5532">
          <cell r="A5532" t="str">
            <v>Juliana Porto Fernandes</v>
          </cell>
          <cell r="B5532">
            <v>37001822</v>
          </cell>
          <cell r="C5532">
            <v>20009428</v>
          </cell>
          <cell r="D5532">
            <v>42709</v>
          </cell>
        </row>
        <row r="5533">
          <cell r="A5533" t="str">
            <v>Marciano Batista Ferreira</v>
          </cell>
          <cell r="B5533">
            <v>37005933</v>
          </cell>
          <cell r="C5533">
            <v>20016748</v>
          </cell>
          <cell r="D5533">
            <v>44382</v>
          </cell>
        </row>
        <row r="5534">
          <cell r="A5534" t="str">
            <v>Natalia Calderon Ventura</v>
          </cell>
          <cell r="B5534">
            <v>37000703</v>
          </cell>
          <cell r="C5534">
            <v>20009713</v>
          </cell>
          <cell r="D5534">
            <v>39790</v>
          </cell>
        </row>
        <row r="5535">
          <cell r="A5535" t="str">
            <v>Paulo Sergio Valasquim</v>
          </cell>
          <cell r="B5535">
            <v>37006144</v>
          </cell>
          <cell r="C5535">
            <v>20016907</v>
          </cell>
          <cell r="D5535">
            <v>44417</v>
          </cell>
        </row>
        <row r="5536">
          <cell r="A5536" t="str">
            <v>Emerson Rodrigues Da Silva</v>
          </cell>
          <cell r="B5536">
            <v>37008820</v>
          </cell>
          <cell r="C5536">
            <v>20036784</v>
          </cell>
          <cell r="D5536">
            <v>44777</v>
          </cell>
        </row>
        <row r="5537">
          <cell r="A5537" t="str">
            <v>Luciano Aparecido Felix</v>
          </cell>
          <cell r="B5537">
            <v>37009076</v>
          </cell>
          <cell r="C5537">
            <v>20036790</v>
          </cell>
          <cell r="D5537">
            <v>44788</v>
          </cell>
        </row>
        <row r="5538">
          <cell r="A5538" t="str">
            <v>Manoel Victor Barroso Dos Santos</v>
          </cell>
          <cell r="B5538">
            <v>37006238</v>
          </cell>
          <cell r="C5538">
            <v>20016983</v>
          </cell>
          <cell r="D5538">
            <v>44431</v>
          </cell>
        </row>
        <row r="5539">
          <cell r="A5539" t="str">
            <v>Vinicius Ferreira Rodrigues</v>
          </cell>
          <cell r="B5539">
            <v>37003509</v>
          </cell>
          <cell r="C5539">
            <v>20010013</v>
          </cell>
          <cell r="D5539">
            <v>43682</v>
          </cell>
        </row>
        <row r="5540">
          <cell r="A5540" t="str">
            <v>Silvano Barbosa Dos Santos</v>
          </cell>
          <cell r="B5540">
            <v>37000801</v>
          </cell>
          <cell r="C5540">
            <v>20009930</v>
          </cell>
          <cell r="D5540">
            <v>40464</v>
          </cell>
        </row>
        <row r="5541">
          <cell r="A5541" t="str">
            <v>Luiz Fabiano De Godoy</v>
          </cell>
          <cell r="B5541">
            <v>37002862</v>
          </cell>
          <cell r="C5541">
            <v>20009562</v>
          </cell>
          <cell r="D5541">
            <v>43486</v>
          </cell>
        </row>
        <row r="5542">
          <cell r="A5542" t="str">
            <v>Alessandro Mostaco</v>
          </cell>
          <cell r="B5542">
            <v>37005691</v>
          </cell>
          <cell r="C5542">
            <v>20014391</v>
          </cell>
          <cell r="D5542">
            <v>44333</v>
          </cell>
        </row>
        <row r="5543">
          <cell r="A5543" t="str">
            <v>Kassius Kadan Borges Antunes</v>
          </cell>
          <cell r="B5543">
            <v>37006188</v>
          </cell>
          <cell r="C5543">
            <v>20016947</v>
          </cell>
          <cell r="D5543">
            <v>44424</v>
          </cell>
        </row>
        <row r="5544">
          <cell r="A5544" t="str">
            <v>Vinicius Henrique Pereira</v>
          </cell>
          <cell r="B5544">
            <v>37004965</v>
          </cell>
          <cell r="C5544">
            <v>20008461</v>
          </cell>
          <cell r="D5544">
            <v>44109</v>
          </cell>
        </row>
        <row r="5545">
          <cell r="A5545" t="str">
            <v>Alex Aparecido Mendes</v>
          </cell>
          <cell r="B5545">
            <v>37005802</v>
          </cell>
          <cell r="C5545">
            <v>20016034</v>
          </cell>
          <cell r="D5545">
            <v>44348</v>
          </cell>
        </row>
        <row r="5546">
          <cell r="A5546" t="str">
            <v>Leandro Do Nascimento Lima</v>
          </cell>
          <cell r="B5546">
            <v>37006468</v>
          </cell>
          <cell r="C5546">
            <v>20017868</v>
          </cell>
          <cell r="D5546">
            <v>44459</v>
          </cell>
        </row>
        <row r="5547">
          <cell r="A5547" t="str">
            <v>Renato Santos De Assis</v>
          </cell>
          <cell r="B5547">
            <v>37005390</v>
          </cell>
          <cell r="C5547">
            <v>20013511</v>
          </cell>
          <cell r="D5547">
            <v>44256</v>
          </cell>
        </row>
        <row r="5548">
          <cell r="A5548" t="str">
            <v>Reginaldo Trindade</v>
          </cell>
          <cell r="B5548">
            <v>37009020</v>
          </cell>
          <cell r="C5548">
            <v>20008068</v>
          </cell>
          <cell r="D5548">
            <v>44781</v>
          </cell>
        </row>
        <row r="5549">
          <cell r="A5549" t="str">
            <v>Deivid Tavela Dos Santos</v>
          </cell>
          <cell r="B5549">
            <v>37005292</v>
          </cell>
          <cell r="C5549">
            <v>20011067</v>
          </cell>
          <cell r="D5549">
            <v>44172</v>
          </cell>
        </row>
        <row r="5550">
          <cell r="A5550" t="str">
            <v>Bruno Malagi Campanholi</v>
          </cell>
          <cell r="B5550">
            <v>37005291</v>
          </cell>
          <cell r="C5550">
            <v>20011058</v>
          </cell>
          <cell r="D5550">
            <v>44172</v>
          </cell>
        </row>
        <row r="5551">
          <cell r="A5551" t="str">
            <v>Everton Pires Dallaqua</v>
          </cell>
          <cell r="B5551">
            <v>37005295</v>
          </cell>
          <cell r="C5551">
            <v>20011073</v>
          </cell>
          <cell r="D5551">
            <v>44172</v>
          </cell>
        </row>
        <row r="5552">
          <cell r="A5552" t="str">
            <v>Fabio Henrique Rosa</v>
          </cell>
          <cell r="B5552">
            <v>37005189</v>
          </cell>
          <cell r="C5552">
            <v>20011624</v>
          </cell>
          <cell r="D5552">
            <v>44214</v>
          </cell>
        </row>
        <row r="5553">
          <cell r="A5553" t="str">
            <v>Marcelo Aparecido Aguiar</v>
          </cell>
          <cell r="B5553">
            <v>37005389</v>
          </cell>
          <cell r="C5553">
            <v>20013512</v>
          </cell>
          <cell r="D5553">
            <v>44256</v>
          </cell>
        </row>
        <row r="5554">
          <cell r="A5554" t="str">
            <v>Lucas Weslei Do Nascimento Melo</v>
          </cell>
          <cell r="B5554">
            <v>37005171</v>
          </cell>
          <cell r="C5554">
            <v>20011606</v>
          </cell>
          <cell r="D5554">
            <v>44214</v>
          </cell>
        </row>
        <row r="5555">
          <cell r="A5555" t="str">
            <v>Alex Sandro Garcia Lopes</v>
          </cell>
          <cell r="B5555">
            <v>37005579</v>
          </cell>
          <cell r="C5555">
            <v>20013601</v>
          </cell>
          <cell r="D5555">
            <v>44301</v>
          </cell>
        </row>
        <row r="5556">
          <cell r="A5556" t="str">
            <v>Marciel Nunes Coelho</v>
          </cell>
          <cell r="B5556">
            <v>37005972</v>
          </cell>
          <cell r="C5556">
            <v>20016775</v>
          </cell>
          <cell r="D5556">
            <v>44382</v>
          </cell>
        </row>
        <row r="5557">
          <cell r="A5557" t="str">
            <v>Reinaldo Pereira</v>
          </cell>
          <cell r="B5557">
            <v>37005387</v>
          </cell>
          <cell r="C5557">
            <v>20013509</v>
          </cell>
          <cell r="D5557">
            <v>44256</v>
          </cell>
        </row>
        <row r="5558">
          <cell r="A5558" t="str">
            <v>Leandro Da Silva</v>
          </cell>
          <cell r="B5558">
            <v>37005966</v>
          </cell>
          <cell r="C5558">
            <v>20016769</v>
          </cell>
          <cell r="D5558">
            <v>44382</v>
          </cell>
        </row>
        <row r="5559">
          <cell r="A5559" t="str">
            <v>Everton Cesar Melo</v>
          </cell>
          <cell r="B5559">
            <v>37009788</v>
          </cell>
          <cell r="C5559">
            <v>20037058</v>
          </cell>
          <cell r="D5559">
            <v>44872</v>
          </cell>
        </row>
        <row r="5560">
          <cell r="A5560" t="str">
            <v>Jair Calacalcio</v>
          </cell>
          <cell r="B5560">
            <v>37009793</v>
          </cell>
          <cell r="C5560">
            <v>20037063</v>
          </cell>
          <cell r="D5560">
            <v>44868</v>
          </cell>
        </row>
        <row r="5561">
          <cell r="A5561" t="str">
            <v>Manoel Sousa Sobrinho Neto</v>
          </cell>
          <cell r="B5561">
            <v>37010002</v>
          </cell>
          <cell r="C5561">
            <v>20037073</v>
          </cell>
          <cell r="D5561">
            <v>44872</v>
          </cell>
        </row>
        <row r="5562">
          <cell r="A5562" t="str">
            <v>Jorge De Carvalho</v>
          </cell>
          <cell r="B5562">
            <v>37009993</v>
          </cell>
          <cell r="C5562">
            <v>20037082</v>
          </cell>
          <cell r="D5562">
            <v>44872</v>
          </cell>
        </row>
        <row r="5563">
          <cell r="A5563" t="str">
            <v>Raphael Videira Ribas</v>
          </cell>
          <cell r="B5563">
            <v>37009804</v>
          </cell>
          <cell r="C5563">
            <v>20037074</v>
          </cell>
          <cell r="D5563">
            <v>44872</v>
          </cell>
        </row>
        <row r="5564">
          <cell r="A5564" t="str">
            <v>Juciclei Lima Pacheco</v>
          </cell>
          <cell r="B5564">
            <v>37009999</v>
          </cell>
          <cell r="C5564">
            <v>20037104</v>
          </cell>
          <cell r="D5564">
            <v>44872</v>
          </cell>
        </row>
        <row r="5565">
          <cell r="A5565" t="str">
            <v>Ilson Aparecido Victorino</v>
          </cell>
          <cell r="B5565">
            <v>37010015</v>
          </cell>
          <cell r="C5565">
            <v>20037099</v>
          </cell>
          <cell r="D5565">
            <v>44872</v>
          </cell>
        </row>
        <row r="5566">
          <cell r="A5566" t="str">
            <v>Lilian Camargo Consalter</v>
          </cell>
          <cell r="B5566">
            <v>37009832</v>
          </cell>
          <cell r="C5566">
            <v>20037138</v>
          </cell>
          <cell r="D5566">
            <v>44872</v>
          </cell>
        </row>
        <row r="5567">
          <cell r="A5567" t="str">
            <v>Jefferson Souza Desquiavone</v>
          </cell>
          <cell r="B5567">
            <v>37009834</v>
          </cell>
          <cell r="C5567">
            <v>20037140</v>
          </cell>
          <cell r="D5567">
            <v>44868</v>
          </cell>
        </row>
        <row r="5568">
          <cell r="A5568" t="str">
            <v>Bruno Luiz Martimiano Pisani</v>
          </cell>
          <cell r="B5568">
            <v>37009835</v>
          </cell>
          <cell r="C5568">
            <v>20037141</v>
          </cell>
          <cell r="D5568">
            <v>44868</v>
          </cell>
        </row>
        <row r="5569">
          <cell r="A5569" t="str">
            <v>Daniel Almeida De Matos</v>
          </cell>
          <cell r="B5569" t="e">
            <v>#N/A</v>
          </cell>
          <cell r="C5569">
            <v>20037143</v>
          </cell>
          <cell r="D5569" t="e">
            <v>#N/A</v>
          </cell>
        </row>
        <row r="5570">
          <cell r="A5570" t="str">
            <v>Nivaldo Mariano De Lima</v>
          </cell>
          <cell r="B5570">
            <v>37009838</v>
          </cell>
          <cell r="C5570">
            <v>20037144</v>
          </cell>
          <cell r="D5570">
            <v>44872</v>
          </cell>
        </row>
        <row r="5571">
          <cell r="A5571" t="str">
            <v>Maria Do Socorro Carlos Nascimento</v>
          </cell>
          <cell r="B5571">
            <v>37009852</v>
          </cell>
          <cell r="C5571">
            <v>20037159</v>
          </cell>
          <cell r="D5571">
            <v>44872</v>
          </cell>
        </row>
        <row r="5572">
          <cell r="A5572" t="str">
            <v>Henrique Ortigosa Rodrigues Garcia</v>
          </cell>
          <cell r="B5572">
            <v>37009854</v>
          </cell>
          <cell r="C5572">
            <v>20037161</v>
          </cell>
          <cell r="D5572">
            <v>44872</v>
          </cell>
        </row>
        <row r="5573">
          <cell r="A5573" t="str">
            <v>Eleisa Samara Da Silva Santos</v>
          </cell>
          <cell r="B5573">
            <v>37009860</v>
          </cell>
          <cell r="C5573">
            <v>20037167</v>
          </cell>
          <cell r="D5573">
            <v>44872</v>
          </cell>
        </row>
        <row r="5574">
          <cell r="A5574" t="str">
            <v>Erica Nicolau Feitosa Fernandes</v>
          </cell>
          <cell r="B5574">
            <v>37010004</v>
          </cell>
          <cell r="C5574">
            <v>20037168</v>
          </cell>
          <cell r="D5574">
            <v>44872</v>
          </cell>
        </row>
        <row r="5575">
          <cell r="A5575" t="str">
            <v>Arthur Magnino Santana</v>
          </cell>
          <cell r="B5575">
            <v>37009992</v>
          </cell>
          <cell r="C5575">
            <v>20037148</v>
          </cell>
          <cell r="D5575">
            <v>44872</v>
          </cell>
        </row>
        <row r="5576">
          <cell r="A5576" t="str">
            <v>Cineide Da Silva Gomes</v>
          </cell>
          <cell r="B5576">
            <v>37009844</v>
          </cell>
          <cell r="C5576">
            <v>20037151</v>
          </cell>
          <cell r="D5576">
            <v>44872</v>
          </cell>
        </row>
        <row r="5577">
          <cell r="A5577" t="str">
            <v>Gileno De Souza Ramos</v>
          </cell>
          <cell r="B5577">
            <v>37010013</v>
          </cell>
          <cell r="C5577">
            <v>20037154</v>
          </cell>
          <cell r="D5577">
            <v>44872</v>
          </cell>
        </row>
        <row r="5578">
          <cell r="A5578" t="str">
            <v>Junior Cesar De Oliveira Santos</v>
          </cell>
          <cell r="B5578">
            <v>37010010</v>
          </cell>
          <cell r="C5578">
            <v>20037156</v>
          </cell>
          <cell r="D5578">
            <v>44872</v>
          </cell>
        </row>
        <row r="5579">
          <cell r="A5579" t="str">
            <v>Maria Terezinha De Souza Ferraz</v>
          </cell>
          <cell r="B5579">
            <v>37009859</v>
          </cell>
          <cell r="C5579">
            <v>20037166</v>
          </cell>
          <cell r="D5579">
            <v>44872</v>
          </cell>
        </row>
        <row r="5580">
          <cell r="A5580" t="str">
            <v>Rafael Arquimedes Gonzalez Serrano</v>
          </cell>
          <cell r="B5580">
            <v>37009877</v>
          </cell>
          <cell r="C5580">
            <v>20037212</v>
          </cell>
          <cell r="D5580">
            <v>44872</v>
          </cell>
        </row>
        <row r="5581">
          <cell r="A5581" t="str">
            <v>Francisco Lailson Carvalho Silva</v>
          </cell>
          <cell r="B5581">
            <v>37009884</v>
          </cell>
          <cell r="C5581">
            <v>20037219</v>
          </cell>
          <cell r="D5581">
            <v>44872</v>
          </cell>
        </row>
        <row r="5582">
          <cell r="A5582" t="str">
            <v>Joadison De Lima Paixao</v>
          </cell>
          <cell r="B5582">
            <v>37009894</v>
          </cell>
          <cell r="C5582">
            <v>20037229</v>
          </cell>
          <cell r="D5582">
            <v>44872</v>
          </cell>
        </row>
        <row r="5583">
          <cell r="A5583" t="str">
            <v>Samuel Sales Dos Santos</v>
          </cell>
          <cell r="B5583">
            <v>37009898</v>
          </cell>
          <cell r="C5583">
            <v>20037237</v>
          </cell>
          <cell r="D5583">
            <v>44872</v>
          </cell>
        </row>
        <row r="5584">
          <cell r="A5584" t="str">
            <v>Ronilson Pereira Da Silva</v>
          </cell>
          <cell r="B5584">
            <v>37009917</v>
          </cell>
          <cell r="C5584">
            <v>20037270</v>
          </cell>
          <cell r="D5584">
            <v>44872</v>
          </cell>
        </row>
        <row r="5585">
          <cell r="A5585" t="str">
            <v>Matheus Phelyp De Jesus Martins</v>
          </cell>
          <cell r="B5585">
            <v>37009922</v>
          </cell>
          <cell r="C5585">
            <v>20037406</v>
          </cell>
          <cell r="D5585">
            <v>44872</v>
          </cell>
        </row>
        <row r="5586">
          <cell r="A5586" t="str">
            <v>Marlus Schramm De Azevedo Flores</v>
          </cell>
          <cell r="B5586">
            <v>37009983</v>
          </cell>
          <cell r="C5586">
            <v>20037409</v>
          </cell>
          <cell r="D5586">
            <v>44872</v>
          </cell>
        </row>
        <row r="5587">
          <cell r="A5587" t="str">
            <v>Olga Maria Ribeiro De Souza</v>
          </cell>
          <cell r="B5587">
            <v>37010006</v>
          </cell>
          <cell r="C5587">
            <v>20037411</v>
          </cell>
          <cell r="D5587">
            <v>44872</v>
          </cell>
        </row>
        <row r="5588">
          <cell r="A5588" t="str">
            <v>Nilson De Jesus Paiva</v>
          </cell>
          <cell r="B5588">
            <v>37010000</v>
          </cell>
          <cell r="C5588">
            <v>20037412</v>
          </cell>
          <cell r="D5588">
            <v>44872</v>
          </cell>
        </row>
        <row r="5589">
          <cell r="A5589" t="str">
            <v>Manoel Da Silva Dos Santos</v>
          </cell>
          <cell r="B5589">
            <v>37009982</v>
          </cell>
          <cell r="C5589">
            <v>20037432</v>
          </cell>
          <cell r="D5589">
            <v>44872</v>
          </cell>
        </row>
        <row r="5590">
          <cell r="A5590" t="str">
            <v>Marcelo Batista Brito</v>
          </cell>
          <cell r="B5590">
            <v>37009937</v>
          </cell>
          <cell r="C5590">
            <v>20037436</v>
          </cell>
          <cell r="D5590">
            <v>44872</v>
          </cell>
        </row>
        <row r="5591">
          <cell r="A5591" t="str">
            <v>Renan Silva Moreira</v>
          </cell>
          <cell r="B5591">
            <v>37009962</v>
          </cell>
          <cell r="C5591">
            <v>20037480</v>
          </cell>
          <cell r="D5591">
            <v>44872</v>
          </cell>
        </row>
        <row r="5592">
          <cell r="A5592" t="str">
            <v>Priscila De Castro Campos</v>
          </cell>
          <cell r="B5592">
            <v>37009974</v>
          </cell>
          <cell r="C5592">
            <v>20037492</v>
          </cell>
          <cell r="D5592">
            <v>44872</v>
          </cell>
        </row>
        <row r="5593">
          <cell r="A5593" t="str">
            <v>Gleyson Vechi Ferreira</v>
          </cell>
          <cell r="B5593">
            <v>37009978</v>
          </cell>
          <cell r="C5593">
            <v>20037496</v>
          </cell>
          <cell r="D5593">
            <v>44872</v>
          </cell>
        </row>
        <row r="5594">
          <cell r="A5594" t="str">
            <v>LETICIA PEREIRA CAZO</v>
          </cell>
          <cell r="B5594">
            <v>37010018</v>
          </cell>
          <cell r="C5594">
            <v>20037923</v>
          </cell>
          <cell r="D5594">
            <v>44874</v>
          </cell>
        </row>
        <row r="5595">
          <cell r="A5595" t="str">
            <v>Wesley Felipe Eleoterio dos Santos</v>
          </cell>
          <cell r="B5595">
            <v>37010019</v>
          </cell>
          <cell r="C5595">
            <v>20037924</v>
          </cell>
          <cell r="D5595">
            <v>44874</v>
          </cell>
        </row>
        <row r="5596">
          <cell r="A5596" t="str">
            <v>Allan Araujo De Andrade</v>
          </cell>
          <cell r="B5596">
            <v>37010017</v>
          </cell>
          <cell r="C5596">
            <v>20037922</v>
          </cell>
          <cell r="D5596">
            <v>44881</v>
          </cell>
        </row>
        <row r="5597">
          <cell r="A5597" t="str">
            <v>Francismar Malhao Pinheiro</v>
          </cell>
          <cell r="B5597">
            <v>37010091</v>
          </cell>
          <cell r="C5597">
            <v>20038160</v>
          </cell>
          <cell r="D5597">
            <v>44881</v>
          </cell>
        </row>
        <row r="5598">
          <cell r="A5598" t="str">
            <v>Robson Silva De Moura</v>
          </cell>
          <cell r="B5598">
            <v>37010061</v>
          </cell>
          <cell r="C5598">
            <v>20038166</v>
          </cell>
          <cell r="D5598">
            <v>44881</v>
          </cell>
        </row>
        <row r="5599">
          <cell r="A5599" t="str">
            <v>Renato Araujo De Almeida</v>
          </cell>
          <cell r="B5599">
            <v>37010095</v>
          </cell>
          <cell r="C5599">
            <v>20038162</v>
          </cell>
          <cell r="D5599">
            <v>44881</v>
          </cell>
        </row>
        <row r="5600">
          <cell r="A5600" t="str">
            <v>Idario Dutra Mendonca</v>
          </cell>
          <cell r="B5600">
            <v>37010065</v>
          </cell>
          <cell r="C5600">
            <v>20038170</v>
          </cell>
          <cell r="D5600">
            <v>44881</v>
          </cell>
        </row>
        <row r="5601">
          <cell r="A5601" t="str">
            <v>Cacio Dionis Goncalves Dos Santos</v>
          </cell>
          <cell r="B5601">
            <v>37010066</v>
          </cell>
          <cell r="C5601">
            <v>20038171</v>
          </cell>
          <cell r="D5601">
            <v>44881</v>
          </cell>
        </row>
        <row r="5602">
          <cell r="A5602" t="str">
            <v>Adrian De Oliveira Rodrigues</v>
          </cell>
          <cell r="B5602">
            <v>37010104</v>
          </cell>
          <cell r="C5602">
            <v>20038226</v>
          </cell>
          <cell r="D5602">
            <v>44881</v>
          </cell>
        </row>
        <row r="5603">
          <cell r="A5603" t="str">
            <v>Roniely Marques Costa</v>
          </cell>
          <cell r="B5603">
            <v>37010107</v>
          </cell>
          <cell r="C5603">
            <v>20038230</v>
          </cell>
          <cell r="D5603">
            <v>44886</v>
          </cell>
        </row>
        <row r="5604">
          <cell r="A5604" t="str">
            <v>Cristiane Aparecida Miquelino</v>
          </cell>
          <cell r="B5604">
            <v>37010125</v>
          </cell>
          <cell r="C5604">
            <v>20038260</v>
          </cell>
          <cell r="D5604">
            <v>44886</v>
          </cell>
        </row>
        <row r="5605">
          <cell r="A5605" t="str">
            <v>Kananda Caroline Gomes</v>
          </cell>
          <cell r="B5605" t="e">
            <v>#N/A</v>
          </cell>
          <cell r="C5605">
            <v>20038271</v>
          </cell>
          <cell r="D5605" t="e">
            <v>#N/A</v>
          </cell>
        </row>
        <row r="5606">
          <cell r="A5606" t="str">
            <v>Kemilly Rezende Da Silva</v>
          </cell>
          <cell r="B5606">
            <v>37010140</v>
          </cell>
          <cell r="C5606">
            <v>20038275</v>
          </cell>
          <cell r="D5606">
            <v>44886</v>
          </cell>
        </row>
        <row r="5607">
          <cell r="A5607" t="str">
            <v>Raimundo Silva Duarte</v>
          </cell>
          <cell r="B5607">
            <v>37010131</v>
          </cell>
          <cell r="C5607">
            <v>20038266</v>
          </cell>
          <cell r="D5607">
            <v>44886</v>
          </cell>
        </row>
        <row r="5608">
          <cell r="A5608" t="str">
            <v>Alexsander De Souza Berci</v>
          </cell>
          <cell r="B5608" t="e">
            <v>#N/A</v>
          </cell>
          <cell r="C5608">
            <v>20038274</v>
          </cell>
          <cell r="D5608" t="e">
            <v>#N/A</v>
          </cell>
        </row>
        <row r="5609">
          <cell r="A5609" t="str">
            <v>Teresinha De Fatima Da Silva</v>
          </cell>
          <cell r="B5609">
            <v>37010177</v>
          </cell>
          <cell r="C5609">
            <v>20038277</v>
          </cell>
          <cell r="D5609">
            <v>44886</v>
          </cell>
        </row>
        <row r="5610">
          <cell r="A5610" t="str">
            <v>Beatriz Santana De Miranda</v>
          </cell>
          <cell r="B5610">
            <v>37010176</v>
          </cell>
          <cell r="C5610">
            <v>20038278</v>
          </cell>
          <cell r="D5610">
            <v>44886</v>
          </cell>
        </row>
        <row r="5611">
          <cell r="A5611" t="str">
            <v>Breno Correa da Silva Santana</v>
          </cell>
          <cell r="B5611">
            <v>37010162</v>
          </cell>
          <cell r="C5611">
            <v>20038446</v>
          </cell>
          <cell r="D5611">
            <v>44886</v>
          </cell>
        </row>
        <row r="5612">
          <cell r="A5612" t="str">
            <v>Rafael Ramos De Oliveira</v>
          </cell>
          <cell r="B5612">
            <v>37010168</v>
          </cell>
          <cell r="C5612">
            <v>20038452</v>
          </cell>
          <cell r="D5612">
            <v>44886</v>
          </cell>
        </row>
        <row r="5613">
          <cell r="A5613" t="str">
            <v>Isabela Lika Kunii</v>
          </cell>
          <cell r="B5613">
            <v>37010186</v>
          </cell>
          <cell r="C5613">
            <v>20038585</v>
          </cell>
          <cell r="D5613">
            <v>44886</v>
          </cell>
        </row>
        <row r="5614">
          <cell r="A5614" t="str">
            <v>Jaqueline Virginia Zuntini Da Silva</v>
          </cell>
          <cell r="B5614">
            <v>37001421</v>
          </cell>
          <cell r="C5614">
            <v>20009297</v>
          </cell>
          <cell r="D5614">
            <v>41806</v>
          </cell>
        </row>
        <row r="5615">
          <cell r="A5615" t="str">
            <v>Robson Dos Santos Ribeiro Junior</v>
          </cell>
          <cell r="B5615">
            <v>37010199</v>
          </cell>
          <cell r="C5615">
            <v>20038620</v>
          </cell>
          <cell r="D5615">
            <v>44886</v>
          </cell>
        </row>
        <row r="5616">
          <cell r="A5616" t="str">
            <v>Jair Jose Domingo</v>
          </cell>
          <cell r="B5616">
            <v>37010200</v>
          </cell>
          <cell r="C5616">
            <v>20038622</v>
          </cell>
          <cell r="D5616">
            <v>44886</v>
          </cell>
        </row>
        <row r="5617">
          <cell r="A5617" t="str">
            <v>Lucas Vinicius De Moraes Goncalves</v>
          </cell>
          <cell r="B5617">
            <v>37010204</v>
          </cell>
          <cell r="C5617">
            <v>20038618</v>
          </cell>
          <cell r="D5617">
            <v>44886</v>
          </cell>
        </row>
        <row r="5618">
          <cell r="A5618" t="str">
            <v>Rafael Luiz Rodrigues</v>
          </cell>
          <cell r="B5618">
            <v>37010211</v>
          </cell>
          <cell r="C5618">
            <v>20038626</v>
          </cell>
          <cell r="D5618">
            <v>44886</v>
          </cell>
        </row>
        <row r="5619">
          <cell r="A5619" t="str">
            <v>Eliezer Da Silva Teixeira</v>
          </cell>
          <cell r="B5619">
            <v>37010207</v>
          </cell>
          <cell r="C5619">
            <v>20038634</v>
          </cell>
          <cell r="D5619">
            <v>44886</v>
          </cell>
        </row>
        <row r="5620">
          <cell r="A5620" t="str">
            <v>Emerson Vieira Salles</v>
          </cell>
          <cell r="B5620">
            <v>37010210</v>
          </cell>
          <cell r="C5620">
            <v>20038633</v>
          </cell>
          <cell r="D5620">
            <v>44886</v>
          </cell>
        </row>
        <row r="5621">
          <cell r="A5621" t="str">
            <v>Widney Cuba de Lima</v>
          </cell>
          <cell r="B5621">
            <v>37010206</v>
          </cell>
          <cell r="C5621">
            <v>20038635</v>
          </cell>
          <cell r="D5621">
            <v>44886</v>
          </cell>
        </row>
        <row r="5622">
          <cell r="A5622" t="str">
            <v>Vinicius Da Silva Carvalho</v>
          </cell>
          <cell r="B5622">
            <v>37010222</v>
          </cell>
          <cell r="C5622">
            <v>20038644</v>
          </cell>
          <cell r="D5622">
            <v>44886</v>
          </cell>
        </row>
        <row r="5623">
          <cell r="A5623" t="str">
            <v>Lucas Shizuo Sasaki</v>
          </cell>
          <cell r="B5623">
            <v>37003094</v>
          </cell>
          <cell r="C5623">
            <v>20009521</v>
          </cell>
          <cell r="D5623">
            <v>43570</v>
          </cell>
        </row>
        <row r="5624">
          <cell r="A5624" t="str">
            <v>Hubaldo Guilherme Vitoriano Lima</v>
          </cell>
          <cell r="B5624">
            <v>37005791</v>
          </cell>
          <cell r="C5624">
            <v>20016047</v>
          </cell>
          <cell r="D5624">
            <v>44348</v>
          </cell>
        </row>
        <row r="5625">
          <cell r="A5625" t="str">
            <v>Edgar Da Silva Gois</v>
          </cell>
          <cell r="B5625">
            <v>37005864</v>
          </cell>
          <cell r="C5625">
            <v>20016081</v>
          </cell>
          <cell r="D5625">
            <v>44368</v>
          </cell>
        </row>
        <row r="5626">
          <cell r="A5626" t="str">
            <v>Claudio da Silva Monchelato</v>
          </cell>
          <cell r="B5626">
            <v>37010325</v>
          </cell>
          <cell r="C5626">
            <v>20038847</v>
          </cell>
          <cell r="D5626">
            <v>44900</v>
          </cell>
        </row>
        <row r="5627">
          <cell r="A5627" t="str">
            <v>Luis Antonio Sella</v>
          </cell>
          <cell r="B5627">
            <v>37010242</v>
          </cell>
          <cell r="C5627">
            <v>20038853</v>
          </cell>
          <cell r="D5627">
            <v>44900</v>
          </cell>
        </row>
        <row r="5628">
          <cell r="A5628" t="str">
            <v>Lucio Magno De Oliveira Lima Brasil</v>
          </cell>
          <cell r="B5628">
            <v>37010323</v>
          </cell>
          <cell r="C5628">
            <v>20038849</v>
          </cell>
          <cell r="D5628">
            <v>44900</v>
          </cell>
        </row>
        <row r="5629">
          <cell r="A5629" t="str">
            <v>Weslen Aparecido Teixeira</v>
          </cell>
          <cell r="B5629">
            <v>37010321</v>
          </cell>
          <cell r="C5629">
            <v>20038990</v>
          </cell>
          <cell r="D5629">
            <v>44900</v>
          </cell>
        </row>
        <row r="5630">
          <cell r="A5630" t="str">
            <v>Andre Luiz Reis Alves</v>
          </cell>
          <cell r="B5630">
            <v>37010329</v>
          </cell>
          <cell r="C5630">
            <v>20038991</v>
          </cell>
          <cell r="D5630">
            <v>44900</v>
          </cell>
        </row>
        <row r="5631">
          <cell r="A5631" t="str">
            <v>Aparecido Elias Dos Reis</v>
          </cell>
          <cell r="B5631">
            <v>37010263</v>
          </cell>
          <cell r="C5631">
            <v>20038992</v>
          </cell>
          <cell r="D5631">
            <v>44900</v>
          </cell>
        </row>
        <row r="5632">
          <cell r="A5632" t="str">
            <v>Bianca Leticia Brajato</v>
          </cell>
          <cell r="B5632">
            <v>37010274</v>
          </cell>
          <cell r="C5632">
            <v>20039003</v>
          </cell>
          <cell r="D5632">
            <v>44900</v>
          </cell>
        </row>
        <row r="5633">
          <cell r="A5633" t="str">
            <v>Marcela Oliveira Alves</v>
          </cell>
          <cell r="B5633">
            <v>37005597</v>
          </cell>
          <cell r="C5633">
            <v>20013618</v>
          </cell>
          <cell r="D5633">
            <v>44305</v>
          </cell>
        </row>
        <row r="5634">
          <cell r="A5634" t="str">
            <v>Ronivaldo Ramos Rodrigues</v>
          </cell>
          <cell r="B5634">
            <v>37010316</v>
          </cell>
          <cell r="C5634">
            <v>20039024</v>
          </cell>
          <cell r="D5634">
            <v>44900</v>
          </cell>
        </row>
        <row r="5635">
          <cell r="A5635" t="str">
            <v>Atny Miho Saito</v>
          </cell>
          <cell r="B5635">
            <v>37005351</v>
          </cell>
          <cell r="C5635">
            <v>20014462</v>
          </cell>
          <cell r="D5635">
            <v>44235</v>
          </cell>
        </row>
        <row r="5636">
          <cell r="A5636" t="str">
            <v>Marcele Juliana Da Cruz Juliano</v>
          </cell>
          <cell r="B5636">
            <v>37010342</v>
          </cell>
          <cell r="C5636">
            <v>20039056</v>
          </cell>
          <cell r="D5636">
            <v>44900</v>
          </cell>
        </row>
        <row r="5637">
          <cell r="A5637" t="str">
            <v>Tania Leite De Freitas</v>
          </cell>
          <cell r="B5637">
            <v>37010362</v>
          </cell>
          <cell r="C5637">
            <v>20039090</v>
          </cell>
          <cell r="D5637">
            <v>44900</v>
          </cell>
        </row>
        <row r="5638">
          <cell r="A5638" t="str">
            <v>Gabriel Angelo de Lima Silva</v>
          </cell>
          <cell r="B5638">
            <v>37010365</v>
          </cell>
          <cell r="C5638">
            <v>20039093</v>
          </cell>
          <cell r="D5638">
            <v>44900</v>
          </cell>
        </row>
        <row r="5639">
          <cell r="A5639" t="str">
            <v>Cleiton Aparecido Rodrigues da Silva</v>
          </cell>
          <cell r="B5639">
            <v>37010373</v>
          </cell>
          <cell r="C5639">
            <v>20039101</v>
          </cell>
          <cell r="D5639">
            <v>44900</v>
          </cell>
        </row>
        <row r="5640">
          <cell r="A5640" t="str">
            <v>Wesley Aparecido Candido Dos Santos</v>
          </cell>
          <cell r="B5640">
            <v>37010382</v>
          </cell>
          <cell r="C5640">
            <v>20039264</v>
          </cell>
          <cell r="D5640">
            <v>44900</v>
          </cell>
        </row>
        <row r="5641">
          <cell r="A5641" t="str">
            <v>Luiz Otavio Gomes De Carvalho</v>
          </cell>
          <cell r="B5641">
            <v>37010385</v>
          </cell>
          <cell r="C5641">
            <v>20039267</v>
          </cell>
          <cell r="D5641">
            <v>44900</v>
          </cell>
        </row>
        <row r="5642">
          <cell r="A5642" t="str">
            <v>Kayo Dutra Sanchez</v>
          </cell>
          <cell r="B5642">
            <v>37010416</v>
          </cell>
          <cell r="C5642">
            <v>20039720</v>
          </cell>
          <cell r="D5642">
            <v>44907</v>
          </cell>
        </row>
        <row r="5643">
          <cell r="A5643" t="str">
            <v>Giovani Santos Pontes Maciel</v>
          </cell>
          <cell r="B5643">
            <v>37010419</v>
          </cell>
          <cell r="C5643">
            <v>20039723</v>
          </cell>
          <cell r="D5643">
            <v>44907</v>
          </cell>
        </row>
        <row r="5644">
          <cell r="A5644" t="str">
            <v>Helen Cristina Branicio Guarini E Silva</v>
          </cell>
          <cell r="B5644">
            <v>37010426</v>
          </cell>
          <cell r="C5644">
            <v>20039730</v>
          </cell>
          <cell r="D5644">
            <v>44907</v>
          </cell>
        </row>
        <row r="5645">
          <cell r="A5645" t="str">
            <v>Fabricio Santos Pereira</v>
          </cell>
          <cell r="B5645">
            <v>37006418</v>
          </cell>
          <cell r="C5645">
            <v>20017828</v>
          </cell>
          <cell r="D5645">
            <v>44459</v>
          </cell>
        </row>
        <row r="5646">
          <cell r="A5646" t="str">
            <v>Adilson Palmeira de Carvalho</v>
          </cell>
          <cell r="B5646">
            <v>37010436</v>
          </cell>
          <cell r="C5646">
            <v>20039740</v>
          </cell>
          <cell r="D5646">
            <v>44907</v>
          </cell>
        </row>
        <row r="5647">
          <cell r="A5647" t="str">
            <v>Cicero Inacio Da Silva</v>
          </cell>
          <cell r="B5647">
            <v>37010430</v>
          </cell>
          <cell r="C5647">
            <v>20039734</v>
          </cell>
          <cell r="D5647">
            <v>44907</v>
          </cell>
        </row>
        <row r="5648">
          <cell r="A5648" t="str">
            <v>Herick Royder Jesuino dos Santos</v>
          </cell>
          <cell r="B5648">
            <v>37010433</v>
          </cell>
          <cell r="C5648">
            <v>20039737</v>
          </cell>
          <cell r="D5648">
            <v>44907</v>
          </cell>
        </row>
        <row r="5649">
          <cell r="A5649" t="str">
            <v>Diogo de Souza Alves</v>
          </cell>
          <cell r="B5649">
            <v>37010435</v>
          </cell>
          <cell r="C5649">
            <v>20039739</v>
          </cell>
          <cell r="D5649">
            <v>44907</v>
          </cell>
        </row>
        <row r="5650">
          <cell r="A5650" t="str">
            <v>Caio Jose Rodrigues Barbosa</v>
          </cell>
          <cell r="B5650">
            <v>37010463</v>
          </cell>
          <cell r="C5650">
            <v>20039970</v>
          </cell>
          <cell r="D5650">
            <v>44907</v>
          </cell>
        </row>
        <row r="5651">
          <cell r="A5651" t="str">
            <v>Carlos Henrique Micadei</v>
          </cell>
          <cell r="B5651">
            <v>37010464</v>
          </cell>
          <cell r="C5651">
            <v>20039971</v>
          </cell>
          <cell r="D5651">
            <v>44907</v>
          </cell>
        </row>
        <row r="5652">
          <cell r="A5652" t="str">
            <v>Thiago Goncalo Santos</v>
          </cell>
          <cell r="B5652">
            <v>37010457</v>
          </cell>
          <cell r="C5652">
            <v>20039964</v>
          </cell>
          <cell r="D5652">
            <v>44907</v>
          </cell>
        </row>
        <row r="5653">
          <cell r="A5653" t="str">
            <v>Marcos Roberto de Oliveira</v>
          </cell>
          <cell r="B5653">
            <v>37010468</v>
          </cell>
          <cell r="C5653">
            <v>20039967</v>
          </cell>
          <cell r="D5653">
            <v>44907</v>
          </cell>
        </row>
        <row r="5654">
          <cell r="A5654" t="str">
            <v>Eliel Martins Da Silva</v>
          </cell>
          <cell r="B5654">
            <v>37010462</v>
          </cell>
          <cell r="C5654">
            <v>20039969</v>
          </cell>
          <cell r="D5654">
            <v>44907</v>
          </cell>
        </row>
        <row r="5655">
          <cell r="A5655" t="str">
            <v>Gilson Alves De Luz</v>
          </cell>
          <cell r="B5655">
            <v>37010476</v>
          </cell>
          <cell r="C5655">
            <v>20040209</v>
          </cell>
          <cell r="D5655">
            <v>44914</v>
          </cell>
        </row>
        <row r="5656">
          <cell r="A5656" t="str">
            <v>Suellen Sales De Oliveira Santos</v>
          </cell>
          <cell r="B5656">
            <v>37010525</v>
          </cell>
          <cell r="C5656">
            <v>20040215</v>
          </cell>
          <cell r="D5656">
            <v>44914</v>
          </cell>
        </row>
        <row r="5657">
          <cell r="A5657" t="str">
            <v>Roberto Lima Pinheiro</v>
          </cell>
          <cell r="B5657">
            <v>37010484</v>
          </cell>
          <cell r="C5657">
            <v>20040217</v>
          </cell>
          <cell r="D5657">
            <v>44914</v>
          </cell>
        </row>
        <row r="5658">
          <cell r="A5658" t="str">
            <v>Jorge Luis Fernandes</v>
          </cell>
          <cell r="B5658">
            <v>37010474</v>
          </cell>
          <cell r="C5658">
            <v>20040207</v>
          </cell>
          <cell r="D5658">
            <v>44914</v>
          </cell>
        </row>
        <row r="5659">
          <cell r="A5659" t="str">
            <v>Luciano Conceicao Kulmann</v>
          </cell>
          <cell r="B5659">
            <v>37010478</v>
          </cell>
          <cell r="C5659">
            <v>20040211</v>
          </cell>
          <cell r="D5659">
            <v>44914</v>
          </cell>
        </row>
        <row r="5660">
          <cell r="A5660" t="str">
            <v>Robson Da Silva Britto</v>
          </cell>
          <cell r="B5660">
            <v>37010480</v>
          </cell>
          <cell r="C5660">
            <v>20040213</v>
          </cell>
          <cell r="D5660">
            <v>44914</v>
          </cell>
        </row>
        <row r="5661">
          <cell r="A5661" t="str">
            <v>Geneilson Da Cruz Mesquita</v>
          </cell>
          <cell r="B5661">
            <v>37010565</v>
          </cell>
          <cell r="C5661">
            <v>20040226</v>
          </cell>
          <cell r="D5661">
            <v>44930</v>
          </cell>
        </row>
        <row r="5662">
          <cell r="A5662" t="str">
            <v>Anaisa De Oliveira Fiordelizo</v>
          </cell>
          <cell r="B5662">
            <v>37010504</v>
          </cell>
          <cell r="C5662">
            <v>20040237</v>
          </cell>
          <cell r="D5662">
            <v>44914</v>
          </cell>
        </row>
        <row r="5663">
          <cell r="A5663" t="str">
            <v>Julia Castelhano Cavassuti</v>
          </cell>
          <cell r="B5663">
            <v>37010519</v>
          </cell>
          <cell r="C5663">
            <v>20040252</v>
          </cell>
          <cell r="D5663">
            <v>44914</v>
          </cell>
        </row>
        <row r="5664">
          <cell r="A5664" t="str">
            <v>Luciana Ferrari Conti</v>
          </cell>
          <cell r="B5664">
            <v>37010515</v>
          </cell>
          <cell r="C5664">
            <v>20040248</v>
          </cell>
          <cell r="D5664">
            <v>44914</v>
          </cell>
        </row>
        <row r="5665">
          <cell r="A5665" t="str">
            <v>Juan Wesley Leite Adriano</v>
          </cell>
          <cell r="B5665">
            <v>37010531</v>
          </cell>
          <cell r="C5665">
            <v>20040268</v>
          </cell>
          <cell r="D5665">
            <v>44914</v>
          </cell>
        </row>
        <row r="5666">
          <cell r="A5666" t="str">
            <v>Ozileu Lima Da Silva</v>
          </cell>
          <cell r="B5666">
            <v>37010535</v>
          </cell>
          <cell r="C5666">
            <v>20040272</v>
          </cell>
          <cell r="D5666">
            <v>44914</v>
          </cell>
        </row>
        <row r="5667">
          <cell r="A5667" t="str">
            <v>Celso Afonso Ribeiro</v>
          </cell>
          <cell r="B5667">
            <v>37010533</v>
          </cell>
          <cell r="C5667">
            <v>20040270</v>
          </cell>
          <cell r="D5667">
            <v>44914</v>
          </cell>
        </row>
        <row r="5668">
          <cell r="A5668" t="str">
            <v>Joao Pedro Ribeiro De Macedo</v>
          </cell>
          <cell r="B5668">
            <v>37010541</v>
          </cell>
          <cell r="C5668">
            <v>20040278</v>
          </cell>
          <cell r="D5668">
            <v>44914</v>
          </cell>
        </row>
        <row r="5669">
          <cell r="A5669" t="str">
            <v>Rose Antonio Nunes</v>
          </cell>
          <cell r="B5669">
            <v>37010539</v>
          </cell>
          <cell r="C5669">
            <v>20040276</v>
          </cell>
          <cell r="D5669">
            <v>44914</v>
          </cell>
        </row>
        <row r="5670">
          <cell r="A5670" t="str">
            <v>Ricardo Silva De Souza</v>
          </cell>
          <cell r="B5670">
            <v>37010545</v>
          </cell>
          <cell r="C5670">
            <v>20040282</v>
          </cell>
          <cell r="D5670">
            <v>44914</v>
          </cell>
        </row>
        <row r="5671">
          <cell r="A5671" t="str">
            <v>Talita Rucaglia  Rizzo</v>
          </cell>
          <cell r="B5671">
            <v>37010554</v>
          </cell>
          <cell r="C5671">
            <v>20040291</v>
          </cell>
          <cell r="D5671">
            <v>44914</v>
          </cell>
        </row>
        <row r="5672">
          <cell r="A5672" t="str">
            <v>Natan Ribeiro Da Silva</v>
          </cell>
          <cell r="B5672">
            <v>37010558</v>
          </cell>
          <cell r="C5672">
            <v>20040295</v>
          </cell>
          <cell r="D5672">
            <v>44914</v>
          </cell>
        </row>
        <row r="5673">
          <cell r="A5673" t="str">
            <v>Guilherme Henrique De Oliveira</v>
          </cell>
          <cell r="B5673">
            <v>37010544</v>
          </cell>
          <cell r="C5673">
            <v>20040281</v>
          </cell>
          <cell r="D5673">
            <v>44914</v>
          </cell>
        </row>
        <row r="5674">
          <cell r="A5674" t="str">
            <v>Gilcemar Bruno</v>
          </cell>
          <cell r="B5674">
            <v>37010547</v>
          </cell>
          <cell r="C5674">
            <v>20040284</v>
          </cell>
          <cell r="D5674">
            <v>44914</v>
          </cell>
        </row>
        <row r="5675">
          <cell r="A5675" t="str">
            <v>Jose Paulino De Albuquerque Irmao</v>
          </cell>
          <cell r="B5675">
            <v>37010557</v>
          </cell>
          <cell r="C5675">
            <v>20040294</v>
          </cell>
          <cell r="D5675">
            <v>44914</v>
          </cell>
        </row>
        <row r="5676">
          <cell r="A5676" t="str">
            <v>Joice Adelia Tangerino Vaz</v>
          </cell>
          <cell r="B5676">
            <v>37010564</v>
          </cell>
          <cell r="C5676">
            <v>20040301</v>
          </cell>
          <cell r="D5676">
            <v>44914</v>
          </cell>
        </row>
        <row r="5677">
          <cell r="A5677" t="str">
            <v>David Vinicius Queiroz Do Nascimento</v>
          </cell>
          <cell r="B5677">
            <v>37006989</v>
          </cell>
          <cell r="C5677">
            <v>20021294</v>
          </cell>
          <cell r="D5677">
            <v>44571</v>
          </cell>
        </row>
        <row r="5678">
          <cell r="A5678" t="str">
            <v>Edilson Rodrigues Teodoro Dos Santos</v>
          </cell>
          <cell r="B5678">
            <v>37006234</v>
          </cell>
          <cell r="C5678">
            <v>20016979</v>
          </cell>
          <cell r="D5678">
            <v>44431</v>
          </cell>
        </row>
        <row r="5679">
          <cell r="A5679" t="str">
            <v>Gilberto De Brito Silva</v>
          </cell>
          <cell r="B5679">
            <v>37006607</v>
          </cell>
          <cell r="C5679">
            <v>20018175</v>
          </cell>
          <cell r="D5679">
            <v>44487</v>
          </cell>
        </row>
        <row r="5680">
          <cell r="A5680" t="str">
            <v>Marcelo Ricardo Vieira</v>
          </cell>
          <cell r="B5680">
            <v>37005969</v>
          </cell>
          <cell r="C5680">
            <v>20016772</v>
          </cell>
          <cell r="D5680">
            <v>44382</v>
          </cell>
        </row>
        <row r="5681">
          <cell r="A5681" t="str">
            <v>Milton Rodrigues Ferreira</v>
          </cell>
          <cell r="B5681">
            <v>37006060</v>
          </cell>
          <cell r="C5681">
            <v>20016835</v>
          </cell>
          <cell r="D5681">
            <v>44399</v>
          </cell>
        </row>
        <row r="5682">
          <cell r="A5682" t="str">
            <v>Guilherme Lourenco Dal Rovere</v>
          </cell>
          <cell r="B5682">
            <v>37006380</v>
          </cell>
          <cell r="C5682">
            <v>20018075</v>
          </cell>
          <cell r="D5682">
            <v>44452</v>
          </cell>
        </row>
        <row r="5683">
          <cell r="A5683" t="str">
            <v>Paulo Roberto Sifrade</v>
          </cell>
          <cell r="B5683">
            <v>37005655</v>
          </cell>
          <cell r="C5683">
            <v>20013951</v>
          </cell>
          <cell r="D5683">
            <v>44329</v>
          </cell>
        </row>
        <row r="5684">
          <cell r="A5684" t="str">
            <v>Adriano Gomes Do Nascimento Ribeiro</v>
          </cell>
          <cell r="B5684">
            <v>37006362</v>
          </cell>
          <cell r="C5684">
            <v>20017089</v>
          </cell>
          <cell r="D5684">
            <v>44447</v>
          </cell>
        </row>
        <row r="5685">
          <cell r="A5685" t="str">
            <v>Esdras Politano Dos Santos</v>
          </cell>
          <cell r="B5685">
            <v>37005955</v>
          </cell>
          <cell r="C5685">
            <v>20016761</v>
          </cell>
          <cell r="D5685">
            <v>44382</v>
          </cell>
        </row>
        <row r="5686">
          <cell r="A5686" t="str">
            <v>Jean Carlos De Almeida</v>
          </cell>
          <cell r="B5686">
            <v>37006383</v>
          </cell>
          <cell r="C5686">
            <v>20018078</v>
          </cell>
          <cell r="D5686">
            <v>44452</v>
          </cell>
        </row>
        <row r="5687">
          <cell r="A5687" t="str">
            <v>Marcelo Mendes Martins</v>
          </cell>
          <cell r="B5687">
            <v>37005862</v>
          </cell>
          <cell r="C5687">
            <v>20016080</v>
          </cell>
          <cell r="D5687">
            <v>44368</v>
          </cell>
        </row>
        <row r="5688">
          <cell r="A5688" t="str">
            <v>Kelly Regina Monteiro De Oliveira</v>
          </cell>
          <cell r="B5688">
            <v>37006652</v>
          </cell>
          <cell r="C5688">
            <v>20018214</v>
          </cell>
          <cell r="D5688">
            <v>44490</v>
          </cell>
        </row>
        <row r="5689">
          <cell r="A5689" t="str">
            <v>Israel Goncalves De Morais</v>
          </cell>
          <cell r="B5689">
            <v>37006347</v>
          </cell>
          <cell r="C5689">
            <v>20017074</v>
          </cell>
          <cell r="D5689">
            <v>44447</v>
          </cell>
        </row>
        <row r="5690">
          <cell r="A5690" t="str">
            <v>Ricardo Cavalcanti</v>
          </cell>
          <cell r="B5690">
            <v>37000583</v>
          </cell>
          <cell r="C5690">
            <v>20009835</v>
          </cell>
          <cell r="D5690">
            <v>39454</v>
          </cell>
        </row>
        <row r="5691">
          <cell r="A5691" t="str">
            <v>Paulo Natalino Boaventura</v>
          </cell>
          <cell r="B5691">
            <v>37000622</v>
          </cell>
          <cell r="C5691">
            <v>20009762</v>
          </cell>
          <cell r="D5691">
            <v>39489</v>
          </cell>
        </row>
        <row r="5692">
          <cell r="A5692" t="str">
            <v>Pedro Alexandre Dos Santos</v>
          </cell>
          <cell r="B5692">
            <v>37000623</v>
          </cell>
          <cell r="C5692">
            <v>20009776</v>
          </cell>
          <cell r="D5692">
            <v>39489</v>
          </cell>
        </row>
        <row r="5693">
          <cell r="A5693" t="str">
            <v>Julio Cristino Moreno</v>
          </cell>
          <cell r="B5693">
            <v>37001183</v>
          </cell>
          <cell r="C5693">
            <v>20009437</v>
          </cell>
          <cell r="D5693">
            <v>41386</v>
          </cell>
        </row>
        <row r="5694">
          <cell r="A5694" t="str">
            <v>Juliano Aparecido Delgado</v>
          </cell>
          <cell r="B5694">
            <v>37005167</v>
          </cell>
          <cell r="C5694">
            <v>20011599</v>
          </cell>
          <cell r="D5694">
            <v>44214</v>
          </cell>
        </row>
        <row r="5695">
          <cell r="A5695" t="str">
            <v>Marcos Alessandro Ferreira</v>
          </cell>
          <cell r="B5695">
            <v>37005986</v>
          </cell>
          <cell r="C5695">
            <v>20016788</v>
          </cell>
          <cell r="D5695">
            <v>44382</v>
          </cell>
        </row>
        <row r="5696">
          <cell r="A5696" t="str">
            <v>Paulo Fuganholi Calandro</v>
          </cell>
          <cell r="B5696">
            <v>37005689</v>
          </cell>
          <cell r="C5696">
            <v>20014474</v>
          </cell>
          <cell r="D5696">
            <v>44333</v>
          </cell>
        </row>
        <row r="5697">
          <cell r="A5697" t="str">
            <v>Aline Regina Vergani</v>
          </cell>
          <cell r="B5697">
            <v>37010635</v>
          </cell>
          <cell r="C5697">
            <v>20040509</v>
          </cell>
          <cell r="D5697">
            <v>44935</v>
          </cell>
        </row>
        <row r="5698">
          <cell r="A5698" t="str">
            <v>Gleison Vidal De Souza</v>
          </cell>
          <cell r="B5698">
            <v>37010596</v>
          </cell>
          <cell r="C5698">
            <v>20040511</v>
          </cell>
          <cell r="D5698">
            <v>44930</v>
          </cell>
        </row>
        <row r="5699">
          <cell r="A5699" t="str">
            <v>Pablo Heleno Nicoli Terra</v>
          </cell>
          <cell r="B5699">
            <v>37010615</v>
          </cell>
          <cell r="C5699">
            <v>20040506</v>
          </cell>
          <cell r="D5699">
            <v>44930</v>
          </cell>
        </row>
        <row r="5700">
          <cell r="A5700" t="str">
            <v>Jean De Carvalho</v>
          </cell>
          <cell r="B5700">
            <v>37006190</v>
          </cell>
          <cell r="C5700">
            <v>20016949</v>
          </cell>
          <cell r="D5700">
            <v>44424</v>
          </cell>
        </row>
        <row r="5701">
          <cell r="A5701" t="str">
            <v>Cecilia Madrona De Souza</v>
          </cell>
          <cell r="B5701">
            <v>37010630</v>
          </cell>
          <cell r="C5701">
            <v>20040545</v>
          </cell>
          <cell r="D5701">
            <v>44930</v>
          </cell>
        </row>
        <row r="5702">
          <cell r="A5702" t="str">
            <v>Sebastiao Jorge Roque</v>
          </cell>
          <cell r="B5702">
            <v>37010631</v>
          </cell>
          <cell r="C5702">
            <v>20040546</v>
          </cell>
          <cell r="D5702">
            <v>44930</v>
          </cell>
        </row>
        <row r="5703">
          <cell r="A5703" t="str">
            <v>Jose Antonio Reis Zanatta</v>
          </cell>
          <cell r="B5703">
            <v>37010710</v>
          </cell>
          <cell r="C5703">
            <v>20040599</v>
          </cell>
          <cell r="D5703">
            <v>44935</v>
          </cell>
        </row>
        <row r="5704">
          <cell r="A5704" t="str">
            <v>Adriano Cezario De Carvalho</v>
          </cell>
          <cell r="B5704">
            <v>37010658</v>
          </cell>
          <cell r="C5704">
            <v>20040612</v>
          </cell>
          <cell r="D5704">
            <v>44930</v>
          </cell>
        </row>
        <row r="5705">
          <cell r="A5705" t="str">
            <v>Joel Santiago Da Silva</v>
          </cell>
          <cell r="B5705">
            <v>37006673</v>
          </cell>
          <cell r="C5705">
            <v>20018751</v>
          </cell>
          <cell r="D5705">
            <v>44503</v>
          </cell>
        </row>
        <row r="5706">
          <cell r="A5706" t="str">
            <v>Anderson Aparecido Arruda</v>
          </cell>
          <cell r="B5706">
            <v>37001599</v>
          </cell>
          <cell r="C5706">
            <v>20008595</v>
          </cell>
          <cell r="D5706">
            <v>42311</v>
          </cell>
        </row>
        <row r="5707">
          <cell r="A5707" t="str">
            <v>Guilherme Henrique Da Rosa Castro</v>
          </cell>
          <cell r="B5707">
            <v>37010684</v>
          </cell>
          <cell r="C5707">
            <v>20040656</v>
          </cell>
          <cell r="D5707">
            <v>44930</v>
          </cell>
        </row>
        <row r="5708">
          <cell r="A5708" t="str">
            <v>Leonnardo Freire Bremer</v>
          </cell>
          <cell r="B5708">
            <v>37010730</v>
          </cell>
          <cell r="C5708">
            <v>20040882</v>
          </cell>
          <cell r="D5708">
            <v>44935</v>
          </cell>
        </row>
        <row r="5709">
          <cell r="A5709" t="str">
            <v>Aguinaldo Buzzo</v>
          </cell>
          <cell r="B5709">
            <v>37003987</v>
          </cell>
          <cell r="C5709">
            <v>20008515</v>
          </cell>
          <cell r="D5709">
            <v>43801</v>
          </cell>
        </row>
        <row r="5710">
          <cell r="A5710" t="str">
            <v>Maicon Andre Da Silva</v>
          </cell>
          <cell r="B5710">
            <v>37010737</v>
          </cell>
          <cell r="C5710">
            <v>20040922</v>
          </cell>
          <cell r="D5710">
            <v>44935</v>
          </cell>
        </row>
        <row r="5711">
          <cell r="A5711" t="str">
            <v>Larissa Stefani Martins Da Silva</v>
          </cell>
          <cell r="B5711">
            <v>37005845</v>
          </cell>
          <cell r="C5711">
            <v>20015623</v>
          </cell>
          <cell r="D5711">
            <v>44361</v>
          </cell>
        </row>
        <row r="5712">
          <cell r="A5712" t="str">
            <v>Maria Paula Ataides Da Silva</v>
          </cell>
          <cell r="B5712">
            <v>37006825</v>
          </cell>
          <cell r="C5712">
            <v>20020003</v>
          </cell>
          <cell r="D5712">
            <v>44536</v>
          </cell>
        </row>
        <row r="5713">
          <cell r="A5713" t="str">
            <v>Barbara Izidio Teixeira</v>
          </cell>
          <cell r="B5713">
            <v>37007013</v>
          </cell>
          <cell r="C5713">
            <v>20021047</v>
          </cell>
          <cell r="D5713">
            <v>44578</v>
          </cell>
        </row>
        <row r="5714">
          <cell r="A5714" t="str">
            <v>Luan Domingues Dos Santos Cardoso</v>
          </cell>
          <cell r="B5714">
            <v>37004288</v>
          </cell>
          <cell r="C5714">
            <v>20009500</v>
          </cell>
          <cell r="D5714">
            <v>43864</v>
          </cell>
        </row>
        <row r="5715">
          <cell r="A5715" t="str">
            <v>Wanderley Jose Souto</v>
          </cell>
          <cell r="B5715">
            <v>37006435</v>
          </cell>
          <cell r="C5715">
            <v>20017840</v>
          </cell>
          <cell r="D5715">
            <v>44459</v>
          </cell>
        </row>
        <row r="5716">
          <cell r="A5716" t="str">
            <v>Wesllen Dutra Malaquias</v>
          </cell>
          <cell r="B5716">
            <v>37000666</v>
          </cell>
          <cell r="C5716">
            <v>20010053</v>
          </cell>
          <cell r="D5716">
            <v>39636</v>
          </cell>
        </row>
        <row r="5717">
          <cell r="A5717" t="str">
            <v>Willian De Mattos Barbosa Dutra</v>
          </cell>
          <cell r="B5717">
            <v>37005225</v>
          </cell>
          <cell r="C5717">
            <v>20011151</v>
          </cell>
          <cell r="D5717">
            <v>44117</v>
          </cell>
        </row>
        <row r="5718">
          <cell r="A5718" t="str">
            <v>Julia Barbosa De Paiva</v>
          </cell>
          <cell r="B5718">
            <v>37005215</v>
          </cell>
          <cell r="C5718">
            <v>20011091</v>
          </cell>
          <cell r="D5718">
            <v>44117</v>
          </cell>
        </row>
        <row r="5719">
          <cell r="A5719" t="str">
            <v>Ivair Castelhano</v>
          </cell>
          <cell r="B5719">
            <v>37006659</v>
          </cell>
          <cell r="C5719">
            <v>20018743</v>
          </cell>
          <cell r="D5719">
            <v>44503</v>
          </cell>
        </row>
        <row r="5720">
          <cell r="A5720" t="str">
            <v>Vicente De Paula Moreira</v>
          </cell>
          <cell r="B5720">
            <v>37010744</v>
          </cell>
          <cell r="C5720">
            <v>20040954</v>
          </cell>
          <cell r="D5720">
            <v>44935</v>
          </cell>
        </row>
        <row r="5721">
          <cell r="A5721" t="str">
            <v>Matheus Eleoterio Dos Santos</v>
          </cell>
          <cell r="B5721">
            <v>37007313</v>
          </cell>
          <cell r="C5721">
            <v>20023682</v>
          </cell>
          <cell r="D5721">
            <v>44634</v>
          </cell>
        </row>
        <row r="5722">
          <cell r="A5722" t="str">
            <v>Willian Jardim</v>
          </cell>
          <cell r="B5722">
            <v>37010746</v>
          </cell>
          <cell r="C5722">
            <v>20040956</v>
          </cell>
          <cell r="D5722">
            <v>44942</v>
          </cell>
        </row>
        <row r="5723">
          <cell r="A5723" t="str">
            <v>Alexandre Pinto Mesquita</v>
          </cell>
          <cell r="B5723">
            <v>37010747</v>
          </cell>
          <cell r="C5723">
            <v>20040957</v>
          </cell>
          <cell r="D5723">
            <v>44935</v>
          </cell>
        </row>
        <row r="5724">
          <cell r="A5724" t="str">
            <v>Jonathan Rabelo Targas Lino</v>
          </cell>
          <cell r="B5724">
            <v>37007054</v>
          </cell>
          <cell r="C5724">
            <v>20022870</v>
          </cell>
          <cell r="D5724">
            <v>44593</v>
          </cell>
        </row>
        <row r="5725">
          <cell r="A5725" t="str">
            <v>Nataly Romano Dalcero</v>
          </cell>
          <cell r="B5725">
            <v>37010769</v>
          </cell>
          <cell r="C5725">
            <v>20040995</v>
          </cell>
          <cell r="D5725">
            <v>44935</v>
          </cell>
        </row>
        <row r="5726">
          <cell r="A5726" t="str">
            <v>Tais Moreli Cambahuva Rufino</v>
          </cell>
          <cell r="B5726">
            <v>37001791</v>
          </cell>
          <cell r="C5726">
            <v>15007620</v>
          </cell>
          <cell r="D5726">
            <v>42646</v>
          </cell>
        </row>
        <row r="5727">
          <cell r="A5727" t="str">
            <v>Patricia Eliane Fonseca Macario</v>
          </cell>
          <cell r="B5727">
            <v>37010796</v>
          </cell>
          <cell r="C5727">
            <v>20041178</v>
          </cell>
          <cell r="D5727">
            <v>44942</v>
          </cell>
        </row>
        <row r="5728">
          <cell r="A5728" t="str">
            <v>Paulo Edson Araujo Arouche</v>
          </cell>
          <cell r="B5728">
            <v>37010791</v>
          </cell>
          <cell r="C5728">
            <v>20041173</v>
          </cell>
          <cell r="D5728">
            <v>44942</v>
          </cell>
        </row>
        <row r="5729">
          <cell r="A5729" t="str">
            <v>BERTHA LUCIA TALARICO</v>
          </cell>
          <cell r="B5729">
            <v>37010809</v>
          </cell>
          <cell r="C5729">
            <v>20041191</v>
          </cell>
          <cell r="D5729">
            <v>44942</v>
          </cell>
        </row>
        <row r="5730">
          <cell r="A5730" t="str">
            <v>Mauricio Pereira Da Silva</v>
          </cell>
          <cell r="B5730">
            <v>37010815</v>
          </cell>
          <cell r="C5730">
            <v>20041197</v>
          </cell>
          <cell r="D5730">
            <v>44942</v>
          </cell>
        </row>
        <row r="5731">
          <cell r="A5731" t="str">
            <v>Francisco Francinei Santos Albuquerque</v>
          </cell>
          <cell r="B5731">
            <v>37010817</v>
          </cell>
          <cell r="C5731">
            <v>20041199</v>
          </cell>
          <cell r="D5731">
            <v>44942</v>
          </cell>
        </row>
        <row r="5732">
          <cell r="A5732" t="str">
            <v>ANDERSON FERMINO GOMES</v>
          </cell>
          <cell r="B5732">
            <v>37010827</v>
          </cell>
          <cell r="C5732">
            <v>20041223</v>
          </cell>
          <cell r="D5732">
            <v>44942</v>
          </cell>
        </row>
        <row r="5733">
          <cell r="A5733" t="str">
            <v>Wellington Augusto Rui</v>
          </cell>
          <cell r="B5733">
            <v>37010829</v>
          </cell>
          <cell r="C5733">
            <v>20041225</v>
          </cell>
          <cell r="D5733">
            <v>44942</v>
          </cell>
        </row>
        <row r="5734">
          <cell r="A5734" t="str">
            <v>Rosa De Fatima Consoniche</v>
          </cell>
          <cell r="B5734">
            <v>37010844</v>
          </cell>
          <cell r="C5734">
            <v>20041240</v>
          </cell>
          <cell r="D5734">
            <v>44942</v>
          </cell>
        </row>
        <row r="5735">
          <cell r="A5735" t="str">
            <v>Israel Da Rocha Machado</v>
          </cell>
          <cell r="B5735">
            <v>37010845</v>
          </cell>
          <cell r="C5735">
            <v>20041241</v>
          </cell>
          <cell r="D5735">
            <v>44942</v>
          </cell>
        </row>
        <row r="5736">
          <cell r="A5736" t="str">
            <v>Cleusa De Oliveira Pereira</v>
          </cell>
          <cell r="B5736">
            <v>37010846</v>
          </cell>
          <cell r="C5736">
            <v>20041242</v>
          </cell>
          <cell r="D5736">
            <v>44942</v>
          </cell>
        </row>
        <row r="5737">
          <cell r="A5737" t="str">
            <v>Claudilane Aparecida do Prado Maldonado</v>
          </cell>
          <cell r="B5737">
            <v>37010851</v>
          </cell>
          <cell r="C5737">
            <v>20041247</v>
          </cell>
          <cell r="D5737">
            <v>44942</v>
          </cell>
        </row>
        <row r="5738">
          <cell r="A5738" t="str">
            <v>Marina Aparecida Pasqualinoto</v>
          </cell>
          <cell r="B5738">
            <v>37010861</v>
          </cell>
          <cell r="C5738">
            <v>20041257</v>
          </cell>
          <cell r="D5738">
            <v>44942</v>
          </cell>
        </row>
        <row r="5739">
          <cell r="A5739" t="str">
            <v>MATHEUS CARDOSO MARTINS</v>
          </cell>
          <cell r="B5739">
            <v>37010866</v>
          </cell>
          <cell r="C5739">
            <v>20041262</v>
          </cell>
          <cell r="D5739">
            <v>44942</v>
          </cell>
        </row>
        <row r="5740">
          <cell r="A5740" t="str">
            <v>Jose Eduardo Bolonha</v>
          </cell>
          <cell r="B5740">
            <v>37010869</v>
          </cell>
          <cell r="C5740">
            <v>20041265</v>
          </cell>
          <cell r="D5740">
            <v>44942</v>
          </cell>
        </row>
        <row r="5741">
          <cell r="A5741" t="str">
            <v>Luana Silveira Gamba</v>
          </cell>
          <cell r="B5741">
            <v>37010876</v>
          </cell>
          <cell r="C5741">
            <v>20041272</v>
          </cell>
          <cell r="D5741">
            <v>44942</v>
          </cell>
        </row>
        <row r="5742">
          <cell r="A5742" t="str">
            <v>Daniel Vinicius Da Silva Vianna</v>
          </cell>
          <cell r="B5742">
            <v>37010887</v>
          </cell>
          <cell r="C5742">
            <v>20041286</v>
          </cell>
          <cell r="D5742">
            <v>44942</v>
          </cell>
        </row>
        <row r="5743">
          <cell r="A5743" t="str">
            <v>Gilda Justino Aranha Silva</v>
          </cell>
          <cell r="B5743">
            <v>37010895</v>
          </cell>
          <cell r="C5743">
            <v>20041294</v>
          </cell>
          <cell r="D5743">
            <v>44942</v>
          </cell>
        </row>
        <row r="5744">
          <cell r="A5744" t="str">
            <v>Sandra Aparecida Dos Santos Pereira</v>
          </cell>
          <cell r="B5744">
            <v>37010899</v>
          </cell>
          <cell r="C5744">
            <v>20041298</v>
          </cell>
          <cell r="D5744">
            <v>44942</v>
          </cell>
        </row>
        <row r="5745">
          <cell r="A5745" t="str">
            <v>Ivy Mayara Sanches De Oliveira</v>
          </cell>
          <cell r="B5745">
            <v>37002768</v>
          </cell>
          <cell r="C5745">
            <v>20009286</v>
          </cell>
          <cell r="D5745">
            <v>43472</v>
          </cell>
        </row>
        <row r="5746">
          <cell r="A5746" t="str">
            <v>Diogo Ozanik Dos Reis</v>
          </cell>
          <cell r="B5746">
            <v>37002986</v>
          </cell>
          <cell r="C5746">
            <v>20008914</v>
          </cell>
          <cell r="D5746">
            <v>43535</v>
          </cell>
        </row>
        <row r="5747">
          <cell r="A5747" t="str">
            <v>Daiane Maria Barbosa</v>
          </cell>
          <cell r="B5747">
            <v>37003612</v>
          </cell>
          <cell r="C5747">
            <v>20008848</v>
          </cell>
          <cell r="D5747">
            <v>43710</v>
          </cell>
        </row>
        <row r="5748">
          <cell r="A5748" t="str">
            <v>Clinton Fernando Redicopa Alves</v>
          </cell>
          <cell r="B5748">
            <v>37007704</v>
          </cell>
          <cell r="C5748">
            <v>20025766</v>
          </cell>
          <cell r="D5748">
            <v>44690</v>
          </cell>
        </row>
        <row r="5749">
          <cell r="A5749" t="str">
            <v>Diego Oro</v>
          </cell>
          <cell r="B5749">
            <v>37007058</v>
          </cell>
          <cell r="C5749">
            <v>20025398</v>
          </cell>
          <cell r="D5749">
            <v>44593</v>
          </cell>
        </row>
        <row r="5750">
          <cell r="A5750" t="str">
            <v>Gleydson Giovane Domingues</v>
          </cell>
          <cell r="B5750">
            <v>37010911</v>
          </cell>
          <cell r="C5750">
            <v>20041378</v>
          </cell>
          <cell r="D5750">
            <v>44949</v>
          </cell>
        </row>
        <row r="5751">
          <cell r="A5751" t="str">
            <v>Marcos Martins dos Santos</v>
          </cell>
          <cell r="B5751">
            <v>37010917</v>
          </cell>
          <cell r="C5751">
            <v>20041384</v>
          </cell>
          <cell r="D5751">
            <v>44949</v>
          </cell>
        </row>
        <row r="5752">
          <cell r="A5752" t="str">
            <v>Sidney Dos Santos Guimaraes</v>
          </cell>
          <cell r="B5752">
            <v>37010919</v>
          </cell>
          <cell r="C5752">
            <v>20041591</v>
          </cell>
          <cell r="D5752">
            <v>44949</v>
          </cell>
        </row>
        <row r="5753">
          <cell r="A5753" t="str">
            <v>Fabio Rafael Melo</v>
          </cell>
          <cell r="B5753">
            <v>37010925</v>
          </cell>
          <cell r="C5753">
            <v>20041597</v>
          </cell>
          <cell r="D5753">
            <v>44949</v>
          </cell>
        </row>
        <row r="5754">
          <cell r="A5754" t="str">
            <v>Luiz Roberto Drumont</v>
          </cell>
          <cell r="B5754">
            <v>37005247</v>
          </cell>
          <cell r="C5754">
            <v>20011101</v>
          </cell>
          <cell r="D5754">
            <v>44138</v>
          </cell>
        </row>
        <row r="5755">
          <cell r="A5755" t="str">
            <v>Maxsuel Teodoro</v>
          </cell>
          <cell r="B5755">
            <v>37004908</v>
          </cell>
          <cell r="C5755">
            <v>20008433</v>
          </cell>
          <cell r="D5755">
            <v>44095</v>
          </cell>
        </row>
        <row r="5756">
          <cell r="A5756" t="str">
            <v>Lehi Vinicius Lemes Lauriano</v>
          </cell>
          <cell r="B5756">
            <v>37007701</v>
          </cell>
          <cell r="C5756">
            <v>20025778</v>
          </cell>
          <cell r="D5756">
            <v>44690</v>
          </cell>
        </row>
        <row r="5757">
          <cell r="A5757" t="str">
            <v>Cleber Rogerio de Oliveira</v>
          </cell>
          <cell r="B5757">
            <v>37010946</v>
          </cell>
          <cell r="C5757">
            <v>20041766</v>
          </cell>
          <cell r="D5757">
            <v>44958</v>
          </cell>
        </row>
        <row r="5758">
          <cell r="A5758" t="str">
            <v>Fabio de Oliveira Costa</v>
          </cell>
          <cell r="B5758">
            <v>37010959</v>
          </cell>
          <cell r="C5758">
            <v>20041778</v>
          </cell>
          <cell r="D5758">
            <v>44958</v>
          </cell>
        </row>
        <row r="5759">
          <cell r="A5759" t="str">
            <v>PAMELA CRISTINA MACIEL</v>
          </cell>
          <cell r="B5759">
            <v>37010987</v>
          </cell>
          <cell r="C5759">
            <v>20041773</v>
          </cell>
          <cell r="D5759">
            <v>44958</v>
          </cell>
        </row>
        <row r="5760">
          <cell r="A5760" t="str">
            <v>Wiliame Pinto Dos Reis</v>
          </cell>
          <cell r="B5760">
            <v>37010955</v>
          </cell>
          <cell r="C5760">
            <v>20041774</v>
          </cell>
          <cell r="D5760">
            <v>44958</v>
          </cell>
        </row>
        <row r="5761">
          <cell r="A5761" t="str">
            <v>Marcos Vinicius Souza Dos Santos</v>
          </cell>
          <cell r="B5761">
            <v>37010961</v>
          </cell>
          <cell r="C5761">
            <v>20041780</v>
          </cell>
          <cell r="D5761">
            <v>44958</v>
          </cell>
        </row>
        <row r="5762">
          <cell r="A5762" t="str">
            <v>Claudinei Ferreira Bispo</v>
          </cell>
          <cell r="B5762">
            <v>37010971</v>
          </cell>
          <cell r="C5762">
            <v>20041790</v>
          </cell>
          <cell r="D5762">
            <v>44958</v>
          </cell>
        </row>
        <row r="5763">
          <cell r="A5763" t="str">
            <v>Luiz Henrique Gomes</v>
          </cell>
          <cell r="B5763">
            <v>37010972</v>
          </cell>
          <cell r="C5763">
            <v>20041791</v>
          </cell>
          <cell r="D5763">
            <v>44958</v>
          </cell>
        </row>
        <row r="5764">
          <cell r="A5764" t="str">
            <v>Giliarte Angelico</v>
          </cell>
          <cell r="B5764">
            <v>37010998</v>
          </cell>
          <cell r="C5764">
            <v>20041813</v>
          </cell>
          <cell r="D5764">
            <v>44958</v>
          </cell>
        </row>
        <row r="5765">
          <cell r="A5765" t="str">
            <v>Edison Ferraz dos Santos</v>
          </cell>
          <cell r="B5765">
            <v>37010999</v>
          </cell>
          <cell r="C5765">
            <v>20041814</v>
          </cell>
          <cell r="D5765">
            <v>44958</v>
          </cell>
        </row>
        <row r="5766">
          <cell r="A5766" t="str">
            <v>Joao Paulo Lemos Rodrigues</v>
          </cell>
          <cell r="B5766">
            <v>37011010</v>
          </cell>
          <cell r="C5766">
            <v>20041831</v>
          </cell>
          <cell r="D5766">
            <v>44958</v>
          </cell>
        </row>
        <row r="5767">
          <cell r="A5767" t="str">
            <v>Mirian Cordeiro Marques Alves</v>
          </cell>
          <cell r="B5767">
            <v>37005913</v>
          </cell>
          <cell r="C5767">
            <v>20015635</v>
          </cell>
          <cell r="D5767">
            <v>44382</v>
          </cell>
        </row>
        <row r="5768">
          <cell r="A5768" t="str">
            <v>Lualis Emiliano</v>
          </cell>
          <cell r="B5768">
            <v>37011016</v>
          </cell>
          <cell r="C5768">
            <v>20041852</v>
          </cell>
          <cell r="D5768">
            <v>44958</v>
          </cell>
        </row>
        <row r="5769">
          <cell r="A5769" t="str">
            <v>CARINE DOS SANTOS OLIVEIRA</v>
          </cell>
          <cell r="B5769">
            <v>37011017</v>
          </cell>
          <cell r="C5769">
            <v>20041854</v>
          </cell>
          <cell r="D5769">
            <v>44963</v>
          </cell>
        </row>
        <row r="5770">
          <cell r="A5770" t="str">
            <v>Paulo De Carvalho FIlho</v>
          </cell>
          <cell r="B5770">
            <v>37011020</v>
          </cell>
          <cell r="C5770">
            <v>20041857</v>
          </cell>
          <cell r="D5770">
            <v>44970</v>
          </cell>
        </row>
        <row r="5771">
          <cell r="A5771" t="str">
            <v>Alessandro Felipe Camargo</v>
          </cell>
          <cell r="B5771">
            <v>37006208</v>
          </cell>
          <cell r="C5771">
            <v>20017914</v>
          </cell>
          <cell r="D5771">
            <v>44424</v>
          </cell>
        </row>
        <row r="5772">
          <cell r="A5772" t="str">
            <v>Ricardo Monzani</v>
          </cell>
          <cell r="B5772">
            <v>37003203</v>
          </cell>
          <cell r="C5772">
            <v>20009839</v>
          </cell>
          <cell r="D5772">
            <v>43605</v>
          </cell>
        </row>
        <row r="5773">
          <cell r="A5773" t="str">
            <v>Paulo Henrique Neves</v>
          </cell>
          <cell r="B5773">
            <v>37011063</v>
          </cell>
          <cell r="C5773">
            <v>20042129</v>
          </cell>
          <cell r="D5773">
            <v>44963</v>
          </cell>
        </row>
        <row r="5774">
          <cell r="A5774" t="str">
            <v>Rodrigo Dos Santos Ribeiro</v>
          </cell>
          <cell r="B5774">
            <v>37011072</v>
          </cell>
          <cell r="C5774">
            <v>20042138</v>
          </cell>
          <cell r="D5774">
            <v>44963</v>
          </cell>
        </row>
        <row r="5775">
          <cell r="A5775" t="str">
            <v>Leidjane Elza Da Silva Jorge</v>
          </cell>
          <cell r="B5775">
            <v>37011066</v>
          </cell>
          <cell r="C5775">
            <v>20042132</v>
          </cell>
          <cell r="D5775">
            <v>44963</v>
          </cell>
        </row>
        <row r="5776">
          <cell r="A5776" t="str">
            <v>Jubel De Oliveira</v>
          </cell>
          <cell r="B5776">
            <v>37011068</v>
          </cell>
          <cell r="C5776">
            <v>20042134</v>
          </cell>
          <cell r="D5776">
            <v>44963</v>
          </cell>
        </row>
        <row r="5777">
          <cell r="A5777" t="str">
            <v>Joice Cristina Ribeiro Adao De Oliveira</v>
          </cell>
          <cell r="B5777">
            <v>37006553</v>
          </cell>
          <cell r="C5777">
            <v>20018736</v>
          </cell>
          <cell r="D5777">
            <v>44473</v>
          </cell>
        </row>
        <row r="5778">
          <cell r="A5778" t="str">
            <v>Pedro Bigelli Bridi</v>
          </cell>
          <cell r="B5778">
            <v>37007053</v>
          </cell>
          <cell r="C5778">
            <v>20022869</v>
          </cell>
          <cell r="D5778">
            <v>44593</v>
          </cell>
        </row>
        <row r="5779">
          <cell r="A5779" t="str">
            <v>Bruno Henrique Bodini Bocardo</v>
          </cell>
          <cell r="B5779">
            <v>37007750</v>
          </cell>
          <cell r="C5779">
            <v>20025912</v>
          </cell>
          <cell r="D5779">
            <v>44697</v>
          </cell>
        </row>
        <row r="5780">
          <cell r="A5780" t="str">
            <v>Ana Caroline Da Silva</v>
          </cell>
          <cell r="B5780">
            <v>37005280</v>
          </cell>
          <cell r="C5780">
            <v>20011049</v>
          </cell>
          <cell r="D5780">
            <v>44158</v>
          </cell>
        </row>
        <row r="5781">
          <cell r="A5781" t="str">
            <v>Inacio Henrique Pereira Vidal</v>
          </cell>
          <cell r="B5781">
            <v>37000864</v>
          </cell>
          <cell r="C5781">
            <v>20009266</v>
          </cell>
          <cell r="D5781">
            <v>40679</v>
          </cell>
        </row>
        <row r="5782">
          <cell r="A5782" t="str">
            <v>Katia Cristina Vaz Luqueis</v>
          </cell>
          <cell r="B5782">
            <v>37003621</v>
          </cell>
          <cell r="C5782">
            <v>20009450</v>
          </cell>
          <cell r="D5782">
            <v>43710</v>
          </cell>
        </row>
        <row r="5783">
          <cell r="A5783" t="str">
            <v>Gustavo Bortolotti Barbosa</v>
          </cell>
          <cell r="B5783">
            <v>37005266</v>
          </cell>
          <cell r="C5783">
            <v>20011080</v>
          </cell>
          <cell r="D5783">
            <v>44144</v>
          </cell>
        </row>
        <row r="5784">
          <cell r="A5784" t="str">
            <v>Luciano Bueno De Camargo Matos</v>
          </cell>
          <cell r="B5784">
            <v>37004580</v>
          </cell>
          <cell r="C5784">
            <v>20008215</v>
          </cell>
          <cell r="D5784">
            <v>43997</v>
          </cell>
        </row>
        <row r="5785">
          <cell r="A5785" t="str">
            <v>Ana Claudia Batista De Oliveira</v>
          </cell>
          <cell r="B5785">
            <v>37002426</v>
          </cell>
          <cell r="C5785">
            <v>20008580</v>
          </cell>
          <cell r="D5785">
            <v>43346</v>
          </cell>
        </row>
        <row r="5786">
          <cell r="A5786" t="str">
            <v>Daniela Camargo Coneglian</v>
          </cell>
          <cell r="B5786">
            <v>37003525</v>
          </cell>
          <cell r="C5786">
            <v>20008863</v>
          </cell>
          <cell r="D5786">
            <v>43689</v>
          </cell>
        </row>
        <row r="5787">
          <cell r="A5787" t="str">
            <v>Patricia Fatima Fiques</v>
          </cell>
          <cell r="B5787">
            <v>37000774</v>
          </cell>
          <cell r="C5787">
            <v>20009745</v>
          </cell>
          <cell r="D5787">
            <v>40330</v>
          </cell>
        </row>
        <row r="5788">
          <cell r="A5788" t="str">
            <v>Rodrigo Silvino Alves</v>
          </cell>
          <cell r="B5788">
            <v>37011100</v>
          </cell>
          <cell r="C5788">
            <v>20042145</v>
          </cell>
          <cell r="D5788">
            <v>44963</v>
          </cell>
        </row>
        <row r="5789">
          <cell r="A5789" t="str">
            <v>Moizes Rodrigues Ferreira</v>
          </cell>
          <cell r="B5789">
            <v>37011081</v>
          </cell>
          <cell r="C5789">
            <v>20042153</v>
          </cell>
          <cell r="D5789">
            <v>44963</v>
          </cell>
        </row>
        <row r="5790">
          <cell r="A5790" t="str">
            <v>Jose Rogerio de Carvalho</v>
          </cell>
          <cell r="B5790">
            <v>37011082</v>
          </cell>
          <cell r="C5790">
            <v>20042154</v>
          </cell>
          <cell r="D5790">
            <v>44963</v>
          </cell>
        </row>
        <row r="5791">
          <cell r="A5791" t="str">
            <v>Waldecir Porcel</v>
          </cell>
          <cell r="B5791">
            <v>37011089</v>
          </cell>
          <cell r="C5791">
            <v>20042161</v>
          </cell>
          <cell r="D5791">
            <v>44963</v>
          </cell>
        </row>
        <row r="5792">
          <cell r="A5792" t="str">
            <v>Diego Dos Santos Xavier</v>
          </cell>
          <cell r="B5792">
            <v>37002334</v>
          </cell>
          <cell r="C5792">
            <v>20008906</v>
          </cell>
          <cell r="D5792">
            <v>43262</v>
          </cell>
        </row>
        <row r="5793">
          <cell r="A5793" t="str">
            <v>Leandro De Paula Pereira</v>
          </cell>
          <cell r="B5793">
            <v>37005599</v>
          </cell>
          <cell r="C5793">
            <v>20013620</v>
          </cell>
          <cell r="D5793">
            <v>44305</v>
          </cell>
        </row>
        <row r="5794">
          <cell r="A5794" t="str">
            <v>Augusto Henrique De Souza Silva</v>
          </cell>
          <cell r="B5794">
            <v>37008843</v>
          </cell>
          <cell r="C5794">
            <v>20035548</v>
          </cell>
          <cell r="D5794">
            <v>44777</v>
          </cell>
        </row>
        <row r="5795">
          <cell r="A5795" t="str">
            <v>Savio Rodrigues De Lima</v>
          </cell>
          <cell r="B5795">
            <v>37006100</v>
          </cell>
          <cell r="C5795">
            <v>20019959</v>
          </cell>
          <cell r="D5795">
            <v>44410</v>
          </cell>
        </row>
        <row r="5796">
          <cell r="A5796" t="str">
            <v>Rafaela Dos Santos Bio</v>
          </cell>
          <cell r="B5796">
            <v>37004610</v>
          </cell>
          <cell r="C5796">
            <v>20008290</v>
          </cell>
          <cell r="D5796">
            <v>44018</v>
          </cell>
        </row>
        <row r="5797">
          <cell r="A5797" t="str">
            <v>Patrick Cristian Camargo</v>
          </cell>
          <cell r="B5797">
            <v>37006929</v>
          </cell>
          <cell r="C5797">
            <v>20021001</v>
          </cell>
          <cell r="D5797">
            <v>44550</v>
          </cell>
        </row>
        <row r="5798">
          <cell r="A5798" t="str">
            <v>Rafaela Da Silva Theodoro</v>
          </cell>
          <cell r="B5798">
            <v>37006551</v>
          </cell>
          <cell r="C5798">
            <v>20018731</v>
          </cell>
          <cell r="D5798">
            <v>44473</v>
          </cell>
        </row>
        <row r="5799">
          <cell r="A5799" t="str">
            <v>Leandro Aparecido Quadrado</v>
          </cell>
          <cell r="B5799">
            <v>37007491</v>
          </cell>
          <cell r="C5799">
            <v>20025567</v>
          </cell>
          <cell r="D5799">
            <v>44669</v>
          </cell>
        </row>
        <row r="5800">
          <cell r="A5800" t="str">
            <v>Anderson Ricardo Martins</v>
          </cell>
          <cell r="B5800">
            <v>37007507</v>
          </cell>
          <cell r="C5800">
            <v>20025598</v>
          </cell>
          <cell r="D5800">
            <v>44669</v>
          </cell>
        </row>
        <row r="5801">
          <cell r="A5801" t="str">
            <v>Robson Minatel</v>
          </cell>
          <cell r="B5801">
            <v>37005439</v>
          </cell>
          <cell r="C5801">
            <v>20016000</v>
          </cell>
          <cell r="D5801">
            <v>44270</v>
          </cell>
        </row>
        <row r="5802">
          <cell r="A5802" t="str">
            <v>Carolina Fernanda Ramos</v>
          </cell>
          <cell r="B5802">
            <v>37004548</v>
          </cell>
          <cell r="C5802">
            <v>20008768</v>
          </cell>
          <cell r="D5802">
            <v>43962</v>
          </cell>
        </row>
        <row r="5803">
          <cell r="A5803" t="str">
            <v>Bianka Luise De Oliveira</v>
          </cell>
          <cell r="B5803">
            <v>37004452</v>
          </cell>
          <cell r="C5803">
            <v>20008705</v>
          </cell>
          <cell r="D5803">
            <v>43899</v>
          </cell>
        </row>
        <row r="5804">
          <cell r="A5804" t="str">
            <v>Augusto De Faria Locci</v>
          </cell>
          <cell r="B5804">
            <v>37006415</v>
          </cell>
          <cell r="C5804">
            <v>20017959</v>
          </cell>
          <cell r="D5804">
            <v>44459</v>
          </cell>
        </row>
        <row r="5805">
          <cell r="A5805" t="str">
            <v>Luiz Carlos Severiano</v>
          </cell>
          <cell r="B5805">
            <v>37011094</v>
          </cell>
          <cell r="C5805">
            <v>20042166</v>
          </cell>
          <cell r="D5805">
            <v>44963</v>
          </cell>
        </row>
        <row r="5806">
          <cell r="A5806" t="str">
            <v>Ricardo Ferreira Amaral</v>
          </cell>
          <cell r="B5806">
            <v>37000842</v>
          </cell>
          <cell r="C5806">
            <v>20009836</v>
          </cell>
          <cell r="D5806">
            <v>40623</v>
          </cell>
        </row>
        <row r="5807">
          <cell r="A5807" t="str">
            <v>Mesac Ferreira Dias</v>
          </cell>
          <cell r="B5807">
            <v>37011101</v>
          </cell>
          <cell r="C5807">
            <v>20042190</v>
          </cell>
          <cell r="D5807">
            <v>44963</v>
          </cell>
        </row>
        <row r="5808">
          <cell r="A5808" t="str">
            <v>Emerson Alex Ferreira</v>
          </cell>
          <cell r="B5808">
            <v>37003117</v>
          </cell>
          <cell r="C5808">
            <v>20009000</v>
          </cell>
          <cell r="D5808">
            <v>43577</v>
          </cell>
        </row>
        <row r="5809">
          <cell r="A5809" t="str">
            <v>Francis Roberto Spolaor</v>
          </cell>
          <cell r="B5809">
            <v>37011140</v>
          </cell>
          <cell r="C5809">
            <v>20042371</v>
          </cell>
          <cell r="D5809">
            <v>44970</v>
          </cell>
        </row>
        <row r="5810">
          <cell r="A5810" t="str">
            <v>Daniel Alex Rufino</v>
          </cell>
          <cell r="B5810">
            <v>37011139</v>
          </cell>
          <cell r="C5810">
            <v>20042370</v>
          </cell>
          <cell r="D5810">
            <v>44970</v>
          </cell>
        </row>
        <row r="5811">
          <cell r="A5811" t="str">
            <v>Heliton Ribeiro Da Silva</v>
          </cell>
          <cell r="B5811">
            <v>37011160</v>
          </cell>
          <cell r="C5811">
            <v>20042506</v>
          </cell>
          <cell r="D5811">
            <v>44970</v>
          </cell>
        </row>
        <row r="5812">
          <cell r="A5812" t="str">
            <v>Milton Ferreira Do Nascimento</v>
          </cell>
          <cell r="B5812">
            <v>37011163</v>
          </cell>
          <cell r="C5812">
            <v>20042509</v>
          </cell>
          <cell r="D5812">
            <v>44970</v>
          </cell>
        </row>
        <row r="5813">
          <cell r="A5813" t="str">
            <v>Zenaide Piedade Lopes Nunes</v>
          </cell>
          <cell r="B5813">
            <v>37011172</v>
          </cell>
          <cell r="C5813">
            <v>20042518</v>
          </cell>
          <cell r="D5813">
            <v>44970</v>
          </cell>
        </row>
        <row r="5814">
          <cell r="A5814" t="str">
            <v>Lucas Alberto De Almeida</v>
          </cell>
          <cell r="B5814">
            <v>37011154</v>
          </cell>
          <cell r="C5814">
            <v>20042500</v>
          </cell>
          <cell r="D5814">
            <v>44970</v>
          </cell>
        </row>
        <row r="5815">
          <cell r="A5815" t="str">
            <v>Marcus Vinicius Lopes Da Silva</v>
          </cell>
          <cell r="B5815">
            <v>37011164</v>
          </cell>
          <cell r="C5815">
            <v>20042510</v>
          </cell>
          <cell r="D5815">
            <v>44970</v>
          </cell>
        </row>
        <row r="5816">
          <cell r="A5816" t="str">
            <v>Eliana Morais Silva</v>
          </cell>
          <cell r="B5816">
            <v>37011170</v>
          </cell>
          <cell r="C5816">
            <v>20042516</v>
          </cell>
          <cell r="D5816">
            <v>44970</v>
          </cell>
        </row>
        <row r="5817">
          <cell r="A5817" t="str">
            <v>Tatiane De Fatima Bacas</v>
          </cell>
          <cell r="B5817">
            <v>37011173</v>
          </cell>
          <cell r="C5817">
            <v>20042519</v>
          </cell>
          <cell r="D5817">
            <v>44970</v>
          </cell>
        </row>
        <row r="5818">
          <cell r="A5818" t="str">
            <v>Rosalina Cortes Rodrigues Malaquias</v>
          </cell>
          <cell r="B5818">
            <v>37011176</v>
          </cell>
          <cell r="C5818">
            <v>20042522</v>
          </cell>
          <cell r="D5818">
            <v>44970</v>
          </cell>
        </row>
        <row r="5819">
          <cell r="A5819" t="str">
            <v>Rian Henrique Purideli</v>
          </cell>
          <cell r="B5819">
            <v>37011174</v>
          </cell>
          <cell r="C5819">
            <v>20042520</v>
          </cell>
          <cell r="D5819">
            <v>44970</v>
          </cell>
        </row>
        <row r="5820">
          <cell r="A5820" t="str">
            <v>Joao Vagner Da Silva</v>
          </cell>
          <cell r="B5820">
            <v>37006104</v>
          </cell>
          <cell r="C5820">
            <v>20016876</v>
          </cell>
          <cell r="D5820">
            <v>44410</v>
          </cell>
        </row>
        <row r="5821">
          <cell r="A5821" t="str">
            <v>Mouana Do Socorro Sioufi Fonseca</v>
          </cell>
          <cell r="B5821">
            <v>37001664</v>
          </cell>
          <cell r="C5821">
            <v>15008130</v>
          </cell>
          <cell r="D5821">
            <v>42500</v>
          </cell>
        </row>
        <row r="5822">
          <cell r="A5822" t="str">
            <v>Adriana De Oliveira Praxedes</v>
          </cell>
          <cell r="B5822">
            <v>37011186</v>
          </cell>
          <cell r="C5822">
            <v>20042532</v>
          </cell>
          <cell r="D5822">
            <v>44970</v>
          </cell>
        </row>
        <row r="5823">
          <cell r="A5823" t="str">
            <v>Gildete Rodrigues Da Silva</v>
          </cell>
          <cell r="B5823">
            <v>37011188</v>
          </cell>
          <cell r="C5823">
            <v>20042534</v>
          </cell>
          <cell r="D5823">
            <v>44970</v>
          </cell>
        </row>
        <row r="5824">
          <cell r="A5824" t="str">
            <v>DETILSON JOSE DO NASCIMENTO</v>
          </cell>
          <cell r="B5824">
            <v>37011190</v>
          </cell>
          <cell r="C5824">
            <v>20042536</v>
          </cell>
          <cell r="D5824">
            <v>44970</v>
          </cell>
        </row>
        <row r="5825">
          <cell r="A5825" t="str">
            <v>Carlos Roberto Souza Paixao</v>
          </cell>
          <cell r="B5825">
            <v>37011191</v>
          </cell>
          <cell r="C5825">
            <v>20042537</v>
          </cell>
          <cell r="D5825">
            <v>44970</v>
          </cell>
        </row>
        <row r="5826">
          <cell r="A5826" t="str">
            <v>Luzinete Aparecida de Brito Antônio</v>
          </cell>
          <cell r="B5826">
            <v>37011193</v>
          </cell>
          <cell r="C5826">
            <v>20042539</v>
          </cell>
          <cell r="D5826">
            <v>44970</v>
          </cell>
        </row>
        <row r="5827">
          <cell r="A5827" t="str">
            <v>Luma Paula Crizostomo</v>
          </cell>
          <cell r="B5827">
            <v>37011199</v>
          </cell>
          <cell r="C5827">
            <v>20042545</v>
          </cell>
          <cell r="D5827">
            <v>44970</v>
          </cell>
        </row>
        <row r="5828">
          <cell r="A5828" t="str">
            <v>Valdete Eliana Fusco Oliveira</v>
          </cell>
          <cell r="B5828">
            <v>37011201</v>
          </cell>
          <cell r="C5828">
            <v>20042547</v>
          </cell>
          <cell r="D5828">
            <v>44970</v>
          </cell>
        </row>
        <row r="5829">
          <cell r="A5829" t="str">
            <v>Sabrina Rosa Vitulio</v>
          </cell>
          <cell r="B5829">
            <v>37011203</v>
          </cell>
          <cell r="C5829">
            <v>20042549</v>
          </cell>
          <cell r="D5829">
            <v>44970</v>
          </cell>
        </row>
        <row r="5830">
          <cell r="A5830" t="str">
            <v>Danieli Afonso da Silva Vicente</v>
          </cell>
          <cell r="B5830">
            <v>37011208</v>
          </cell>
          <cell r="C5830">
            <v>20042554</v>
          </cell>
          <cell r="D5830">
            <v>44970</v>
          </cell>
        </row>
        <row r="5831">
          <cell r="A5831" t="str">
            <v>Almir Rogerio Cesar Cardoso</v>
          </cell>
          <cell r="B5831">
            <v>37011220</v>
          </cell>
          <cell r="C5831">
            <v>20042618</v>
          </cell>
          <cell r="D5831">
            <v>44970</v>
          </cell>
        </row>
        <row r="5832">
          <cell r="A5832" t="str">
            <v>Diego Henrique Augustinho</v>
          </cell>
          <cell r="B5832">
            <v>37011227</v>
          </cell>
          <cell r="C5832">
            <v>20042625</v>
          </cell>
          <cell r="D5832">
            <v>44970</v>
          </cell>
        </row>
        <row r="5833">
          <cell r="A5833" t="str">
            <v>Givanildo Alves Azevedo</v>
          </cell>
          <cell r="B5833">
            <v>37011216</v>
          </cell>
          <cell r="C5833">
            <v>20042614</v>
          </cell>
          <cell r="D5833">
            <v>44970</v>
          </cell>
        </row>
        <row r="5834">
          <cell r="A5834" t="str">
            <v>Milton Luiz Favero Junior</v>
          </cell>
          <cell r="B5834">
            <v>37011217</v>
          </cell>
          <cell r="C5834">
            <v>20042615</v>
          </cell>
          <cell r="D5834">
            <v>44970</v>
          </cell>
        </row>
        <row r="5835">
          <cell r="A5835" t="str">
            <v>Luiz Carlos Panini</v>
          </cell>
          <cell r="B5835">
            <v>37011299</v>
          </cell>
          <cell r="C5835">
            <v>20042640</v>
          </cell>
          <cell r="D5835">
            <v>44970</v>
          </cell>
        </row>
        <row r="5836">
          <cell r="A5836" t="str">
            <v>Evandro Worell Schafaschek</v>
          </cell>
          <cell r="B5836">
            <v>37011251</v>
          </cell>
          <cell r="C5836">
            <v>20042649</v>
          </cell>
          <cell r="D5836">
            <v>44970</v>
          </cell>
        </row>
        <row r="5837">
          <cell r="A5837" t="str">
            <v>Josiel Azarias Xavier</v>
          </cell>
          <cell r="B5837">
            <v>37011301</v>
          </cell>
          <cell r="C5837">
            <v>20042650</v>
          </cell>
          <cell r="D5837">
            <v>44970</v>
          </cell>
        </row>
        <row r="5838">
          <cell r="A5838" t="str">
            <v>FABIO RAMOS FURTADO DE SOUZA</v>
          </cell>
          <cell r="B5838">
            <v>37011332</v>
          </cell>
          <cell r="C5838">
            <v>20042645</v>
          </cell>
          <cell r="D5838">
            <v>44970</v>
          </cell>
        </row>
        <row r="5839">
          <cell r="A5839" t="str">
            <v>Eduardo Dias Dos Santos</v>
          </cell>
          <cell r="B5839">
            <v>37011248</v>
          </cell>
          <cell r="C5839">
            <v>20042646</v>
          </cell>
          <cell r="D5839">
            <v>44970</v>
          </cell>
        </row>
        <row r="5840">
          <cell r="A5840" t="str">
            <v>Eliezer Lima Campos</v>
          </cell>
          <cell r="B5840">
            <v>37011302</v>
          </cell>
          <cell r="C5840">
            <v>20042651</v>
          </cell>
          <cell r="D5840">
            <v>44970</v>
          </cell>
        </row>
        <row r="5841">
          <cell r="A5841" t="str">
            <v>DANILO PEREIRA OLIVEIRA</v>
          </cell>
          <cell r="B5841">
            <v>37011261</v>
          </cell>
          <cell r="C5841">
            <v>20042659</v>
          </cell>
          <cell r="D5841">
            <v>44970</v>
          </cell>
        </row>
        <row r="5842">
          <cell r="A5842" t="str">
            <v>Rosilene Aparecida Sena</v>
          </cell>
          <cell r="B5842">
            <v>37011276</v>
          </cell>
          <cell r="C5842">
            <v>20042674</v>
          </cell>
          <cell r="D5842">
            <v>44970</v>
          </cell>
        </row>
        <row r="5843">
          <cell r="A5843" t="str">
            <v>Fabiana Dos Santos</v>
          </cell>
          <cell r="B5843">
            <v>37011279</v>
          </cell>
          <cell r="C5843">
            <v>20042679</v>
          </cell>
          <cell r="D5843">
            <v>44970</v>
          </cell>
        </row>
        <row r="5844">
          <cell r="A5844" t="str">
            <v>Debora Cristina Americo</v>
          </cell>
          <cell r="B5844">
            <v>37011288</v>
          </cell>
          <cell r="C5844">
            <v>20042691</v>
          </cell>
          <cell r="D5844">
            <v>44970</v>
          </cell>
        </row>
        <row r="5845">
          <cell r="A5845" t="str">
            <v>Bianca De Oliveira Santos</v>
          </cell>
          <cell r="B5845">
            <v>37011291</v>
          </cell>
          <cell r="C5845">
            <v>20042694</v>
          </cell>
          <cell r="D5845">
            <v>44970</v>
          </cell>
        </row>
        <row r="5846">
          <cell r="A5846" t="str">
            <v>Camila Regina Bonfim</v>
          </cell>
          <cell r="B5846">
            <v>37011306</v>
          </cell>
          <cell r="C5846">
            <v>20042697</v>
          </cell>
          <cell r="D5846">
            <v>44970</v>
          </cell>
        </row>
        <row r="5847">
          <cell r="A5847" t="str">
            <v>Solange Aparecida Dos Santos</v>
          </cell>
          <cell r="B5847">
            <v>37011311</v>
          </cell>
          <cell r="C5847">
            <v>20042726</v>
          </cell>
          <cell r="D5847">
            <v>44970</v>
          </cell>
        </row>
        <row r="5848">
          <cell r="A5848" t="str">
            <v>Rosimeire Aparecida Ribeiro Da Silva</v>
          </cell>
          <cell r="B5848">
            <v>37011313</v>
          </cell>
          <cell r="C5848">
            <v>20042728</v>
          </cell>
          <cell r="D5848">
            <v>44970</v>
          </cell>
        </row>
        <row r="5849">
          <cell r="A5849" t="str">
            <v>Raquel Emerenciando Dos Santos</v>
          </cell>
          <cell r="B5849">
            <v>37011316</v>
          </cell>
          <cell r="C5849">
            <v>20042731</v>
          </cell>
          <cell r="D5849">
            <v>44970</v>
          </cell>
        </row>
        <row r="5850">
          <cell r="A5850" t="str">
            <v>Cassia Leme Siqueira</v>
          </cell>
          <cell r="B5850">
            <v>37011329</v>
          </cell>
          <cell r="C5850">
            <v>20042744</v>
          </cell>
          <cell r="D5850">
            <v>44970</v>
          </cell>
        </row>
        <row r="5851">
          <cell r="A5851" t="str">
            <v>Adilson Rocha Oliveira</v>
          </cell>
          <cell r="B5851">
            <v>37011339</v>
          </cell>
          <cell r="C5851">
            <v>20043187</v>
          </cell>
          <cell r="D5851">
            <v>44973</v>
          </cell>
        </row>
        <row r="5852">
          <cell r="A5852" t="str">
            <v>Cristiane Aparecida Da Cruz</v>
          </cell>
          <cell r="B5852">
            <v>37011342</v>
          </cell>
          <cell r="C5852">
            <v>20043190</v>
          </cell>
          <cell r="D5852">
            <v>44973</v>
          </cell>
        </row>
        <row r="5853">
          <cell r="A5853" t="str">
            <v>Marcio Fonseca Da Silva</v>
          </cell>
          <cell r="B5853">
            <v>37011350</v>
          </cell>
          <cell r="C5853">
            <v>20043198</v>
          </cell>
          <cell r="D5853">
            <v>44973</v>
          </cell>
        </row>
        <row r="5854">
          <cell r="A5854" t="str">
            <v>Francislene Conceicao Dos Santos</v>
          </cell>
          <cell r="B5854">
            <v>37011351</v>
          </cell>
          <cell r="C5854">
            <v>20043199</v>
          </cell>
          <cell r="D5854">
            <v>44973</v>
          </cell>
        </row>
        <row r="5855">
          <cell r="A5855" t="str">
            <v>Franciele Santos Ferreira</v>
          </cell>
          <cell r="B5855">
            <v>37011352</v>
          </cell>
          <cell r="C5855">
            <v>20043200</v>
          </cell>
          <cell r="D5855">
            <v>44973</v>
          </cell>
        </row>
        <row r="5856">
          <cell r="A5856" t="str">
            <v>Adriano Aparecido Bertini</v>
          </cell>
          <cell r="B5856">
            <v>37003261</v>
          </cell>
          <cell r="C5856">
            <v>20008505</v>
          </cell>
          <cell r="D5856">
            <v>43626</v>
          </cell>
        </row>
        <row r="5857">
          <cell r="A5857" t="str">
            <v>Magna Maria Da Silva</v>
          </cell>
          <cell r="B5857">
            <v>37004545</v>
          </cell>
          <cell r="C5857">
            <v>20008225</v>
          </cell>
          <cell r="D5857">
            <v>43955</v>
          </cell>
        </row>
        <row r="5858">
          <cell r="A5858" t="str">
            <v>Jorge Daniel Teixeira</v>
          </cell>
          <cell r="B5858">
            <v>37011356</v>
          </cell>
          <cell r="C5858">
            <v>20043356</v>
          </cell>
          <cell r="D5858">
            <v>44986</v>
          </cell>
        </row>
        <row r="5859">
          <cell r="A5859" t="str">
            <v>Eliton De Pontes</v>
          </cell>
          <cell r="B5859">
            <v>37011355</v>
          </cell>
          <cell r="C5859">
            <v>20043355</v>
          </cell>
          <cell r="D5859">
            <v>44986</v>
          </cell>
        </row>
        <row r="5860">
          <cell r="A5860" t="str">
            <v>Jose Eduardo De Souza Paixao</v>
          </cell>
          <cell r="B5860">
            <v>37011357</v>
          </cell>
          <cell r="C5860">
            <v>20043357</v>
          </cell>
          <cell r="D5860">
            <v>44986</v>
          </cell>
        </row>
        <row r="5861">
          <cell r="A5861" t="str">
            <v>Arlindo Vicente Filho</v>
          </cell>
          <cell r="B5861">
            <v>37011370</v>
          </cell>
          <cell r="C5861">
            <v>20043852</v>
          </cell>
          <cell r="D5861">
            <v>44986</v>
          </cell>
        </row>
        <row r="5862">
          <cell r="A5862" t="str">
            <v>Jucelio Lisboa De Oliveira Junior</v>
          </cell>
          <cell r="B5862">
            <v>37011377</v>
          </cell>
          <cell r="C5862">
            <v>20043859</v>
          </cell>
          <cell r="D5862">
            <v>44986</v>
          </cell>
        </row>
        <row r="5863">
          <cell r="A5863" t="str">
            <v>Fernando Aparecido Da Silva</v>
          </cell>
          <cell r="B5863">
            <v>37011381</v>
          </cell>
          <cell r="C5863">
            <v>20043863</v>
          </cell>
          <cell r="D5863">
            <v>44986</v>
          </cell>
        </row>
        <row r="5864">
          <cell r="A5864" t="str">
            <v>Alisson Carlos Silva</v>
          </cell>
          <cell r="B5864">
            <v>37011385</v>
          </cell>
          <cell r="C5864">
            <v>20043867</v>
          </cell>
          <cell r="D5864">
            <v>44986</v>
          </cell>
        </row>
        <row r="5865">
          <cell r="A5865" t="str">
            <v>Luiz Marcos De Lima</v>
          </cell>
          <cell r="B5865">
            <v>37011396</v>
          </cell>
          <cell r="C5865">
            <v>20043877</v>
          </cell>
          <cell r="D5865">
            <v>44986</v>
          </cell>
        </row>
        <row r="5866">
          <cell r="A5866" t="str">
            <v>Mario Aparecido Pires Da Rosa</v>
          </cell>
          <cell r="B5866">
            <v>37011428</v>
          </cell>
          <cell r="C5866">
            <v>20043886</v>
          </cell>
          <cell r="D5866">
            <v>44986</v>
          </cell>
        </row>
        <row r="5867">
          <cell r="A5867" t="str">
            <v>Ananias Marciano Ruiz</v>
          </cell>
          <cell r="B5867">
            <v>37011403</v>
          </cell>
          <cell r="C5867">
            <v>20043884</v>
          </cell>
          <cell r="D5867">
            <v>44986</v>
          </cell>
        </row>
        <row r="5868">
          <cell r="A5868" t="str">
            <v>Danilo de Sousa Silva</v>
          </cell>
          <cell r="B5868">
            <v>37011418</v>
          </cell>
          <cell r="C5868">
            <v>20043932</v>
          </cell>
          <cell r="D5868">
            <v>44986</v>
          </cell>
        </row>
        <row r="5869">
          <cell r="A5869" t="str">
            <v>Fabricio Silva Oliveira</v>
          </cell>
          <cell r="B5869">
            <v>37011419</v>
          </cell>
          <cell r="C5869">
            <v>20043933</v>
          </cell>
          <cell r="D5869">
            <v>44991</v>
          </cell>
        </row>
        <row r="5870">
          <cell r="A5870" t="str">
            <v>Wellington Mateus Gardino</v>
          </cell>
          <cell r="B5870">
            <v>37011421</v>
          </cell>
          <cell r="C5870">
            <v>20043935</v>
          </cell>
          <cell r="D5870">
            <v>44986</v>
          </cell>
        </row>
        <row r="5871">
          <cell r="A5871" t="str">
            <v>Angelo Antonio Martins Taparo</v>
          </cell>
          <cell r="B5871">
            <v>37005406</v>
          </cell>
          <cell r="C5871">
            <v>20013523</v>
          </cell>
          <cell r="D5871">
            <v>44256</v>
          </cell>
        </row>
        <row r="5872">
          <cell r="A5872" t="str">
            <v>Stefani Suelen Silva</v>
          </cell>
          <cell r="B5872">
            <v>37011431</v>
          </cell>
          <cell r="C5872">
            <v>20044059</v>
          </cell>
          <cell r="D5872">
            <v>44986</v>
          </cell>
        </row>
        <row r="5873">
          <cell r="A5873" t="str">
            <v>Vanessa de Oliveira Lima Ribeiro</v>
          </cell>
          <cell r="B5873">
            <v>37011432</v>
          </cell>
          <cell r="C5873">
            <v>20044060</v>
          </cell>
          <cell r="D5873">
            <v>44986</v>
          </cell>
        </row>
        <row r="5874">
          <cell r="A5874" t="str">
            <v>Augusto Campesato De Souza</v>
          </cell>
          <cell r="B5874">
            <v>37011437</v>
          </cell>
          <cell r="C5874">
            <v>20044065</v>
          </cell>
          <cell r="D5874">
            <v>44986</v>
          </cell>
        </row>
        <row r="5875">
          <cell r="A5875" t="str">
            <v>Laudir Cabral dos Reis</v>
          </cell>
          <cell r="B5875">
            <v>37011425</v>
          </cell>
          <cell r="C5875">
            <v>20041763</v>
          </cell>
          <cell r="D5875">
            <v>44986</v>
          </cell>
        </row>
        <row r="5876">
          <cell r="A5876" t="str">
            <v>Francisco Rodrigues Da Mota</v>
          </cell>
          <cell r="B5876">
            <v>37006417</v>
          </cell>
          <cell r="C5876">
            <v>20017829</v>
          </cell>
          <cell r="D5876">
            <v>44459</v>
          </cell>
        </row>
        <row r="5877">
          <cell r="A5877" t="str">
            <v>Mauricio Amaral Ribeiro</v>
          </cell>
          <cell r="B5877">
            <v>37011454</v>
          </cell>
          <cell r="C5877">
            <v>20044113</v>
          </cell>
          <cell r="D5877">
            <v>44991</v>
          </cell>
        </row>
        <row r="5878">
          <cell r="A5878" t="str">
            <v>Ariana Santos Navarro</v>
          </cell>
          <cell r="B5878">
            <v>37011464</v>
          </cell>
          <cell r="C5878">
            <v>20044123</v>
          </cell>
          <cell r="D5878">
            <v>44991</v>
          </cell>
        </row>
        <row r="5879">
          <cell r="A5879" t="str">
            <v>Daniel Aparecido Stender</v>
          </cell>
          <cell r="B5879">
            <v>37011466</v>
          </cell>
          <cell r="C5879">
            <v>20044125</v>
          </cell>
          <cell r="D5879">
            <v>44991</v>
          </cell>
        </row>
        <row r="5880">
          <cell r="A5880" t="str">
            <v>Jose Henrique De Sousa Da Silva</v>
          </cell>
          <cell r="B5880">
            <v>37011459</v>
          </cell>
          <cell r="C5880">
            <v>20044118</v>
          </cell>
          <cell r="D5880">
            <v>44991</v>
          </cell>
        </row>
        <row r="5881">
          <cell r="A5881" t="str">
            <v>Andre Santos Silva</v>
          </cell>
          <cell r="B5881">
            <v>37011498</v>
          </cell>
          <cell r="C5881">
            <v>20044122</v>
          </cell>
          <cell r="D5881">
            <v>44991</v>
          </cell>
        </row>
        <row r="5882">
          <cell r="A5882" t="str">
            <v>Everton Tiago Da Silva</v>
          </cell>
          <cell r="B5882">
            <v>37011465</v>
          </cell>
          <cell r="C5882">
            <v>20044124</v>
          </cell>
          <cell r="D5882">
            <v>44991</v>
          </cell>
        </row>
        <row r="5883">
          <cell r="A5883" t="str">
            <v>Roberto Antonio Da Silva Junior</v>
          </cell>
          <cell r="B5883">
            <v>37011474</v>
          </cell>
          <cell r="C5883">
            <v>20044133</v>
          </cell>
          <cell r="D5883">
            <v>44991</v>
          </cell>
        </row>
        <row r="5884">
          <cell r="A5884" t="str">
            <v>Robson De Campos De Oliveira Marques</v>
          </cell>
          <cell r="B5884">
            <v>37011482</v>
          </cell>
          <cell r="C5884">
            <v>20044141</v>
          </cell>
          <cell r="D5884">
            <v>44991</v>
          </cell>
        </row>
        <row r="5885">
          <cell r="A5885" t="str">
            <v>Thiago Vinicius De Moura Duarte</v>
          </cell>
          <cell r="B5885">
            <v>37011488</v>
          </cell>
          <cell r="C5885">
            <v>20044147</v>
          </cell>
          <cell r="D5885">
            <v>44991</v>
          </cell>
        </row>
        <row r="5886">
          <cell r="A5886" t="str">
            <v>Larissa Marinato Castellar</v>
          </cell>
          <cell r="B5886">
            <v>37011489</v>
          </cell>
          <cell r="C5886">
            <v>20044148</v>
          </cell>
          <cell r="D5886">
            <v>44991</v>
          </cell>
        </row>
        <row r="5887">
          <cell r="A5887" t="str">
            <v>Luiz Carlos De Souza Filho</v>
          </cell>
          <cell r="B5887">
            <v>37011490</v>
          </cell>
          <cell r="C5887">
            <v>20044149</v>
          </cell>
          <cell r="D5887">
            <v>44991</v>
          </cell>
        </row>
        <row r="5888">
          <cell r="A5888" t="str">
            <v>Mauricio Reynaldo Prieto</v>
          </cell>
          <cell r="B5888">
            <v>37001377</v>
          </cell>
          <cell r="C5888">
            <v>15007184</v>
          </cell>
          <cell r="D5888">
            <v>41744</v>
          </cell>
        </row>
        <row r="5889">
          <cell r="A5889" t="str">
            <v>Salatiel Franco Boachaques</v>
          </cell>
          <cell r="B5889">
            <v>37011476</v>
          </cell>
          <cell r="C5889">
            <v>20044135</v>
          </cell>
          <cell r="D5889">
            <v>44991</v>
          </cell>
        </row>
        <row r="5890">
          <cell r="A5890" t="str">
            <v>Rogerio Araujo Teixeira</v>
          </cell>
          <cell r="B5890">
            <v>37011481</v>
          </cell>
          <cell r="C5890">
            <v>20044140</v>
          </cell>
          <cell r="D5890">
            <v>44991</v>
          </cell>
        </row>
        <row r="5891">
          <cell r="A5891" t="str">
            <v>Marcio Ceciliato Momberg de Oliveira</v>
          </cell>
          <cell r="B5891">
            <v>37011501</v>
          </cell>
          <cell r="C5891">
            <v>20044188</v>
          </cell>
          <cell r="D5891">
            <v>44991</v>
          </cell>
        </row>
        <row r="5892">
          <cell r="A5892" t="str">
            <v>Joao Victor da Silva</v>
          </cell>
          <cell r="B5892">
            <v>37011546</v>
          </cell>
          <cell r="C5892">
            <v>20044190</v>
          </cell>
          <cell r="D5892">
            <v>44991</v>
          </cell>
        </row>
        <row r="5893">
          <cell r="A5893" t="str">
            <v>Rafael de Paula</v>
          </cell>
          <cell r="B5893">
            <v>37011509</v>
          </cell>
          <cell r="C5893">
            <v>20044196</v>
          </cell>
          <cell r="D5893">
            <v>44991</v>
          </cell>
        </row>
        <row r="5894">
          <cell r="A5894" t="str">
            <v>Gustavo Marcelino De Oliveira Silva</v>
          </cell>
          <cell r="B5894">
            <v>37011514</v>
          </cell>
          <cell r="C5894">
            <v>20044201</v>
          </cell>
          <cell r="D5894">
            <v>44991</v>
          </cell>
        </row>
        <row r="5895">
          <cell r="A5895" t="str">
            <v>Rafael Vicente Mantuan</v>
          </cell>
          <cell r="B5895">
            <v>37005220</v>
          </cell>
          <cell r="C5895">
            <v>20011125</v>
          </cell>
          <cell r="D5895">
            <v>44117</v>
          </cell>
        </row>
        <row r="5896">
          <cell r="A5896" t="str">
            <v>Paulo Oliveira De Almeida</v>
          </cell>
          <cell r="B5896">
            <v>37011520</v>
          </cell>
          <cell r="C5896">
            <v>20044411</v>
          </cell>
          <cell r="D5896">
            <v>44991</v>
          </cell>
        </row>
        <row r="5897">
          <cell r="A5897" t="str">
            <v>Marcos Vinicius Calisto  Ferreira</v>
          </cell>
          <cell r="B5897">
            <v>37011521</v>
          </cell>
          <cell r="C5897">
            <v>20044412</v>
          </cell>
          <cell r="D5897">
            <v>44991</v>
          </cell>
        </row>
        <row r="5898">
          <cell r="A5898" t="str">
            <v>Anderson Borin Zangareli</v>
          </cell>
          <cell r="B5898">
            <v>37005564</v>
          </cell>
          <cell r="C5898">
            <v>20013591</v>
          </cell>
          <cell r="D5898">
            <v>44298</v>
          </cell>
        </row>
        <row r="5899">
          <cell r="A5899" t="str">
            <v>Odair Bison</v>
          </cell>
          <cell r="B5899">
            <v>37007250</v>
          </cell>
          <cell r="C5899">
            <v>20022778</v>
          </cell>
          <cell r="D5899">
            <v>44627</v>
          </cell>
        </row>
        <row r="5900">
          <cell r="A5900" t="str">
            <v>Valterlei Matias De Oliveira</v>
          </cell>
          <cell r="B5900">
            <v>37000080</v>
          </cell>
          <cell r="C5900">
            <v>20010103</v>
          </cell>
          <cell r="D5900">
            <v>33505</v>
          </cell>
        </row>
        <row r="5901">
          <cell r="A5901" t="str">
            <v>Laiza Fernanda Curti Teixeira Oro</v>
          </cell>
          <cell r="B5901">
            <v>37007021</v>
          </cell>
          <cell r="C5901">
            <v>20021650</v>
          </cell>
          <cell r="D5901">
            <v>44578</v>
          </cell>
        </row>
        <row r="5902">
          <cell r="A5902" t="str">
            <v>Carlos Henrique Batista</v>
          </cell>
          <cell r="B5902">
            <v>37004364</v>
          </cell>
          <cell r="C5902">
            <v>20008761</v>
          </cell>
          <cell r="D5902">
            <v>43878</v>
          </cell>
        </row>
        <row r="5903">
          <cell r="A5903" t="str">
            <v>Geovanni Malatesta Barros</v>
          </cell>
          <cell r="B5903">
            <v>37003878</v>
          </cell>
          <cell r="C5903">
            <v>20009159</v>
          </cell>
          <cell r="D5903">
            <v>43759</v>
          </cell>
        </row>
        <row r="5904">
          <cell r="A5904" t="str">
            <v>Maico De Almeida Rodrigues</v>
          </cell>
          <cell r="B5904">
            <v>37011523</v>
          </cell>
          <cell r="C5904">
            <v>20044414</v>
          </cell>
          <cell r="D5904">
            <v>44991</v>
          </cell>
        </row>
        <row r="5905">
          <cell r="A5905" t="str">
            <v>Joao Matheus De Oliveira Bernardo</v>
          </cell>
          <cell r="B5905">
            <v>37011524</v>
          </cell>
          <cell r="C5905">
            <v>20044415</v>
          </cell>
          <cell r="D5905">
            <v>44991</v>
          </cell>
        </row>
        <row r="5906">
          <cell r="A5906" t="str">
            <v>Claudineia Alves De Araujo Miranda</v>
          </cell>
          <cell r="B5906">
            <v>37011528</v>
          </cell>
          <cell r="C5906">
            <v>20044419</v>
          </cell>
          <cell r="D5906">
            <v>44991</v>
          </cell>
        </row>
        <row r="5907">
          <cell r="A5907" t="str">
            <v>Hermes Roberto Toloi Lanzi</v>
          </cell>
          <cell r="B5907">
            <v>37011530</v>
          </cell>
          <cell r="C5907">
            <v>20044421</v>
          </cell>
          <cell r="D5907">
            <v>44991</v>
          </cell>
        </row>
        <row r="5908">
          <cell r="A5908" t="str">
            <v>Bruno Antonio Biason</v>
          </cell>
          <cell r="B5908">
            <v>37011534</v>
          </cell>
          <cell r="C5908">
            <v>20044425</v>
          </cell>
          <cell r="D5908">
            <v>44991</v>
          </cell>
        </row>
        <row r="5909">
          <cell r="A5909" t="str">
            <v>Luiz Fernando De Souza Barbosa</v>
          </cell>
          <cell r="B5909">
            <v>37005834</v>
          </cell>
          <cell r="C5909">
            <v>20016050</v>
          </cell>
          <cell r="D5909">
            <v>44354</v>
          </cell>
        </row>
        <row r="5910">
          <cell r="A5910" t="str">
            <v>Dirceu Novak</v>
          </cell>
          <cell r="B5910">
            <v>37011525</v>
          </cell>
          <cell r="C5910">
            <v>20044416</v>
          </cell>
          <cell r="D5910">
            <v>44991</v>
          </cell>
        </row>
        <row r="5911">
          <cell r="A5911" t="str">
            <v>Jailton Paulo Dos Santos Queiroz</v>
          </cell>
          <cell r="B5911">
            <v>37011526</v>
          </cell>
          <cell r="C5911">
            <v>20044417</v>
          </cell>
          <cell r="D5911">
            <v>44991</v>
          </cell>
        </row>
        <row r="5912">
          <cell r="A5912" t="str">
            <v>Reginaldo Da Rocha</v>
          </cell>
          <cell r="B5912">
            <v>37011536</v>
          </cell>
          <cell r="C5912">
            <v>20044427</v>
          </cell>
          <cell r="D5912">
            <v>44991</v>
          </cell>
        </row>
        <row r="5913">
          <cell r="A5913" t="str">
            <v>Lucas Filipe Madeira</v>
          </cell>
          <cell r="B5913">
            <v>37011542</v>
          </cell>
          <cell r="C5913">
            <v>20044433</v>
          </cell>
          <cell r="D5913">
            <v>44991</v>
          </cell>
        </row>
        <row r="5914">
          <cell r="A5914" t="str">
            <v>Edson Marcelo Ferreira</v>
          </cell>
          <cell r="B5914">
            <v>37011537</v>
          </cell>
          <cell r="C5914">
            <v>20044428</v>
          </cell>
          <cell r="D5914">
            <v>44991</v>
          </cell>
        </row>
        <row r="5915">
          <cell r="A5915" t="str">
            <v>Lucas De Jesus</v>
          </cell>
          <cell r="B5915">
            <v>37011539</v>
          </cell>
          <cell r="C5915">
            <v>20044430</v>
          </cell>
          <cell r="D5915">
            <v>44991</v>
          </cell>
        </row>
        <row r="5916">
          <cell r="A5916" t="str">
            <v>Maria Cristina Machado</v>
          </cell>
          <cell r="B5916">
            <v>37011630</v>
          </cell>
          <cell r="C5916">
            <v>20044801</v>
          </cell>
          <cell r="D5916">
            <v>44998</v>
          </cell>
        </row>
        <row r="5917">
          <cell r="A5917" t="str">
            <v>Eduardo Andretto</v>
          </cell>
          <cell r="B5917">
            <v>37011626</v>
          </cell>
          <cell r="C5917">
            <v>20044797</v>
          </cell>
          <cell r="D5917">
            <v>44991</v>
          </cell>
        </row>
        <row r="5918">
          <cell r="A5918" t="str">
            <v>Lucas Acosta De Oliveira</v>
          </cell>
          <cell r="B5918">
            <v>37011627</v>
          </cell>
          <cell r="C5918">
            <v>20044798</v>
          </cell>
          <cell r="D5918">
            <v>44998</v>
          </cell>
        </row>
        <row r="5919">
          <cell r="A5919" t="str">
            <v>Jessica Lessa De Oliveira</v>
          </cell>
          <cell r="B5919">
            <v>37011629</v>
          </cell>
          <cell r="C5919">
            <v>20044800</v>
          </cell>
          <cell r="D5919">
            <v>44998</v>
          </cell>
        </row>
        <row r="5920">
          <cell r="A5920" t="str">
            <v>Adilson Aparecido Da Silva</v>
          </cell>
          <cell r="B5920">
            <v>37011631</v>
          </cell>
          <cell r="C5920">
            <v>20044802</v>
          </cell>
          <cell r="D5920">
            <v>44998</v>
          </cell>
        </row>
        <row r="5921">
          <cell r="A5921" t="str">
            <v>Ana Paula De Carvalho</v>
          </cell>
          <cell r="B5921">
            <v>37011633</v>
          </cell>
          <cell r="C5921">
            <v>20044804</v>
          </cell>
          <cell r="D5921">
            <v>44998</v>
          </cell>
        </row>
        <row r="5922">
          <cell r="A5922" t="str">
            <v>Daniely Barbosa De Carvalho Mendes</v>
          </cell>
          <cell r="B5922">
            <v>37011634</v>
          </cell>
          <cell r="C5922">
            <v>20044805</v>
          </cell>
          <cell r="D5922">
            <v>44998</v>
          </cell>
        </row>
        <row r="5923">
          <cell r="A5923" t="str">
            <v>Daiana Aparecida Bento Lima</v>
          </cell>
          <cell r="B5923">
            <v>37011635</v>
          </cell>
          <cell r="C5923">
            <v>20044806</v>
          </cell>
          <cell r="D5923">
            <v>44998</v>
          </cell>
        </row>
        <row r="5924">
          <cell r="A5924" t="str">
            <v>Kelly Cristina Da Silva Rodrigues</v>
          </cell>
          <cell r="B5924">
            <v>37011638</v>
          </cell>
          <cell r="C5924">
            <v>20044809</v>
          </cell>
          <cell r="D5924">
            <v>44998</v>
          </cell>
        </row>
        <row r="5925">
          <cell r="A5925" t="str">
            <v>Tainara Lipu Barbosa</v>
          </cell>
          <cell r="B5925">
            <v>37011639</v>
          </cell>
          <cell r="C5925">
            <v>20044810</v>
          </cell>
          <cell r="D5925">
            <v>44998</v>
          </cell>
        </row>
        <row r="5926">
          <cell r="A5926" t="str">
            <v>Claudia Carolina Picoloto</v>
          </cell>
          <cell r="B5926">
            <v>37011640</v>
          </cell>
          <cell r="C5926">
            <v>20044811</v>
          </cell>
          <cell r="D5926">
            <v>44998</v>
          </cell>
        </row>
        <row r="5927">
          <cell r="A5927" t="str">
            <v>Jean Carlos Plens</v>
          </cell>
          <cell r="B5927">
            <v>37011655</v>
          </cell>
          <cell r="C5927">
            <v>20044826</v>
          </cell>
          <cell r="D5927">
            <v>44998</v>
          </cell>
        </row>
        <row r="5928">
          <cell r="A5928" t="str">
            <v>Mauricio Alves Perin</v>
          </cell>
          <cell r="B5928">
            <v>37011659</v>
          </cell>
          <cell r="C5928">
            <v>20044828</v>
          </cell>
          <cell r="D5928">
            <v>45005</v>
          </cell>
        </row>
        <row r="5929">
          <cell r="A5929" t="str">
            <v>Roney Cunha</v>
          </cell>
          <cell r="B5929">
            <v>37011660</v>
          </cell>
          <cell r="C5929">
            <v>20044829</v>
          </cell>
          <cell r="D5929">
            <v>45005</v>
          </cell>
        </row>
        <row r="5930">
          <cell r="A5930" t="str">
            <v>Alan Dias Marcelino</v>
          </cell>
          <cell r="B5930">
            <v>37011665</v>
          </cell>
          <cell r="C5930">
            <v>20044834</v>
          </cell>
          <cell r="D5930">
            <v>45005</v>
          </cell>
        </row>
        <row r="5931">
          <cell r="A5931" t="str">
            <v>Ivanildo Feitosa Da Silva</v>
          </cell>
          <cell r="B5931">
            <v>37011675</v>
          </cell>
          <cell r="C5931">
            <v>20045199</v>
          </cell>
          <cell r="D5931">
            <v>44998</v>
          </cell>
        </row>
        <row r="5932">
          <cell r="A5932" t="str">
            <v>Bruno Gracioli Da Silva</v>
          </cell>
          <cell r="B5932">
            <v>37011696</v>
          </cell>
          <cell r="C5932">
            <v>20045220</v>
          </cell>
          <cell r="D5932">
            <v>44998</v>
          </cell>
        </row>
        <row r="5933">
          <cell r="A5933" t="str">
            <v>Francine Toledo Mendonca</v>
          </cell>
          <cell r="B5933">
            <v>37011737</v>
          </cell>
          <cell r="C5933">
            <v>20045286</v>
          </cell>
          <cell r="D5933">
            <v>44998</v>
          </cell>
        </row>
        <row r="5934">
          <cell r="A5934" t="str">
            <v>Lucas Brandao Timo</v>
          </cell>
          <cell r="B5934">
            <v>37011738</v>
          </cell>
          <cell r="C5934">
            <v>20045287</v>
          </cell>
          <cell r="D5934">
            <v>44998</v>
          </cell>
        </row>
        <row r="5935">
          <cell r="A5935" t="str">
            <v>Daiane Oliveira Manzano Da Silva</v>
          </cell>
          <cell r="B5935">
            <v>37011773</v>
          </cell>
          <cell r="C5935">
            <v>20045748</v>
          </cell>
          <cell r="D5935">
            <v>45005</v>
          </cell>
        </row>
        <row r="5936">
          <cell r="A5936" t="str">
            <v>Luiz Ricardo De Oliveira</v>
          </cell>
          <cell r="B5936">
            <v>37011777</v>
          </cell>
          <cell r="C5936">
            <v>20045752</v>
          </cell>
          <cell r="D5936">
            <v>45005</v>
          </cell>
        </row>
        <row r="5937">
          <cell r="A5937" t="str">
            <v>Bruno Marco De Lima</v>
          </cell>
          <cell r="B5937">
            <v>37004154</v>
          </cell>
          <cell r="C5937">
            <v>20008723</v>
          </cell>
          <cell r="D5937">
            <v>43850</v>
          </cell>
        </row>
        <row r="5938">
          <cell r="A5938" t="str">
            <v>Marcela de Oliveira Bernardes Moura</v>
          </cell>
          <cell r="B5938">
            <v>37011839</v>
          </cell>
          <cell r="C5938">
            <v>20045933</v>
          </cell>
          <cell r="D5938">
            <v>45005</v>
          </cell>
        </row>
        <row r="5939">
          <cell r="A5939" t="str">
            <v>Joao Batista Sousa De Castro</v>
          </cell>
          <cell r="B5939">
            <v>37011862</v>
          </cell>
          <cell r="C5939">
            <v>20046363</v>
          </cell>
          <cell r="D5939">
            <v>45005</v>
          </cell>
        </row>
        <row r="5940">
          <cell r="A5940" t="str">
            <v>Joao Marcos Rebessi de Sousa</v>
          </cell>
          <cell r="B5940">
            <v>37011887</v>
          </cell>
          <cell r="C5940">
            <v>20046388</v>
          </cell>
          <cell r="D5940">
            <v>45005</v>
          </cell>
        </row>
        <row r="5941">
          <cell r="A5941" t="str">
            <v>Joao Victor Reis e Silva</v>
          </cell>
          <cell r="B5941">
            <v>37011907</v>
          </cell>
          <cell r="C5941">
            <v>20046491</v>
          </cell>
          <cell r="D5941">
            <v>45019</v>
          </cell>
        </row>
        <row r="5942">
          <cell r="A5942" t="str">
            <v>Luis Antonio Gori</v>
          </cell>
          <cell r="B5942">
            <v>37005417</v>
          </cell>
          <cell r="C5942">
            <v>20013528</v>
          </cell>
          <cell r="D5942">
            <v>44256</v>
          </cell>
        </row>
        <row r="5943">
          <cell r="A5943" t="str">
            <v>Osmar Santos Alves</v>
          </cell>
          <cell r="B5943">
            <v>37005515</v>
          </cell>
          <cell r="C5943">
            <v>20013558</v>
          </cell>
          <cell r="D5943">
            <v>44277</v>
          </cell>
        </row>
        <row r="5944">
          <cell r="A5944" t="str">
            <v>Anderson Luiz Costilhas Laranjo</v>
          </cell>
          <cell r="B5944">
            <v>37006450</v>
          </cell>
          <cell r="C5944">
            <v>20017857</v>
          </cell>
          <cell r="D5944">
            <v>44459</v>
          </cell>
        </row>
        <row r="5945">
          <cell r="A5945" t="str">
            <v>Leonardo Da Silva</v>
          </cell>
          <cell r="B5945">
            <v>37007087</v>
          </cell>
          <cell r="C5945">
            <v>20022899</v>
          </cell>
          <cell r="D5945">
            <v>44593</v>
          </cell>
        </row>
        <row r="5946">
          <cell r="A5946" t="str">
            <v>Suely de Melo Dias</v>
          </cell>
          <cell r="B5946">
            <v>37011910</v>
          </cell>
          <cell r="C5946">
            <v>20046715</v>
          </cell>
          <cell r="D5946">
            <v>45019</v>
          </cell>
        </row>
        <row r="5947">
          <cell r="A5947" t="str">
            <v>Jessyca Moreira Silva</v>
          </cell>
          <cell r="B5947">
            <v>37011917</v>
          </cell>
          <cell r="C5947">
            <v>20046722</v>
          </cell>
          <cell r="D5947">
            <v>45019</v>
          </cell>
        </row>
        <row r="5948">
          <cell r="A5948" t="str">
            <v>Wesley Aparecido de Godoy</v>
          </cell>
          <cell r="B5948">
            <v>37011922</v>
          </cell>
          <cell r="C5948">
            <v>20046751</v>
          </cell>
          <cell r="D5948">
            <v>45019</v>
          </cell>
        </row>
        <row r="5949">
          <cell r="A5949" t="str">
            <v>Cristiano Roberto Ronque</v>
          </cell>
          <cell r="B5949">
            <v>37002844</v>
          </cell>
          <cell r="C5949">
            <v>20008841</v>
          </cell>
          <cell r="D5949">
            <v>43479</v>
          </cell>
        </row>
        <row r="5950">
          <cell r="A5950" t="str">
            <v>Willian Fernandes De Oliveira</v>
          </cell>
          <cell r="B5950">
            <v>37000815</v>
          </cell>
          <cell r="C5950">
            <v>20010059</v>
          </cell>
          <cell r="D5950">
            <v>40485</v>
          </cell>
        </row>
        <row r="5951">
          <cell r="A5951" t="str">
            <v>Everson Luis De Oliveira</v>
          </cell>
          <cell r="B5951">
            <v>37006005</v>
          </cell>
          <cell r="C5951">
            <v>20016799</v>
          </cell>
          <cell r="D5951">
            <v>44389</v>
          </cell>
        </row>
        <row r="5952">
          <cell r="A5952" t="str">
            <v>Evandro Aparecido Granado</v>
          </cell>
          <cell r="B5952">
            <v>37002847</v>
          </cell>
          <cell r="C5952">
            <v>20009022</v>
          </cell>
          <cell r="D5952">
            <v>43479</v>
          </cell>
        </row>
        <row r="5953">
          <cell r="A5953" t="str">
            <v>Heliezer Feliciano Da Silva</v>
          </cell>
          <cell r="B5953">
            <v>37003148</v>
          </cell>
          <cell r="C5953">
            <v>20009231</v>
          </cell>
          <cell r="D5953">
            <v>43588</v>
          </cell>
        </row>
        <row r="5954">
          <cell r="A5954" t="str">
            <v>Larissa Rocha</v>
          </cell>
          <cell r="B5954">
            <v>37007718</v>
          </cell>
          <cell r="C5954">
            <v>20025797</v>
          </cell>
          <cell r="D5954">
            <v>44690</v>
          </cell>
        </row>
        <row r="5955">
          <cell r="A5955" t="str">
            <v>Rafael Henrique de Lima</v>
          </cell>
          <cell r="B5955">
            <v>37011935</v>
          </cell>
          <cell r="C5955">
            <v>20046764</v>
          </cell>
          <cell r="D5955">
            <v>45019</v>
          </cell>
        </row>
        <row r="5956">
          <cell r="A5956" t="str">
            <v>Ofir Do Espirito Santo Fonseca Junior</v>
          </cell>
          <cell r="B5956">
            <v>37001802</v>
          </cell>
          <cell r="C5956">
            <v>15007629</v>
          </cell>
          <cell r="D5956">
            <v>42653</v>
          </cell>
        </row>
        <row r="5957">
          <cell r="A5957" t="str">
            <v>Matheus Bruckner Soares</v>
          </cell>
          <cell r="B5957">
            <v>37003165</v>
          </cell>
          <cell r="C5957">
            <v>20009672</v>
          </cell>
          <cell r="D5957">
            <v>43591</v>
          </cell>
        </row>
        <row r="5958">
          <cell r="A5958" t="str">
            <v>Josuel Santana Acidalino</v>
          </cell>
          <cell r="B5958">
            <v>37011920</v>
          </cell>
          <cell r="C5958">
            <v>20041789</v>
          </cell>
          <cell r="D5958">
            <v>45019</v>
          </cell>
        </row>
        <row r="5959">
          <cell r="A5959" t="str">
            <v>Alessandro Da Silva Nascimento</v>
          </cell>
          <cell r="B5959">
            <v>37011950</v>
          </cell>
          <cell r="C5959">
            <v>20046771</v>
          </cell>
          <cell r="D5959">
            <v>45019</v>
          </cell>
        </row>
        <row r="5960">
          <cell r="A5960" t="str">
            <v>Leonardo Santos de Jesus</v>
          </cell>
          <cell r="B5960">
            <v>37011940</v>
          </cell>
          <cell r="C5960">
            <v>20046769</v>
          </cell>
          <cell r="D5960">
            <v>45019</v>
          </cell>
        </row>
        <row r="5961">
          <cell r="A5961" t="str">
            <v>Edivaldo Xavier</v>
          </cell>
          <cell r="B5961">
            <v>37005575</v>
          </cell>
          <cell r="C5961">
            <v>20013597</v>
          </cell>
          <cell r="D5961">
            <v>44301</v>
          </cell>
        </row>
        <row r="5962">
          <cell r="A5962" t="str">
            <v>Willians Ralf Pereira Da Silva</v>
          </cell>
          <cell r="B5962">
            <v>37005977</v>
          </cell>
          <cell r="C5962">
            <v>20016779</v>
          </cell>
          <cell r="D5962">
            <v>44382</v>
          </cell>
        </row>
        <row r="5963">
          <cell r="A5963" t="str">
            <v>Luzivaldo Mendes</v>
          </cell>
          <cell r="B5963">
            <v>37006840</v>
          </cell>
          <cell r="C5963">
            <v>20020016</v>
          </cell>
          <cell r="D5963">
            <v>44536</v>
          </cell>
        </row>
        <row r="5964">
          <cell r="A5964" t="str">
            <v>Luis Fernando De Melo</v>
          </cell>
          <cell r="B5964">
            <v>37007072</v>
          </cell>
          <cell r="C5964">
            <v>20022884</v>
          </cell>
          <cell r="D5964">
            <v>44593</v>
          </cell>
        </row>
        <row r="5965">
          <cell r="A5965" t="str">
            <v>Analeto Dos Santos Rodrigues</v>
          </cell>
          <cell r="B5965">
            <v>37007075</v>
          </cell>
          <cell r="C5965">
            <v>20022886</v>
          </cell>
          <cell r="D5965">
            <v>44593</v>
          </cell>
        </row>
        <row r="5966">
          <cell r="A5966" t="str">
            <v>Leonardo Dos Santos</v>
          </cell>
          <cell r="B5966">
            <v>37006449</v>
          </cell>
          <cell r="C5966">
            <v>20017853</v>
          </cell>
          <cell r="D5966">
            <v>44459</v>
          </cell>
        </row>
        <row r="5967">
          <cell r="A5967" t="str">
            <v>Kariny De Oliveira Paiva</v>
          </cell>
          <cell r="B5967">
            <v>37011952</v>
          </cell>
          <cell r="C5967">
            <v>20046852</v>
          </cell>
          <cell r="D5967">
            <v>45019</v>
          </cell>
        </row>
        <row r="5968">
          <cell r="A5968" t="str">
            <v>MELQUISEDEQ SALES SANTOS</v>
          </cell>
          <cell r="B5968">
            <v>37011959</v>
          </cell>
          <cell r="C5968">
            <v>20046860</v>
          </cell>
          <cell r="D5968">
            <v>45019</v>
          </cell>
        </row>
        <row r="5969">
          <cell r="A5969" t="str">
            <v>Ederson Campos Vieira Soares</v>
          </cell>
          <cell r="B5969">
            <v>37011995</v>
          </cell>
          <cell r="C5969">
            <v>20046851</v>
          </cell>
          <cell r="D5969">
            <v>45019</v>
          </cell>
        </row>
        <row r="5970">
          <cell r="A5970" t="str">
            <v>Marcio Vinicius dos Santos</v>
          </cell>
          <cell r="B5970">
            <v>37011954</v>
          </cell>
          <cell r="C5970">
            <v>20046854</v>
          </cell>
          <cell r="D5970">
            <v>45019</v>
          </cell>
        </row>
        <row r="5971">
          <cell r="A5971" t="str">
            <v>Ivan De Araujo Inacio</v>
          </cell>
          <cell r="B5971">
            <v>37011971</v>
          </cell>
          <cell r="C5971">
            <v>20046989</v>
          </cell>
          <cell r="D5971">
            <v>45019</v>
          </cell>
        </row>
        <row r="5972">
          <cell r="A5972" t="str">
            <v>Joao Carlos Augusti</v>
          </cell>
          <cell r="B5972">
            <v>37005415</v>
          </cell>
          <cell r="C5972">
            <v>20014614</v>
          </cell>
          <cell r="D5972">
            <v>44256</v>
          </cell>
        </row>
        <row r="5973">
          <cell r="A5973" t="str">
            <v>Davi Fernandes Dattoli</v>
          </cell>
          <cell r="B5973">
            <v>37011991</v>
          </cell>
          <cell r="C5973">
            <v>20047065</v>
          </cell>
          <cell r="D5973">
            <v>45034</v>
          </cell>
        </row>
        <row r="5974">
          <cell r="A5974" t="str">
            <v>Luiz Felipe Duarte Culura</v>
          </cell>
          <cell r="B5974">
            <v>37011999</v>
          </cell>
          <cell r="C5974">
            <v>20047076</v>
          </cell>
          <cell r="D5974">
            <v>45019</v>
          </cell>
        </row>
        <row r="5975">
          <cell r="A5975" t="str">
            <v>Aline Christina Silva</v>
          </cell>
          <cell r="B5975">
            <v>37012003</v>
          </cell>
          <cell r="C5975">
            <v>20047080</v>
          </cell>
          <cell r="D5975">
            <v>45019</v>
          </cell>
        </row>
        <row r="5976">
          <cell r="A5976" t="str">
            <v>Gabriela Da Motta Labres Bueno</v>
          </cell>
          <cell r="B5976">
            <v>37012004</v>
          </cell>
          <cell r="C5976">
            <v>20047081</v>
          </cell>
          <cell r="D5976">
            <v>45019</v>
          </cell>
        </row>
        <row r="5977">
          <cell r="A5977" t="str">
            <v>Stephany Gisele De Oliveira Rodrigues</v>
          </cell>
          <cell r="B5977">
            <v>37012006</v>
          </cell>
          <cell r="C5977">
            <v>20047083</v>
          </cell>
          <cell r="D5977">
            <v>45019</v>
          </cell>
        </row>
        <row r="5978">
          <cell r="A5978" t="str">
            <v>Eliesvaldo Lima</v>
          </cell>
          <cell r="B5978">
            <v>37012013</v>
          </cell>
          <cell r="C5978">
            <v>20047127</v>
          </cell>
          <cell r="D5978">
            <v>45019</v>
          </cell>
        </row>
        <row r="5979">
          <cell r="A5979" t="str">
            <v>Claudia Menatto Lopes</v>
          </cell>
          <cell r="B5979">
            <v>37012014</v>
          </cell>
          <cell r="C5979">
            <v>20047128</v>
          </cell>
          <cell r="D5979">
            <v>45019</v>
          </cell>
        </row>
        <row r="5980">
          <cell r="A5980" t="str">
            <v>Frederico Franz Lopes Bastos</v>
          </cell>
          <cell r="B5980">
            <v>37012017</v>
          </cell>
          <cell r="C5980">
            <v>20047131</v>
          </cell>
          <cell r="D5980">
            <v>45019</v>
          </cell>
        </row>
        <row r="5981">
          <cell r="A5981" t="str">
            <v>Rafael Henrique Brocco</v>
          </cell>
          <cell r="B5981">
            <v>37012024</v>
          </cell>
          <cell r="C5981">
            <v>20047192</v>
          </cell>
          <cell r="D5981">
            <v>45027</v>
          </cell>
        </row>
        <row r="5982">
          <cell r="A5982" t="str">
            <v>Daniel Eduardo Pavani das Virgens</v>
          </cell>
          <cell r="B5982">
            <v>37012025</v>
          </cell>
          <cell r="C5982">
            <v>20047193</v>
          </cell>
          <cell r="D5982">
            <v>45027</v>
          </cell>
        </row>
        <row r="5983">
          <cell r="A5983" t="str">
            <v>Lucas Barbosa Pauletti</v>
          </cell>
          <cell r="B5983">
            <v>37007982</v>
          </cell>
          <cell r="C5983">
            <v>20026041</v>
          </cell>
          <cell r="D5983">
            <v>44713</v>
          </cell>
        </row>
        <row r="5984">
          <cell r="A5984" t="str">
            <v>Adriele Da Cunha Oliver</v>
          </cell>
          <cell r="B5984">
            <v>37005511</v>
          </cell>
          <cell r="C5984">
            <v>20013556</v>
          </cell>
          <cell r="D5984">
            <v>44277</v>
          </cell>
        </row>
        <row r="5985">
          <cell r="A5985" t="str">
            <v>Jessica Gianocaro Inone</v>
          </cell>
          <cell r="B5985">
            <v>37006604</v>
          </cell>
          <cell r="C5985">
            <v>20018172</v>
          </cell>
          <cell r="D5985">
            <v>44487</v>
          </cell>
        </row>
        <row r="5986">
          <cell r="A5986" t="str">
            <v>Fabiano Lee Van Carvalho Tavares</v>
          </cell>
          <cell r="B5986">
            <v>37006451</v>
          </cell>
          <cell r="C5986">
            <v>20017859</v>
          </cell>
          <cell r="D5986">
            <v>44459</v>
          </cell>
        </row>
        <row r="5987">
          <cell r="A5987" t="str">
            <v>Deany Cristina Da Silva Bernardes</v>
          </cell>
          <cell r="B5987">
            <v>37007222</v>
          </cell>
          <cell r="C5987">
            <v>20023021</v>
          </cell>
          <cell r="D5987">
            <v>44622</v>
          </cell>
        </row>
        <row r="5988">
          <cell r="A5988" t="str">
            <v>Gilberto Gomes Da Silva</v>
          </cell>
          <cell r="B5988">
            <v>37003916</v>
          </cell>
          <cell r="C5988">
            <v>20009170</v>
          </cell>
          <cell r="D5988">
            <v>43773</v>
          </cell>
        </row>
        <row r="5989">
          <cell r="A5989" t="str">
            <v>Gustavo Martins Soares</v>
          </cell>
          <cell r="B5989">
            <v>37005781</v>
          </cell>
          <cell r="C5989">
            <v>20015607</v>
          </cell>
          <cell r="D5989">
            <v>44348</v>
          </cell>
        </row>
        <row r="5990">
          <cell r="A5990" t="str">
            <v>Caio De Oliveira Silva</v>
          </cell>
          <cell r="B5990">
            <v>37008812</v>
          </cell>
          <cell r="C5990">
            <v>20036622</v>
          </cell>
          <cell r="D5990">
            <v>44777</v>
          </cell>
        </row>
        <row r="5991">
          <cell r="A5991" t="str">
            <v>Ricardo Pacheco Neto</v>
          </cell>
          <cell r="B5991">
            <v>37004561</v>
          </cell>
          <cell r="C5991">
            <v>20008298</v>
          </cell>
          <cell r="D5991">
            <v>43969</v>
          </cell>
        </row>
        <row r="5992">
          <cell r="A5992" t="str">
            <v>Caroline Juliana Vitor</v>
          </cell>
          <cell r="B5992">
            <v>37003463</v>
          </cell>
          <cell r="C5992">
            <v>20008771</v>
          </cell>
          <cell r="D5992">
            <v>43661</v>
          </cell>
        </row>
        <row r="5993">
          <cell r="A5993" t="str">
            <v>Luis Ricardo Justulin</v>
          </cell>
          <cell r="B5993">
            <v>37003202</v>
          </cell>
          <cell r="C5993">
            <v>20009547</v>
          </cell>
          <cell r="D5993">
            <v>43605</v>
          </cell>
        </row>
        <row r="5994">
          <cell r="A5994" t="str">
            <v>Mateus Felipe Garnica</v>
          </cell>
          <cell r="B5994">
            <v>37005548</v>
          </cell>
          <cell r="C5994">
            <v>20013583</v>
          </cell>
          <cell r="D5994">
            <v>44291</v>
          </cell>
        </row>
        <row r="5995">
          <cell r="A5995" t="str">
            <v>Valter Belizario</v>
          </cell>
          <cell r="B5995">
            <v>37003041</v>
          </cell>
          <cell r="C5995">
            <v>20009998</v>
          </cell>
          <cell r="D5995">
            <v>43542</v>
          </cell>
        </row>
        <row r="5996">
          <cell r="A5996" t="str">
            <v>Benedito Jose Tiago Nunes</v>
          </cell>
          <cell r="B5996">
            <v>37012029</v>
          </cell>
          <cell r="C5996">
            <v>20047197</v>
          </cell>
          <cell r="D5996">
            <v>45027</v>
          </cell>
        </row>
        <row r="5997">
          <cell r="A5997" t="str">
            <v>Lindomar Figueiredo Lauriano</v>
          </cell>
          <cell r="B5997">
            <v>37012033</v>
          </cell>
          <cell r="C5997">
            <v>20047201</v>
          </cell>
          <cell r="D5997">
            <v>45027</v>
          </cell>
        </row>
        <row r="5998">
          <cell r="A5998" t="str">
            <v>Matheus Martins Teles</v>
          </cell>
          <cell r="B5998">
            <v>37012049</v>
          </cell>
          <cell r="C5998">
            <v>20047560</v>
          </cell>
          <cell r="D5998">
            <v>45027</v>
          </cell>
        </row>
        <row r="5999">
          <cell r="A5999" t="str">
            <v>Crivaldo Rodrigues Da Silva</v>
          </cell>
          <cell r="B5999">
            <v>37000207</v>
          </cell>
          <cell r="C5999">
            <v>20008844</v>
          </cell>
          <cell r="D5999">
            <v>35251</v>
          </cell>
        </row>
        <row r="6000">
          <cell r="A6000" t="str">
            <v>Esequias Antunes</v>
          </cell>
          <cell r="B6000">
            <v>37012045</v>
          </cell>
          <cell r="C6000">
            <v>20047556</v>
          </cell>
          <cell r="D6000">
            <v>45027</v>
          </cell>
        </row>
        <row r="6001">
          <cell r="A6001" t="str">
            <v>Sarah Gabriella Antonio Silverio</v>
          </cell>
          <cell r="B6001">
            <v>37012062</v>
          </cell>
          <cell r="C6001">
            <v>20047575</v>
          </cell>
          <cell r="D6001">
            <v>45027</v>
          </cell>
        </row>
        <row r="6002">
          <cell r="A6002" t="str">
            <v>David De Lima Palugan</v>
          </cell>
          <cell r="B6002">
            <v>37012061</v>
          </cell>
          <cell r="C6002">
            <v>20047573</v>
          </cell>
          <cell r="D6002">
            <v>45027</v>
          </cell>
        </row>
        <row r="6003">
          <cell r="A6003" t="str">
            <v>Leandro Aparecido Rodrigues</v>
          </cell>
          <cell r="B6003">
            <v>37012078</v>
          </cell>
          <cell r="C6003">
            <v>20047592</v>
          </cell>
          <cell r="D6003">
            <v>45027</v>
          </cell>
        </row>
        <row r="6004">
          <cell r="A6004" t="str">
            <v>Diego Gaudencio De Souza</v>
          </cell>
          <cell r="B6004">
            <v>37012069</v>
          </cell>
          <cell r="C6004">
            <v>20047583</v>
          </cell>
          <cell r="D6004">
            <v>45027</v>
          </cell>
        </row>
        <row r="6005">
          <cell r="A6005" t="str">
            <v>Jose Marcio Palharim</v>
          </cell>
          <cell r="B6005">
            <v>37012075</v>
          </cell>
          <cell r="C6005">
            <v>20047589</v>
          </cell>
          <cell r="D6005">
            <v>45027</v>
          </cell>
        </row>
        <row r="6006">
          <cell r="A6006" t="str">
            <v>Osmar Rocha Lima</v>
          </cell>
          <cell r="B6006">
            <v>37012076</v>
          </cell>
          <cell r="C6006">
            <v>20047590</v>
          </cell>
          <cell r="D6006">
            <v>45027</v>
          </cell>
        </row>
        <row r="6007">
          <cell r="A6007" t="str">
            <v>Joao Carlos Jandrecei</v>
          </cell>
          <cell r="B6007">
            <v>37012080</v>
          </cell>
          <cell r="C6007">
            <v>20047764</v>
          </cell>
          <cell r="D6007">
            <v>45027</v>
          </cell>
        </row>
        <row r="6008">
          <cell r="A6008" t="str">
            <v>Alexandre Jordao</v>
          </cell>
          <cell r="B6008">
            <v>37012081</v>
          </cell>
          <cell r="C6008">
            <v>20047765</v>
          </cell>
          <cell r="D6008">
            <v>45027</v>
          </cell>
        </row>
        <row r="6009">
          <cell r="A6009" t="str">
            <v>Joao Daniel De Souza</v>
          </cell>
          <cell r="B6009">
            <v>37012143</v>
          </cell>
          <cell r="C6009">
            <v>20047778</v>
          </cell>
          <cell r="D6009">
            <v>45034</v>
          </cell>
        </row>
        <row r="6010">
          <cell r="A6010" t="str">
            <v>Crislei Alexandre Olimpio</v>
          </cell>
          <cell r="B6010">
            <v>37012091</v>
          </cell>
          <cell r="C6010">
            <v>20047783</v>
          </cell>
          <cell r="D6010">
            <v>45034</v>
          </cell>
        </row>
        <row r="6011">
          <cell r="A6011" t="str">
            <v>Hellen Patricia Pecchi Leite</v>
          </cell>
          <cell r="B6011">
            <v>37012093</v>
          </cell>
          <cell r="C6011">
            <v>20047785</v>
          </cell>
          <cell r="D6011">
            <v>45034</v>
          </cell>
        </row>
        <row r="6012">
          <cell r="A6012" t="str">
            <v>Helio Wilson Xavier De Souza</v>
          </cell>
          <cell r="B6012">
            <v>37012096</v>
          </cell>
          <cell r="C6012">
            <v>20047788</v>
          </cell>
          <cell r="D6012">
            <v>45034</v>
          </cell>
        </row>
        <row r="6013">
          <cell r="A6013" t="str">
            <v>Isabela Antonio Da Silva</v>
          </cell>
          <cell r="B6013">
            <v>37012100</v>
          </cell>
          <cell r="C6013">
            <v>20047792</v>
          </cell>
          <cell r="D6013">
            <v>45034</v>
          </cell>
        </row>
        <row r="6014">
          <cell r="A6014" t="str">
            <v>Jose Henrique Reis</v>
          </cell>
          <cell r="B6014">
            <v>37012115</v>
          </cell>
          <cell r="C6014">
            <v>20048283</v>
          </cell>
          <cell r="D6014">
            <v>45034</v>
          </cell>
        </row>
        <row r="6015">
          <cell r="A6015" t="str">
            <v>Josimar Leme da Silva</v>
          </cell>
          <cell r="B6015">
            <v>37012120</v>
          </cell>
          <cell r="C6015">
            <v>20048288</v>
          </cell>
          <cell r="D6015">
            <v>45034</v>
          </cell>
        </row>
        <row r="6016">
          <cell r="A6016" t="str">
            <v>Lucas Da Silva Almeida</v>
          </cell>
          <cell r="B6016">
            <v>37012154</v>
          </cell>
          <cell r="C6016">
            <v>20048382</v>
          </cell>
          <cell r="D6016">
            <v>45034</v>
          </cell>
        </row>
        <row r="6017">
          <cell r="A6017" t="str">
            <v>Carlos Vinicius Souza De Oliveira</v>
          </cell>
          <cell r="B6017">
            <v>37012148</v>
          </cell>
          <cell r="C6017">
            <v>20048376</v>
          </cell>
          <cell r="D6017">
            <v>45034</v>
          </cell>
        </row>
        <row r="6018">
          <cell r="A6018" t="str">
            <v>Camila Da Silva Ribeiro Xavier</v>
          </cell>
          <cell r="B6018">
            <v>37012163</v>
          </cell>
          <cell r="C6018">
            <v>20048391</v>
          </cell>
          <cell r="D6018">
            <v>45034</v>
          </cell>
        </row>
        <row r="6019">
          <cell r="A6019" t="str">
            <v>Wilian Aparecido Dos Reis</v>
          </cell>
          <cell r="B6019">
            <v>37012157</v>
          </cell>
          <cell r="C6019">
            <v>20048385</v>
          </cell>
          <cell r="D6019">
            <v>45034</v>
          </cell>
        </row>
        <row r="6020">
          <cell r="A6020" t="str">
            <v>Gerson Elias Da SIlva</v>
          </cell>
          <cell r="B6020">
            <v>37012165</v>
          </cell>
          <cell r="C6020">
            <v>20048393</v>
          </cell>
          <cell r="D6020">
            <v>45034</v>
          </cell>
        </row>
        <row r="6021">
          <cell r="A6021" t="str">
            <v>Natalia Dotta Basilio</v>
          </cell>
          <cell r="B6021">
            <v>37012168</v>
          </cell>
          <cell r="C6021">
            <v>20048396</v>
          </cell>
          <cell r="D6021">
            <v>45034</v>
          </cell>
        </row>
        <row r="6022">
          <cell r="A6022" t="str">
            <v>Benedito Givanildo Alves Dos Santo</v>
          </cell>
          <cell r="B6022">
            <v>37012170</v>
          </cell>
          <cell r="C6022">
            <v>20048398</v>
          </cell>
          <cell r="D6022">
            <v>45034</v>
          </cell>
        </row>
        <row r="6023">
          <cell r="A6023" t="str">
            <v>Luiz Do Carmo Lodi</v>
          </cell>
          <cell r="B6023">
            <v>37012173</v>
          </cell>
          <cell r="C6023">
            <v>20048401</v>
          </cell>
          <cell r="D6023">
            <v>45034</v>
          </cell>
        </row>
        <row r="6024">
          <cell r="A6024" t="str">
            <v>Guilherme Alves Guerra</v>
          </cell>
          <cell r="B6024">
            <v>37012175</v>
          </cell>
          <cell r="C6024">
            <v>20048403</v>
          </cell>
          <cell r="D6024">
            <v>45034</v>
          </cell>
        </row>
        <row r="6025">
          <cell r="A6025" t="str">
            <v>Mateus Henrique Malagode</v>
          </cell>
          <cell r="B6025">
            <v>37012182</v>
          </cell>
          <cell r="C6025">
            <v>20048531</v>
          </cell>
          <cell r="D6025">
            <v>45034</v>
          </cell>
        </row>
        <row r="6026">
          <cell r="A6026" t="str">
            <v>Agatha Loredana Gomes Da Silva</v>
          </cell>
          <cell r="B6026">
            <v>37012185</v>
          </cell>
          <cell r="C6026">
            <v>20048534</v>
          </cell>
          <cell r="D6026">
            <v>45034</v>
          </cell>
        </row>
        <row r="6027">
          <cell r="A6027" t="str">
            <v>Natalino Da Silva</v>
          </cell>
          <cell r="B6027">
            <v>37012191</v>
          </cell>
          <cell r="C6027">
            <v>20048542</v>
          </cell>
          <cell r="D6027">
            <v>45034</v>
          </cell>
        </row>
        <row r="6028">
          <cell r="A6028" t="str">
            <v>Anny Francielly Ataide Goncalves</v>
          </cell>
          <cell r="B6028">
            <v>37012207</v>
          </cell>
          <cell r="C6028">
            <v>20048558</v>
          </cell>
          <cell r="D6028">
            <v>45034</v>
          </cell>
        </row>
        <row r="6029">
          <cell r="A6029" t="str">
            <v>Salielton Aparecido Lodi</v>
          </cell>
          <cell r="B6029">
            <v>37012195</v>
          </cell>
          <cell r="C6029">
            <v>20048546</v>
          </cell>
          <cell r="D6029">
            <v>45034</v>
          </cell>
        </row>
        <row r="6030">
          <cell r="A6030" t="str">
            <v>Carlos Antonio Da Cruz</v>
          </cell>
          <cell r="B6030">
            <v>37012204</v>
          </cell>
          <cell r="C6030">
            <v>20048555</v>
          </cell>
          <cell r="D6030">
            <v>45034</v>
          </cell>
        </row>
        <row r="6031">
          <cell r="A6031" t="str">
            <v>Felipe Mateus da Silva</v>
          </cell>
          <cell r="B6031">
            <v>37012222</v>
          </cell>
          <cell r="C6031">
            <v>20048933</v>
          </cell>
          <cell r="D6031">
            <v>45048</v>
          </cell>
        </row>
        <row r="6032">
          <cell r="A6032" t="str">
            <v>Anderson Pereira de Jesus</v>
          </cell>
          <cell r="B6032">
            <v>37012228</v>
          </cell>
          <cell r="C6032">
            <v>20048939</v>
          </cell>
          <cell r="D6032">
            <v>45048</v>
          </cell>
        </row>
        <row r="6033">
          <cell r="A6033" t="str">
            <v>Larissa Santana De Miranda</v>
          </cell>
          <cell r="B6033">
            <v>37004789</v>
          </cell>
          <cell r="C6033">
            <v>20008079</v>
          </cell>
          <cell r="D6033">
            <v>44067</v>
          </cell>
        </row>
        <row r="6034">
          <cell r="A6034" t="str">
            <v>Danton Henrique Martines</v>
          </cell>
          <cell r="B6034">
            <v>37007926</v>
          </cell>
          <cell r="C6034">
            <v>20026046</v>
          </cell>
          <cell r="D6034">
            <v>44704</v>
          </cell>
        </row>
        <row r="6035">
          <cell r="A6035" t="str">
            <v>Rodrigo Alexandre Baesso</v>
          </cell>
          <cell r="B6035">
            <v>37004848</v>
          </cell>
          <cell r="C6035">
            <v>20008119</v>
          </cell>
          <cell r="D6035">
            <v>44082</v>
          </cell>
        </row>
        <row r="6036">
          <cell r="A6036" t="str">
            <v>Rodrigo Gomes Proenca De Oliveira</v>
          </cell>
          <cell r="B6036">
            <v>37012253</v>
          </cell>
          <cell r="C6036">
            <v>20049064</v>
          </cell>
          <cell r="D6036">
            <v>45048</v>
          </cell>
        </row>
        <row r="6037">
          <cell r="A6037" t="str">
            <v>Jonatas Luis dos Santos Oliveira</v>
          </cell>
          <cell r="B6037">
            <v>37012244</v>
          </cell>
          <cell r="C6037">
            <v>20049068</v>
          </cell>
          <cell r="D6037">
            <v>45048</v>
          </cell>
        </row>
        <row r="6038">
          <cell r="A6038" t="str">
            <v>Edilson Leal Costa</v>
          </cell>
          <cell r="B6038">
            <v>37012248</v>
          </cell>
          <cell r="C6038">
            <v>20049072</v>
          </cell>
          <cell r="D6038">
            <v>45048</v>
          </cell>
        </row>
        <row r="6039">
          <cell r="A6039" t="str">
            <v>Wiler Jose de Freitas Garcia</v>
          </cell>
          <cell r="B6039">
            <v>37012239</v>
          </cell>
          <cell r="C6039">
            <v>20049063</v>
          </cell>
          <cell r="D6039">
            <v>45048</v>
          </cell>
        </row>
        <row r="6040">
          <cell r="A6040" t="str">
            <v>Alexandry Borges Freitas</v>
          </cell>
          <cell r="B6040">
            <v>37012257</v>
          </cell>
          <cell r="C6040">
            <v>20049155</v>
          </cell>
          <cell r="D6040">
            <v>45048</v>
          </cell>
        </row>
        <row r="6041">
          <cell r="A6041" t="str">
            <v>Murilo Furlan</v>
          </cell>
          <cell r="B6041">
            <v>37012264</v>
          </cell>
          <cell r="C6041">
            <v>20049162</v>
          </cell>
          <cell r="D6041">
            <v>45048</v>
          </cell>
        </row>
        <row r="6042">
          <cell r="A6042" t="str">
            <v>Caroline Santos Baracho</v>
          </cell>
          <cell r="B6042">
            <v>37012267</v>
          </cell>
          <cell r="C6042">
            <v>20049161</v>
          </cell>
          <cell r="D6042">
            <v>45048</v>
          </cell>
        </row>
        <row r="6043">
          <cell r="A6043" t="str">
            <v>Ocimar Bonfim De Moura</v>
          </cell>
          <cell r="B6043">
            <v>37012268</v>
          </cell>
          <cell r="C6043">
            <v>20049163</v>
          </cell>
          <cell r="D6043">
            <v>45048</v>
          </cell>
        </row>
        <row r="6044">
          <cell r="A6044" t="str">
            <v>Antonio Carlos de Oliveira Guedes Junior</v>
          </cell>
          <cell r="B6044">
            <v>37012266</v>
          </cell>
          <cell r="C6044">
            <v>20049164</v>
          </cell>
          <cell r="D6044">
            <v>45048</v>
          </cell>
        </row>
        <row r="6045">
          <cell r="A6045" t="str">
            <v>Rosilene Silva E Silva</v>
          </cell>
          <cell r="B6045">
            <v>37012273</v>
          </cell>
          <cell r="C6045">
            <v>20049219</v>
          </cell>
          <cell r="D6045">
            <v>45048</v>
          </cell>
        </row>
        <row r="6046">
          <cell r="A6046" t="str">
            <v>Michelle Aratani Yano</v>
          </cell>
          <cell r="B6046">
            <v>37012294</v>
          </cell>
          <cell r="C6046">
            <v>20049230</v>
          </cell>
          <cell r="D6046">
            <v>45048</v>
          </cell>
        </row>
        <row r="6047">
          <cell r="A6047" t="str">
            <v>Jose Rodolfo Da Silva</v>
          </cell>
          <cell r="B6047">
            <v>37012276</v>
          </cell>
          <cell r="C6047">
            <v>20049222</v>
          </cell>
          <cell r="D6047">
            <v>45048</v>
          </cell>
        </row>
        <row r="6048">
          <cell r="A6048" t="str">
            <v>Gabriel Felipe dos Santos Silva</v>
          </cell>
          <cell r="B6048">
            <v>37012280</v>
          </cell>
          <cell r="C6048">
            <v>20049226</v>
          </cell>
          <cell r="D6048">
            <v>45048</v>
          </cell>
        </row>
        <row r="6049">
          <cell r="A6049" t="str">
            <v>Leandra Hopaloski</v>
          </cell>
          <cell r="B6049">
            <v>37012283</v>
          </cell>
          <cell r="C6049">
            <v>20049229</v>
          </cell>
          <cell r="D6049">
            <v>45048</v>
          </cell>
        </row>
        <row r="6050">
          <cell r="A6050" t="str">
            <v>Elielson Angelo De Oliveira</v>
          </cell>
          <cell r="B6050">
            <v>37012287</v>
          </cell>
          <cell r="C6050">
            <v>20049233</v>
          </cell>
          <cell r="D6050">
            <v>45048</v>
          </cell>
        </row>
        <row r="6051">
          <cell r="A6051" t="str">
            <v>Luiz Fernando Carvalho Nunes</v>
          </cell>
          <cell r="B6051">
            <v>37012305</v>
          </cell>
          <cell r="C6051">
            <v>20049263</v>
          </cell>
          <cell r="D6051">
            <v>45048</v>
          </cell>
        </row>
        <row r="6052">
          <cell r="A6052" t="str">
            <v>Manoel Domingos Pinheiro</v>
          </cell>
          <cell r="B6052">
            <v>37012303</v>
          </cell>
          <cell r="C6052">
            <v>20049261</v>
          </cell>
          <cell r="D6052">
            <v>45048</v>
          </cell>
        </row>
        <row r="6053">
          <cell r="A6053" t="str">
            <v>Igor Fortuna Oliveira</v>
          </cell>
          <cell r="B6053">
            <v>37012306</v>
          </cell>
          <cell r="C6053">
            <v>20049264</v>
          </cell>
          <cell r="D6053">
            <v>45048</v>
          </cell>
        </row>
        <row r="6054">
          <cell r="A6054" t="str">
            <v>Andre Luiz de Oliveira Mariano</v>
          </cell>
          <cell r="B6054">
            <v>37012309</v>
          </cell>
          <cell r="C6054">
            <v>20049267</v>
          </cell>
          <cell r="D6054">
            <v>45048</v>
          </cell>
        </row>
        <row r="6055">
          <cell r="A6055" t="str">
            <v>Emerson Rogerio de Almeida</v>
          </cell>
          <cell r="B6055">
            <v>37012308</v>
          </cell>
          <cell r="C6055">
            <v>20049266</v>
          </cell>
          <cell r="D6055">
            <v>45048</v>
          </cell>
        </row>
        <row r="6056">
          <cell r="A6056" t="str">
            <v>Celio Alves Dos Santos</v>
          </cell>
          <cell r="B6056">
            <v>37012429</v>
          </cell>
          <cell r="C6056">
            <v>20049729</v>
          </cell>
          <cell r="D6056">
            <v>45055</v>
          </cell>
        </row>
        <row r="6057">
          <cell r="A6057" t="str">
            <v>Rogerio Reis De Jesus</v>
          </cell>
          <cell r="B6057">
            <v>37012444</v>
          </cell>
          <cell r="C6057">
            <v>20049744</v>
          </cell>
          <cell r="D6057">
            <v>45055</v>
          </cell>
        </row>
        <row r="6058">
          <cell r="A6058" t="str">
            <v>Claudemir Martins Lopes</v>
          </cell>
          <cell r="B6058">
            <v>37012437</v>
          </cell>
          <cell r="C6058">
            <v>20049737</v>
          </cell>
          <cell r="D6058">
            <v>45055</v>
          </cell>
        </row>
        <row r="6059">
          <cell r="A6059" t="str">
            <v>Tiago Pereira de Melo</v>
          </cell>
          <cell r="B6059">
            <v>37012440</v>
          </cell>
          <cell r="C6059">
            <v>20049740</v>
          </cell>
          <cell r="D6059">
            <v>45055</v>
          </cell>
        </row>
        <row r="6060">
          <cell r="A6060" t="str">
            <v>Valdenil Da Silva</v>
          </cell>
          <cell r="B6060">
            <v>37012441</v>
          </cell>
          <cell r="C6060">
            <v>20049741</v>
          </cell>
          <cell r="D6060">
            <v>45055</v>
          </cell>
        </row>
        <row r="6061">
          <cell r="A6061" t="str">
            <v>Rafael Zanelato Fernandes</v>
          </cell>
          <cell r="B6061">
            <v>37012455</v>
          </cell>
          <cell r="C6061">
            <v>20049851</v>
          </cell>
          <cell r="D6061">
            <v>45055</v>
          </cell>
        </row>
        <row r="6062">
          <cell r="A6062" t="str">
            <v>Luiz Carlos de Oliveira Junior</v>
          </cell>
          <cell r="B6062">
            <v>37012460</v>
          </cell>
          <cell r="C6062">
            <v>20049856</v>
          </cell>
          <cell r="D6062">
            <v>45069</v>
          </cell>
        </row>
        <row r="6063">
          <cell r="A6063" t="str">
            <v>Altair Negrello Junior</v>
          </cell>
          <cell r="B6063">
            <v>37005166</v>
          </cell>
          <cell r="C6063">
            <v>20011405</v>
          </cell>
          <cell r="D6063">
            <v>44214</v>
          </cell>
        </row>
        <row r="6064">
          <cell r="A6064" t="str">
            <v>Yara Goncalves Cardoso Vanni</v>
          </cell>
          <cell r="B6064">
            <v>37004968</v>
          </cell>
          <cell r="C6064">
            <v>20008452</v>
          </cell>
          <cell r="D6064">
            <v>44109</v>
          </cell>
        </row>
        <row r="6065">
          <cell r="A6065" t="str">
            <v>Francisco Pereira Severo De Lima</v>
          </cell>
          <cell r="B6065">
            <v>37012484</v>
          </cell>
          <cell r="C6065">
            <v>20050181</v>
          </cell>
          <cell r="D6065">
            <v>45062</v>
          </cell>
        </row>
        <row r="6066">
          <cell r="A6066" t="str">
            <v>Evelyn Cristina Nunes Pieve</v>
          </cell>
          <cell r="B6066">
            <v>37003447</v>
          </cell>
          <cell r="C6066">
            <v>20004905</v>
          </cell>
          <cell r="D6066">
            <v>43654</v>
          </cell>
        </row>
        <row r="6067">
          <cell r="A6067" t="str">
            <v>Bruno De Jesus Santos</v>
          </cell>
          <cell r="B6067">
            <v>37012511</v>
          </cell>
          <cell r="C6067">
            <v>20050223</v>
          </cell>
          <cell r="D6067">
            <v>45062</v>
          </cell>
        </row>
        <row r="6068">
          <cell r="A6068" t="str">
            <v>Fabiano Nogueira Da Silva</v>
          </cell>
          <cell r="B6068">
            <v>37007205</v>
          </cell>
          <cell r="C6068">
            <v>20023007</v>
          </cell>
          <cell r="D6068">
            <v>44609</v>
          </cell>
        </row>
        <row r="6069">
          <cell r="A6069" t="str">
            <v>Caline Mariele Alba</v>
          </cell>
          <cell r="B6069">
            <v>37009547</v>
          </cell>
          <cell r="C6069">
            <v>20035365</v>
          </cell>
          <cell r="D6069">
            <v>44837</v>
          </cell>
        </row>
        <row r="6070">
          <cell r="A6070" t="str">
            <v>Francielli Aparecida De Almeida</v>
          </cell>
          <cell r="B6070">
            <v>37005513</v>
          </cell>
          <cell r="C6070">
            <v>20015588</v>
          </cell>
          <cell r="D6070">
            <v>44277</v>
          </cell>
        </row>
        <row r="6071">
          <cell r="A6071" t="str">
            <v>Jose Sergio De Lima</v>
          </cell>
          <cell r="B6071">
            <v>37007206</v>
          </cell>
          <cell r="C6071">
            <v>20023008</v>
          </cell>
          <cell r="D6071">
            <v>44613</v>
          </cell>
        </row>
        <row r="6072">
          <cell r="A6072" t="str">
            <v>Ronaldo Da Costa Fernandes</v>
          </cell>
          <cell r="B6072">
            <v>37012527</v>
          </cell>
          <cell r="C6072">
            <v>20050322</v>
          </cell>
          <cell r="D6072">
            <v>45069</v>
          </cell>
        </row>
        <row r="6073">
          <cell r="A6073" t="str">
            <v>Luciano Moreira Arrais</v>
          </cell>
          <cell r="B6073">
            <v>37006595</v>
          </cell>
          <cell r="C6073">
            <v>20018167</v>
          </cell>
          <cell r="D6073">
            <v>44482</v>
          </cell>
        </row>
        <row r="6074">
          <cell r="A6074" t="str">
            <v>Rodrigo Pereira Da Silva</v>
          </cell>
          <cell r="B6074">
            <v>37006428</v>
          </cell>
          <cell r="C6074">
            <v>20017836</v>
          </cell>
          <cell r="D6074">
            <v>44459</v>
          </cell>
        </row>
        <row r="6075">
          <cell r="A6075" t="str">
            <v>Diego Alexandre De Proenca Queiroz</v>
          </cell>
          <cell r="B6075">
            <v>37003721</v>
          </cell>
          <cell r="C6075">
            <v>20008901</v>
          </cell>
          <cell r="D6075">
            <v>43745</v>
          </cell>
        </row>
        <row r="6076">
          <cell r="A6076" t="str">
            <v>Adeilson Santos Monteiro Junior</v>
          </cell>
          <cell r="B6076">
            <v>37012548</v>
          </cell>
          <cell r="C6076">
            <v>20050389</v>
          </cell>
          <cell r="D6076">
            <v>45069</v>
          </cell>
        </row>
        <row r="6077">
          <cell r="A6077" t="str">
            <v>Osni Matheus Gutierres Barbosa</v>
          </cell>
          <cell r="B6077">
            <v>37012567</v>
          </cell>
          <cell r="C6077">
            <v>20050789</v>
          </cell>
          <cell r="D6077">
            <v>45069</v>
          </cell>
        </row>
        <row r="6078">
          <cell r="A6078" t="str">
            <v>Vera Lucia Siqueira</v>
          </cell>
          <cell r="B6078">
            <v>37012569</v>
          </cell>
          <cell r="C6078">
            <v>20050791</v>
          </cell>
          <cell r="D6078">
            <v>45083</v>
          </cell>
        </row>
        <row r="6079">
          <cell r="A6079" t="str">
            <v>Rubens Sousa Da Silva</v>
          </cell>
          <cell r="B6079">
            <v>37012610</v>
          </cell>
          <cell r="C6079">
            <v>20051012</v>
          </cell>
          <cell r="D6079">
            <v>45069</v>
          </cell>
        </row>
        <row r="6080">
          <cell r="A6080" t="str">
            <v>Silzi Kiche</v>
          </cell>
          <cell r="B6080">
            <v>37012616</v>
          </cell>
          <cell r="C6080">
            <v>20051018</v>
          </cell>
          <cell r="D6080">
            <v>45083</v>
          </cell>
        </row>
        <row r="6081">
          <cell r="A6081" t="str">
            <v>Katia Celita Schneider</v>
          </cell>
          <cell r="B6081">
            <v>37012617</v>
          </cell>
          <cell r="C6081">
            <v>20051019</v>
          </cell>
          <cell r="D6081">
            <v>45083</v>
          </cell>
        </row>
        <row r="6082">
          <cell r="A6082" t="str">
            <v>Natan Washington Dos Santos</v>
          </cell>
          <cell r="B6082">
            <v>37012627</v>
          </cell>
          <cell r="C6082">
            <v>20051113</v>
          </cell>
          <cell r="D6082">
            <v>45083</v>
          </cell>
        </row>
        <row r="6083">
          <cell r="A6083" t="str">
            <v>Jucelino Da Conceicao</v>
          </cell>
          <cell r="B6083">
            <v>37012631</v>
          </cell>
          <cell r="C6083">
            <v>20051117</v>
          </cell>
          <cell r="D6083">
            <v>45083</v>
          </cell>
        </row>
        <row r="6084">
          <cell r="A6084" t="str">
            <v>Bruno Felix dos Santos</v>
          </cell>
          <cell r="B6084">
            <v>37012632</v>
          </cell>
          <cell r="C6084">
            <v>20051118</v>
          </cell>
          <cell r="D6084">
            <v>45083</v>
          </cell>
        </row>
        <row r="6085">
          <cell r="A6085" t="str">
            <v>Jesse Augusto Paes</v>
          </cell>
          <cell r="B6085">
            <v>37012639</v>
          </cell>
          <cell r="C6085">
            <v>20051146</v>
          </cell>
          <cell r="D6085">
            <v>45090</v>
          </cell>
        </row>
        <row r="6086">
          <cell r="A6086" t="str">
            <v>Amarildo Rodrigues De Paula</v>
          </cell>
          <cell r="B6086">
            <v>37005782</v>
          </cell>
          <cell r="C6086">
            <v>20016046</v>
          </cell>
          <cell r="D6086">
            <v>44348</v>
          </cell>
        </row>
        <row r="6087">
          <cell r="A6087" t="str">
            <v>Joao Eduardo Rodrigues Soares</v>
          </cell>
          <cell r="B6087">
            <v>37012643</v>
          </cell>
          <cell r="C6087">
            <v>20051150</v>
          </cell>
          <cell r="D6087">
            <v>45090</v>
          </cell>
        </row>
        <row r="6088">
          <cell r="A6088" t="str">
            <v>Daniel De Oliveira</v>
          </cell>
          <cell r="B6088">
            <v>37012645</v>
          </cell>
          <cell r="C6088">
            <v>20051152</v>
          </cell>
          <cell r="D6088">
            <v>45069</v>
          </cell>
        </row>
        <row r="6089">
          <cell r="A6089" t="str">
            <v>Alex Sander Lima De Barros</v>
          </cell>
          <cell r="B6089">
            <v>37012646</v>
          </cell>
          <cell r="C6089">
            <v>20051153</v>
          </cell>
          <cell r="D6089">
            <v>45083</v>
          </cell>
        </row>
        <row r="6090">
          <cell r="A6090" t="str">
            <v>Renato Junior Sonsino</v>
          </cell>
          <cell r="B6090">
            <v>37012658</v>
          </cell>
          <cell r="C6090">
            <v>20051238</v>
          </cell>
          <cell r="D6090">
            <v>45069</v>
          </cell>
        </row>
        <row r="6091">
          <cell r="A6091" t="str">
            <v>Walter Lucas Rebellato</v>
          </cell>
          <cell r="B6091">
            <v>37012663</v>
          </cell>
          <cell r="C6091">
            <v>20051243</v>
          </cell>
          <cell r="D6091">
            <v>45083</v>
          </cell>
        </row>
        <row r="6092">
          <cell r="A6092" t="str">
            <v>Jose Marcos Lopes Lacerda</v>
          </cell>
          <cell r="B6092">
            <v>37012664</v>
          </cell>
          <cell r="C6092">
            <v>20051244</v>
          </cell>
          <cell r="D6092">
            <v>45069</v>
          </cell>
        </row>
        <row r="6093">
          <cell r="A6093" t="str">
            <v>Jose Luis Dos Santos Viana</v>
          </cell>
          <cell r="B6093">
            <v>37012676</v>
          </cell>
          <cell r="C6093">
            <v>20051256</v>
          </cell>
          <cell r="D6093">
            <v>45083</v>
          </cell>
        </row>
        <row r="6094">
          <cell r="A6094" t="str">
            <v>Moacir Sinval Correa Baptista</v>
          </cell>
          <cell r="B6094">
            <v>37012655</v>
          </cell>
          <cell r="C6094">
            <v>20051235</v>
          </cell>
          <cell r="D6094">
            <v>45069</v>
          </cell>
        </row>
        <row r="6095">
          <cell r="A6095" t="str">
            <v>Willian Godoi</v>
          </cell>
          <cell r="B6095">
            <v>37012659</v>
          </cell>
          <cell r="C6095">
            <v>20051239</v>
          </cell>
          <cell r="D6095">
            <v>45069</v>
          </cell>
        </row>
        <row r="6096">
          <cell r="A6096" t="str">
            <v>Valdenir Cordeiro Vitor</v>
          </cell>
          <cell r="B6096">
            <v>37012661</v>
          </cell>
          <cell r="C6096">
            <v>20051241</v>
          </cell>
          <cell r="D6096">
            <v>45069</v>
          </cell>
        </row>
        <row r="6097">
          <cell r="A6097" t="str">
            <v>Francisco Batista Franca</v>
          </cell>
          <cell r="B6097">
            <v>37012666</v>
          </cell>
          <cell r="C6097">
            <v>20051246</v>
          </cell>
          <cell r="D6097">
            <v>45069</v>
          </cell>
        </row>
        <row r="6098">
          <cell r="A6098" t="str">
            <v>Joao Donizeti Rodrigues da Paz</v>
          </cell>
          <cell r="B6098">
            <v>37012674</v>
          </cell>
          <cell r="C6098">
            <v>20051254</v>
          </cell>
          <cell r="D6098">
            <v>45083</v>
          </cell>
        </row>
        <row r="6099">
          <cell r="A6099" t="str">
            <v>Tayane Santana Domingues</v>
          </cell>
          <cell r="B6099">
            <v>37012692</v>
          </cell>
          <cell r="C6099">
            <v>20051272</v>
          </cell>
          <cell r="D6099">
            <v>45083</v>
          </cell>
        </row>
        <row r="6100">
          <cell r="A6100" t="str">
            <v>Jenifer Cristina De Oliveira</v>
          </cell>
          <cell r="B6100">
            <v>37012691</v>
          </cell>
          <cell r="C6100">
            <v>20051271</v>
          </cell>
          <cell r="D6100">
            <v>45083</v>
          </cell>
        </row>
        <row r="6101">
          <cell r="A6101" t="str">
            <v>Roberto Carlos Mendonca</v>
          </cell>
          <cell r="B6101" t="e">
            <v>#N/A</v>
          </cell>
          <cell r="C6101">
            <v>20051274</v>
          </cell>
          <cell r="D6101" t="e">
            <v>#N/A</v>
          </cell>
        </row>
        <row r="6102">
          <cell r="A6102" t="str">
            <v>Edson Matheus Martins</v>
          </cell>
          <cell r="B6102">
            <v>37012702</v>
          </cell>
          <cell r="C6102">
            <v>20051286</v>
          </cell>
          <cell r="D6102">
            <v>45083</v>
          </cell>
        </row>
        <row r="6103">
          <cell r="A6103" t="str">
            <v>Valter de Souza</v>
          </cell>
          <cell r="B6103">
            <v>37012706</v>
          </cell>
          <cell r="C6103">
            <v>20051290</v>
          </cell>
          <cell r="D6103">
            <v>45069</v>
          </cell>
        </row>
        <row r="6104">
          <cell r="A6104" t="str">
            <v>Eurico Marques</v>
          </cell>
          <cell r="B6104">
            <v>37012721</v>
          </cell>
          <cell r="C6104">
            <v>20051305</v>
          </cell>
          <cell r="D6104">
            <v>45083</v>
          </cell>
        </row>
        <row r="6105">
          <cell r="A6105" t="str">
            <v>Renan Aparecido De Souza Goncalves</v>
          </cell>
          <cell r="B6105">
            <v>37012729</v>
          </cell>
          <cell r="C6105">
            <v>20051313</v>
          </cell>
          <cell r="D6105">
            <v>45083</v>
          </cell>
        </row>
        <row r="6106">
          <cell r="A6106" t="str">
            <v>Herbert Wesley Goncalves Santos</v>
          </cell>
          <cell r="B6106">
            <v>37012733</v>
          </cell>
          <cell r="C6106">
            <v>20051317</v>
          </cell>
          <cell r="D6106">
            <v>45083</v>
          </cell>
        </row>
        <row r="6107">
          <cell r="A6107" t="str">
            <v>David Edson Narcizo Gangin</v>
          </cell>
          <cell r="B6107">
            <v>37012728</v>
          </cell>
          <cell r="C6107">
            <v>20051312</v>
          </cell>
          <cell r="D6107">
            <v>45083</v>
          </cell>
        </row>
        <row r="6108">
          <cell r="A6108" t="str">
            <v>Marco Aurelio Azevedo Do Nascimento</v>
          </cell>
          <cell r="B6108">
            <v>37012730</v>
          </cell>
          <cell r="C6108">
            <v>20051314</v>
          </cell>
          <cell r="D6108">
            <v>45083</v>
          </cell>
        </row>
        <row r="6109">
          <cell r="A6109" t="str">
            <v>Leoni Casturino Machado</v>
          </cell>
          <cell r="B6109">
            <v>37000604</v>
          </cell>
          <cell r="C6109">
            <v>20009491</v>
          </cell>
          <cell r="D6109">
            <v>39468</v>
          </cell>
        </row>
        <row r="6110">
          <cell r="A6110" t="str">
            <v>Geisislaine Do Carmo Reis Araujo</v>
          </cell>
          <cell r="B6110">
            <v>37008296</v>
          </cell>
          <cell r="C6110">
            <v>20013098</v>
          </cell>
          <cell r="D6110">
            <v>44319</v>
          </cell>
        </row>
        <row r="6111">
          <cell r="A6111" t="str">
            <v>Valter Cristovao Dos Santos</v>
          </cell>
          <cell r="B6111">
            <v>37012746</v>
          </cell>
          <cell r="C6111">
            <v>20051340</v>
          </cell>
          <cell r="D6111">
            <v>45083</v>
          </cell>
        </row>
        <row r="6112">
          <cell r="A6112" t="str">
            <v>Fagner Martins Turibio</v>
          </cell>
          <cell r="B6112">
            <v>37009463</v>
          </cell>
          <cell r="C6112">
            <v>20033726</v>
          </cell>
          <cell r="D6112">
            <v>44823</v>
          </cell>
        </row>
        <row r="6113">
          <cell r="A6113" t="str">
            <v>Rafael Leite Germano</v>
          </cell>
          <cell r="B6113">
            <v>37012888</v>
          </cell>
          <cell r="C6113">
            <v>20051371</v>
          </cell>
          <cell r="D6113">
            <v>45083</v>
          </cell>
        </row>
        <row r="6114">
          <cell r="A6114" t="str">
            <v>Jhonatan Fernando da Silva Bandeira de Farias</v>
          </cell>
          <cell r="B6114">
            <v>37012774</v>
          </cell>
          <cell r="C6114">
            <v>20051367</v>
          </cell>
          <cell r="D6114">
            <v>45083</v>
          </cell>
        </row>
        <row r="6115">
          <cell r="A6115" t="str">
            <v>Geovany Pinheiro Ferreira Da Nobrega</v>
          </cell>
          <cell r="B6115">
            <v>37012777</v>
          </cell>
          <cell r="C6115">
            <v>20051370</v>
          </cell>
          <cell r="D6115">
            <v>45083</v>
          </cell>
        </row>
        <row r="6116">
          <cell r="A6116" t="str">
            <v>Clodoaldo De Oliveira Pontes</v>
          </cell>
          <cell r="B6116">
            <v>37012788</v>
          </cell>
          <cell r="C6116">
            <v>20051692</v>
          </cell>
          <cell r="D6116">
            <v>45083</v>
          </cell>
        </row>
        <row r="6117">
          <cell r="A6117" t="str">
            <v>Agnaldo Rogelio</v>
          </cell>
          <cell r="B6117">
            <v>37012789</v>
          </cell>
          <cell r="C6117">
            <v>20051693</v>
          </cell>
          <cell r="D6117">
            <v>45083</v>
          </cell>
        </row>
        <row r="6118">
          <cell r="A6118" t="str">
            <v>Giovani da Silva</v>
          </cell>
          <cell r="B6118">
            <v>37012793</v>
          </cell>
          <cell r="C6118">
            <v>20051697</v>
          </cell>
          <cell r="D6118">
            <v>45083</v>
          </cell>
        </row>
        <row r="6119">
          <cell r="A6119" t="str">
            <v>Divaldo de Jesus Lessei</v>
          </cell>
          <cell r="B6119">
            <v>37012809</v>
          </cell>
          <cell r="C6119">
            <v>20051739</v>
          </cell>
          <cell r="D6119">
            <v>45083</v>
          </cell>
        </row>
        <row r="6120">
          <cell r="A6120" t="str">
            <v>Fabricio Mantuan de Assis</v>
          </cell>
          <cell r="B6120">
            <v>37012812</v>
          </cell>
          <cell r="C6120">
            <v>20051742</v>
          </cell>
          <cell r="D6120">
            <v>45083</v>
          </cell>
        </row>
        <row r="6121">
          <cell r="A6121" t="str">
            <v>Luiz Felipe Grigollo</v>
          </cell>
          <cell r="B6121">
            <v>37012816</v>
          </cell>
          <cell r="C6121">
            <v>20051746</v>
          </cell>
          <cell r="D6121">
            <v>45083</v>
          </cell>
        </row>
        <row r="6122">
          <cell r="A6122" t="str">
            <v>Vagner Jose Apolonio</v>
          </cell>
          <cell r="B6122">
            <v>37012817</v>
          </cell>
          <cell r="C6122">
            <v>20051747</v>
          </cell>
          <cell r="D6122">
            <v>45083</v>
          </cell>
        </row>
        <row r="6123">
          <cell r="A6123" t="str">
            <v>Gabriele do Nascimento Mendes</v>
          </cell>
          <cell r="B6123">
            <v>37012828</v>
          </cell>
          <cell r="C6123">
            <v>20051783</v>
          </cell>
          <cell r="D6123">
            <v>45083</v>
          </cell>
        </row>
        <row r="6124">
          <cell r="A6124" t="str">
            <v>Luah Liah Bolonha Mardini</v>
          </cell>
          <cell r="B6124">
            <v>37005284</v>
          </cell>
          <cell r="C6124">
            <v>20011096</v>
          </cell>
          <cell r="D6124">
            <v>44158</v>
          </cell>
        </row>
        <row r="6125">
          <cell r="A6125" t="str">
            <v>Julio Paixao Silva Junior</v>
          </cell>
          <cell r="B6125">
            <v>37003303</v>
          </cell>
          <cell r="C6125">
            <v>20009440</v>
          </cell>
          <cell r="D6125">
            <v>43640</v>
          </cell>
        </row>
        <row r="6126">
          <cell r="A6126" t="str">
            <v>Edson Aquiles De Assis</v>
          </cell>
          <cell r="B6126">
            <v>37007802</v>
          </cell>
          <cell r="C6126">
            <v>20025988</v>
          </cell>
          <cell r="D6126">
            <v>44704</v>
          </cell>
        </row>
        <row r="6127">
          <cell r="A6127" t="str">
            <v>Juan Santos Do Carmo</v>
          </cell>
          <cell r="B6127">
            <v>37009549</v>
          </cell>
          <cell r="C6127">
            <v>20035367</v>
          </cell>
          <cell r="D6127">
            <v>44837</v>
          </cell>
        </row>
        <row r="6128">
          <cell r="A6128" t="str">
            <v>Manoel Carlos Oliveira</v>
          </cell>
          <cell r="B6128">
            <v>37009890</v>
          </cell>
          <cell r="C6128">
            <v>20037225</v>
          </cell>
          <cell r="D6128">
            <v>44872</v>
          </cell>
        </row>
        <row r="6129">
          <cell r="A6129" t="str">
            <v>Luis Antonio Silva Fagundes</v>
          </cell>
          <cell r="B6129">
            <v>37007427</v>
          </cell>
          <cell r="C6129">
            <v>20025473</v>
          </cell>
          <cell r="D6129">
            <v>44662</v>
          </cell>
        </row>
        <row r="6130">
          <cell r="A6130" t="str">
            <v>Dimas Fernando Dos Santos Lima</v>
          </cell>
          <cell r="B6130">
            <v>37005327</v>
          </cell>
          <cell r="C6130">
            <v>20015972</v>
          </cell>
          <cell r="D6130">
            <v>44228</v>
          </cell>
        </row>
        <row r="6131">
          <cell r="A6131" t="str">
            <v>Vitor Hugo Dos Santos</v>
          </cell>
          <cell r="B6131">
            <v>37000921</v>
          </cell>
          <cell r="C6131">
            <v>20010019</v>
          </cell>
          <cell r="D6131">
            <v>40763</v>
          </cell>
        </row>
        <row r="6132">
          <cell r="A6132" t="str">
            <v>Julio Cesar Ribeiro Franzote</v>
          </cell>
          <cell r="B6132">
            <v>37012883</v>
          </cell>
          <cell r="C6132">
            <v>20051941</v>
          </cell>
          <cell r="D6132">
            <v>45090</v>
          </cell>
        </row>
        <row r="6133">
          <cell r="A6133" t="str">
            <v>Vanderlei Gonzaga Casimiro</v>
          </cell>
          <cell r="B6133">
            <v>37006174</v>
          </cell>
          <cell r="C6133">
            <v>20016934</v>
          </cell>
          <cell r="D6133">
            <v>44417</v>
          </cell>
        </row>
        <row r="6134">
          <cell r="A6134" t="str">
            <v>Mauro Aparecido Pinto</v>
          </cell>
          <cell r="B6134">
            <v>37005900</v>
          </cell>
          <cell r="C6134">
            <v>20016727</v>
          </cell>
          <cell r="D6134">
            <v>44382</v>
          </cell>
        </row>
        <row r="6135">
          <cell r="A6135" t="str">
            <v>Josue Elias Sanches de Souza</v>
          </cell>
          <cell r="B6135">
            <v>37012895</v>
          </cell>
          <cell r="C6135">
            <v>20051983</v>
          </cell>
          <cell r="D6135">
            <v>45090</v>
          </cell>
        </row>
        <row r="6136">
          <cell r="A6136" t="str">
            <v>Edivaldo Aparecido De Camargo Rodrigues</v>
          </cell>
          <cell r="B6136">
            <v>37005576</v>
          </cell>
          <cell r="C6136">
            <v>20013598</v>
          </cell>
          <cell r="D6136">
            <v>44301</v>
          </cell>
        </row>
        <row r="6137">
          <cell r="A6137" t="str">
            <v>Joao Vitor Dos Santos Chiampi</v>
          </cell>
          <cell r="B6137">
            <v>37007308</v>
          </cell>
          <cell r="C6137">
            <v>20023676</v>
          </cell>
          <cell r="D6137">
            <v>44634</v>
          </cell>
        </row>
        <row r="6138">
          <cell r="A6138" t="str">
            <v>Nicolas Pereira de Souza</v>
          </cell>
          <cell r="B6138">
            <v>37012935</v>
          </cell>
          <cell r="C6138">
            <v>20052045</v>
          </cell>
          <cell r="D6138">
            <v>45090</v>
          </cell>
        </row>
        <row r="6139">
          <cell r="A6139" t="str">
            <v>Celso Ricardo Fernandes</v>
          </cell>
          <cell r="B6139">
            <v>37012937</v>
          </cell>
          <cell r="C6139">
            <v>20052047</v>
          </cell>
          <cell r="D6139">
            <v>45090</v>
          </cell>
        </row>
        <row r="6140">
          <cell r="A6140" t="str">
            <v>Luiz Sergio De Souza</v>
          </cell>
          <cell r="B6140">
            <v>37012938</v>
          </cell>
          <cell r="C6140">
            <v>20052048</v>
          </cell>
          <cell r="D6140">
            <v>45090</v>
          </cell>
        </row>
        <row r="6141">
          <cell r="A6141" t="str">
            <v>Francisco Tony Silva Monteiro</v>
          </cell>
          <cell r="B6141">
            <v>37012963</v>
          </cell>
          <cell r="C6141">
            <v>20051944</v>
          </cell>
          <cell r="D6141">
            <v>45090</v>
          </cell>
        </row>
        <row r="6142">
          <cell r="A6142" t="str">
            <v>Lucas Dias Dos Santos</v>
          </cell>
          <cell r="B6142">
            <v>37005598</v>
          </cell>
          <cell r="C6142">
            <v>20013619</v>
          </cell>
          <cell r="D6142">
            <v>44305</v>
          </cell>
        </row>
        <row r="6143">
          <cell r="A6143" t="str">
            <v>Leandro Figueiredo Lauriano</v>
          </cell>
          <cell r="B6143">
            <v>37006467</v>
          </cell>
          <cell r="C6143">
            <v>20017870</v>
          </cell>
          <cell r="D6143">
            <v>44459</v>
          </cell>
        </row>
        <row r="6144">
          <cell r="A6144" t="str">
            <v>Leticia Porto Momesso</v>
          </cell>
          <cell r="B6144">
            <v>37012948</v>
          </cell>
          <cell r="C6144">
            <v>20052085</v>
          </cell>
          <cell r="D6144">
            <v>45083</v>
          </cell>
        </row>
        <row r="6145">
          <cell r="A6145" t="str">
            <v>Gilberto Ramos Nogueira</v>
          </cell>
          <cell r="B6145">
            <v>37012949</v>
          </cell>
          <cell r="C6145">
            <v>20052086</v>
          </cell>
          <cell r="D6145">
            <v>45090</v>
          </cell>
        </row>
        <row r="6146">
          <cell r="A6146" t="str">
            <v>Ian Mota De Souza</v>
          </cell>
          <cell r="B6146">
            <v>37006570</v>
          </cell>
          <cell r="C6146">
            <v>20018145</v>
          </cell>
          <cell r="D6146">
            <v>44473</v>
          </cell>
        </row>
        <row r="6147">
          <cell r="A6147" t="str">
            <v>Lucas Eduardo Feliciano Peixoto</v>
          </cell>
          <cell r="B6147">
            <v>37007305</v>
          </cell>
          <cell r="C6147">
            <v>20023674</v>
          </cell>
          <cell r="D6147">
            <v>44634</v>
          </cell>
        </row>
        <row r="6148">
          <cell r="A6148" t="str">
            <v>Luiz Felipe Ferreira Dos Anjos</v>
          </cell>
          <cell r="B6148">
            <v>37007310</v>
          </cell>
          <cell r="C6148">
            <v>20023679</v>
          </cell>
          <cell r="D6148">
            <v>44634</v>
          </cell>
        </row>
        <row r="6149">
          <cell r="A6149" t="str">
            <v>Luis Fernando Melo Araujo</v>
          </cell>
          <cell r="B6149">
            <v>37012958</v>
          </cell>
          <cell r="C6149">
            <v>20052095</v>
          </cell>
          <cell r="D6149">
            <v>45090</v>
          </cell>
        </row>
        <row r="6150">
          <cell r="A6150" t="str">
            <v>Thiago Augusto Afonso</v>
          </cell>
          <cell r="B6150">
            <v>37012960</v>
          </cell>
          <cell r="C6150">
            <v>20052097</v>
          </cell>
          <cell r="D6150">
            <v>45090</v>
          </cell>
        </row>
        <row r="6151">
          <cell r="A6151" t="str">
            <v>GILBERTO DE SOUZA RAMOS</v>
          </cell>
          <cell r="B6151">
            <v>37012973</v>
          </cell>
          <cell r="C6151">
            <v>20052158</v>
          </cell>
          <cell r="D6151">
            <v>45097</v>
          </cell>
        </row>
        <row r="6152">
          <cell r="A6152" t="str">
            <v>Wesley Maruchi</v>
          </cell>
          <cell r="B6152">
            <v>37013027</v>
          </cell>
          <cell r="C6152">
            <v>20052321</v>
          </cell>
          <cell r="D6152">
            <v>45097</v>
          </cell>
        </row>
        <row r="6153">
          <cell r="A6153" t="str">
            <v>David Da Cavalcante Veloso</v>
          </cell>
          <cell r="B6153">
            <v>37013147</v>
          </cell>
          <cell r="C6153">
            <v>20052323</v>
          </cell>
          <cell r="D6153">
            <v>45097</v>
          </cell>
        </row>
        <row r="6154">
          <cell r="A6154" t="str">
            <v>Igor Marques Do Nascimento</v>
          </cell>
          <cell r="B6154">
            <v>37013033</v>
          </cell>
          <cell r="C6154">
            <v>20052327</v>
          </cell>
          <cell r="D6154">
            <v>45097</v>
          </cell>
        </row>
        <row r="6155">
          <cell r="A6155" t="str">
            <v>Emili Juliana Vieira Salles</v>
          </cell>
          <cell r="B6155">
            <v>37013042</v>
          </cell>
          <cell r="C6155">
            <v>20052336</v>
          </cell>
          <cell r="D6155">
            <v>45097</v>
          </cell>
        </row>
        <row r="6156">
          <cell r="A6156" t="str">
            <v>Vinicius Aparecido Rodrigues Pimentel</v>
          </cell>
          <cell r="B6156">
            <v>37013038</v>
          </cell>
          <cell r="C6156">
            <v>20052332</v>
          </cell>
          <cell r="D6156">
            <v>45097</v>
          </cell>
        </row>
        <row r="6157">
          <cell r="A6157" t="str">
            <v>Paulo Henrique Rosette</v>
          </cell>
          <cell r="B6157">
            <v>37013044</v>
          </cell>
          <cell r="C6157">
            <v>20052338</v>
          </cell>
          <cell r="D6157">
            <v>45097</v>
          </cell>
        </row>
        <row r="6158">
          <cell r="A6158" t="str">
            <v>Ramon Jonata Braz Coelho</v>
          </cell>
          <cell r="B6158">
            <v>37013049</v>
          </cell>
          <cell r="C6158">
            <v>20052343</v>
          </cell>
          <cell r="D6158">
            <v>45097</v>
          </cell>
        </row>
        <row r="6159">
          <cell r="A6159" t="str">
            <v>Ivo Correa de Melo</v>
          </cell>
          <cell r="B6159">
            <v>37013060</v>
          </cell>
          <cell r="C6159">
            <v>20052477</v>
          </cell>
          <cell r="D6159">
            <v>45097</v>
          </cell>
        </row>
        <row r="6160">
          <cell r="A6160" t="str">
            <v>Esdras Dutra De Morais</v>
          </cell>
          <cell r="B6160">
            <v>37013065</v>
          </cell>
          <cell r="C6160">
            <v>20052482</v>
          </cell>
          <cell r="D6160">
            <v>45097</v>
          </cell>
        </row>
        <row r="6161">
          <cell r="A6161" t="str">
            <v>Matheus Henrique Vieira</v>
          </cell>
          <cell r="B6161">
            <v>37013168</v>
          </cell>
          <cell r="C6161">
            <v>20052491</v>
          </cell>
          <cell r="D6161">
            <v>45097</v>
          </cell>
        </row>
        <row r="6162">
          <cell r="A6162" t="str">
            <v>Silvanei Antonio Anacleto</v>
          </cell>
          <cell r="B6162">
            <v>37013072</v>
          </cell>
          <cell r="C6162">
            <v>20052489</v>
          </cell>
          <cell r="D6162">
            <v>45097</v>
          </cell>
        </row>
        <row r="6163">
          <cell r="A6163" t="str">
            <v>Izaias Miguel Barbosa</v>
          </cell>
          <cell r="B6163">
            <v>37013086</v>
          </cell>
          <cell r="C6163">
            <v>20052503</v>
          </cell>
          <cell r="D6163">
            <v>45097</v>
          </cell>
        </row>
        <row r="6164">
          <cell r="A6164" t="str">
            <v>Marcos Jose Basso</v>
          </cell>
          <cell r="B6164">
            <v>37013133</v>
          </cell>
          <cell r="C6164">
            <v>20053229</v>
          </cell>
          <cell r="D6164">
            <v>45111</v>
          </cell>
        </row>
        <row r="6165">
          <cell r="A6165" t="str">
            <v>Samuel Cassio Borges Fernandes</v>
          </cell>
          <cell r="B6165">
            <v>37013135</v>
          </cell>
          <cell r="C6165">
            <v>20053231</v>
          </cell>
          <cell r="D6165">
            <v>45111</v>
          </cell>
        </row>
        <row r="6166">
          <cell r="A6166" t="str">
            <v>Thiago Maria Proenca Almeida</v>
          </cell>
          <cell r="B6166">
            <v>37013157</v>
          </cell>
          <cell r="C6166">
            <v>20053284</v>
          </cell>
          <cell r="D6166">
            <v>45111</v>
          </cell>
        </row>
        <row r="6167">
          <cell r="A6167" t="str">
            <v>Geraldo Edilson Cabral</v>
          </cell>
          <cell r="B6167">
            <v>37013156</v>
          </cell>
          <cell r="C6167">
            <v>20053283</v>
          </cell>
          <cell r="D6167">
            <v>45097</v>
          </cell>
        </row>
        <row r="6168">
          <cell r="A6168" t="str">
            <v>Danilo Da Silva</v>
          </cell>
          <cell r="B6168">
            <v>37013158</v>
          </cell>
          <cell r="C6168">
            <v>20053285</v>
          </cell>
          <cell r="D6168">
            <v>45111</v>
          </cell>
        </row>
        <row r="6169">
          <cell r="A6169" t="str">
            <v>Ciro Felicio</v>
          </cell>
          <cell r="B6169">
            <v>37013160</v>
          </cell>
          <cell r="C6169">
            <v>20053287</v>
          </cell>
          <cell r="D6169">
            <v>45111</v>
          </cell>
        </row>
        <row r="6170">
          <cell r="A6170" t="str">
            <v>Jony Silva Ferreira</v>
          </cell>
          <cell r="B6170">
            <v>37013176</v>
          </cell>
          <cell r="C6170">
            <v>20053353</v>
          </cell>
          <cell r="D6170">
            <v>45111</v>
          </cell>
        </row>
        <row r="6171">
          <cell r="A6171" t="str">
            <v>Wanderlei Pereira Dos Santos</v>
          </cell>
          <cell r="B6171">
            <v>37013185</v>
          </cell>
          <cell r="C6171">
            <v>20053362</v>
          </cell>
          <cell r="D6171">
            <v>45111</v>
          </cell>
        </row>
        <row r="6172">
          <cell r="A6172" t="str">
            <v>Claudio Leandro Costa</v>
          </cell>
          <cell r="B6172">
            <v>37013180</v>
          </cell>
          <cell r="C6172">
            <v>20053357</v>
          </cell>
          <cell r="D6172">
            <v>45111</v>
          </cell>
        </row>
        <row r="6173">
          <cell r="A6173" t="str">
            <v>Jaemir Grasiel Kroetz</v>
          </cell>
          <cell r="B6173">
            <v>37013192</v>
          </cell>
          <cell r="C6173">
            <v>20053384</v>
          </cell>
          <cell r="D6173">
            <v>45111</v>
          </cell>
        </row>
        <row r="6174">
          <cell r="A6174" t="str">
            <v>Fernanda Rodrigues Sousa</v>
          </cell>
          <cell r="B6174">
            <v>37013223</v>
          </cell>
          <cell r="C6174">
            <v>20053544</v>
          </cell>
          <cell r="D6174">
            <v>45111</v>
          </cell>
        </row>
        <row r="6175">
          <cell r="A6175" t="str">
            <v>Valter Alves Lima</v>
          </cell>
          <cell r="B6175">
            <v>37013225</v>
          </cell>
          <cell r="C6175">
            <v>20053546</v>
          </cell>
          <cell r="D6175">
            <v>45111</v>
          </cell>
        </row>
        <row r="6176">
          <cell r="A6176" t="str">
            <v>Marlei Dos Santos Martins</v>
          </cell>
          <cell r="B6176">
            <v>37013240</v>
          </cell>
          <cell r="C6176">
            <v>20053579</v>
          </cell>
          <cell r="D6176">
            <v>45111</v>
          </cell>
        </row>
        <row r="6177">
          <cell r="A6177" t="str">
            <v>Oneide Da Costa Barreto</v>
          </cell>
          <cell r="B6177">
            <v>37013241</v>
          </cell>
          <cell r="C6177">
            <v>20053580</v>
          </cell>
          <cell r="D6177">
            <v>45111</v>
          </cell>
        </row>
        <row r="6178">
          <cell r="A6178" t="str">
            <v>Eder Carlos Da Silva</v>
          </cell>
          <cell r="B6178">
            <v>37013245</v>
          </cell>
          <cell r="C6178">
            <v>20053584</v>
          </cell>
          <cell r="D6178">
            <v>45111</v>
          </cell>
        </row>
        <row r="6179">
          <cell r="A6179" t="str">
            <v>Lorena Carneiro Soares</v>
          </cell>
          <cell r="B6179">
            <v>37013246</v>
          </cell>
          <cell r="C6179">
            <v>20053585</v>
          </cell>
          <cell r="D6179">
            <v>45111</v>
          </cell>
        </row>
        <row r="6180">
          <cell r="A6180" t="str">
            <v>MAGNUS JORGE DA ROSA APPEL</v>
          </cell>
          <cell r="B6180">
            <v>37013244</v>
          </cell>
          <cell r="C6180">
            <v>20053583</v>
          </cell>
          <cell r="D6180">
            <v>45118</v>
          </cell>
        </row>
        <row r="6181">
          <cell r="A6181" t="str">
            <v>Joao Ricardo Almeida Junior</v>
          </cell>
          <cell r="B6181">
            <v>37013271</v>
          </cell>
          <cell r="C6181">
            <v>20053628</v>
          </cell>
          <cell r="D6181">
            <v>45111</v>
          </cell>
        </row>
        <row r="6182">
          <cell r="A6182" t="str">
            <v>Antonio Augusto De Barros Teixeira</v>
          </cell>
          <cell r="B6182">
            <v>37005404</v>
          </cell>
          <cell r="C6182">
            <v>20013521</v>
          </cell>
          <cell r="D6182">
            <v>44256</v>
          </cell>
        </row>
        <row r="6183">
          <cell r="A6183" t="str">
            <v>Adalberto Botelho Freire</v>
          </cell>
          <cell r="B6183">
            <v>37006027</v>
          </cell>
          <cell r="C6183">
            <v>20016810</v>
          </cell>
          <cell r="D6183">
            <v>44396</v>
          </cell>
        </row>
        <row r="6184">
          <cell r="A6184" t="str">
            <v>Felipe Ryan Domingues Machado</v>
          </cell>
          <cell r="B6184">
            <v>37007300</v>
          </cell>
          <cell r="C6184">
            <v>20023668</v>
          </cell>
          <cell r="D6184">
            <v>44634</v>
          </cell>
        </row>
        <row r="6185">
          <cell r="A6185" t="str">
            <v>Jamil Teixeira Junior</v>
          </cell>
          <cell r="B6185">
            <v>37007304</v>
          </cell>
          <cell r="C6185">
            <v>20023672</v>
          </cell>
          <cell r="D6185">
            <v>44634</v>
          </cell>
        </row>
        <row r="6186">
          <cell r="A6186" t="str">
            <v>Gabriel Frutuoso Neto</v>
          </cell>
          <cell r="B6186">
            <v>37005659</v>
          </cell>
          <cell r="C6186">
            <v>20013954</v>
          </cell>
          <cell r="D6186">
            <v>44329</v>
          </cell>
        </row>
        <row r="6187">
          <cell r="A6187" t="str">
            <v>Marcos Alves Ferreira</v>
          </cell>
          <cell r="B6187">
            <v>37007124</v>
          </cell>
          <cell r="C6187">
            <v>20022933</v>
          </cell>
          <cell r="D6187">
            <v>44599</v>
          </cell>
        </row>
        <row r="6188">
          <cell r="A6188" t="str">
            <v>Bruno Abreu Ferreira Da Silva</v>
          </cell>
          <cell r="B6188">
            <v>37007311</v>
          </cell>
          <cell r="C6188">
            <v>20023680</v>
          </cell>
          <cell r="D6188">
            <v>44634</v>
          </cell>
        </row>
        <row r="6189">
          <cell r="A6189" t="str">
            <v>Antonio Rodrigues De Sousa</v>
          </cell>
          <cell r="B6189">
            <v>37009618</v>
          </cell>
          <cell r="C6189">
            <v>20035727</v>
          </cell>
          <cell r="D6189">
            <v>44844</v>
          </cell>
        </row>
        <row r="6190">
          <cell r="A6190" t="str">
            <v>Gilvan Jose Soares Cruzeiro</v>
          </cell>
          <cell r="B6190">
            <v>37013261</v>
          </cell>
          <cell r="C6190">
            <v>20053618</v>
          </cell>
          <cell r="D6190">
            <v>45111</v>
          </cell>
        </row>
        <row r="6191">
          <cell r="A6191" t="str">
            <v>Fabricio De Melo</v>
          </cell>
          <cell r="B6191">
            <v>37013278</v>
          </cell>
          <cell r="C6191">
            <v>20053635</v>
          </cell>
          <cell r="D6191">
            <v>45111</v>
          </cell>
        </row>
        <row r="6192">
          <cell r="A6192" t="str">
            <v>Andre Lacerda Teixeira De Mendonca</v>
          </cell>
          <cell r="B6192">
            <v>37005332</v>
          </cell>
          <cell r="C6192">
            <v>20015573</v>
          </cell>
          <cell r="D6192">
            <v>44228</v>
          </cell>
        </row>
        <row r="6193">
          <cell r="A6193" t="str">
            <v>Robson Correia Lima</v>
          </cell>
          <cell r="B6193">
            <v>37006947</v>
          </cell>
          <cell r="C6193">
            <v>20021003</v>
          </cell>
          <cell r="D6193">
            <v>44552</v>
          </cell>
        </row>
        <row r="6194">
          <cell r="A6194" t="str">
            <v>Ronicezar Baldo</v>
          </cell>
          <cell r="B6194">
            <v>37003948</v>
          </cell>
          <cell r="C6194">
            <v>20010102</v>
          </cell>
          <cell r="D6194">
            <v>43780</v>
          </cell>
        </row>
        <row r="6195">
          <cell r="A6195" t="str">
            <v>Gustavo Rossi Da Silva</v>
          </cell>
          <cell r="B6195">
            <v>37004933</v>
          </cell>
          <cell r="C6195">
            <v>20008448</v>
          </cell>
          <cell r="D6195">
            <v>44109</v>
          </cell>
        </row>
        <row r="6196">
          <cell r="A6196" t="str">
            <v>Diogo Alves Da Silva</v>
          </cell>
          <cell r="B6196">
            <v>37006657</v>
          </cell>
          <cell r="C6196">
            <v>20019973</v>
          </cell>
          <cell r="D6196">
            <v>44503</v>
          </cell>
        </row>
        <row r="6197">
          <cell r="A6197" t="str">
            <v>Arthur Bonfante Furlam</v>
          </cell>
          <cell r="B6197">
            <v>37013285</v>
          </cell>
          <cell r="C6197">
            <v>20053647</v>
          </cell>
          <cell r="D6197">
            <v>45111</v>
          </cell>
        </row>
        <row r="6198">
          <cell r="A6198" t="str">
            <v>Pedro Resende Silva</v>
          </cell>
          <cell r="B6198">
            <v>37007973</v>
          </cell>
          <cell r="C6198">
            <v>20026045</v>
          </cell>
          <cell r="D6198">
            <v>44713</v>
          </cell>
        </row>
        <row r="6199">
          <cell r="A6199" t="str">
            <v>Lucilaine Andreia De Carvalho</v>
          </cell>
          <cell r="B6199">
            <v>37004608</v>
          </cell>
          <cell r="C6199">
            <v>20008218</v>
          </cell>
          <cell r="D6199">
            <v>44018</v>
          </cell>
        </row>
        <row r="6200">
          <cell r="A6200" t="str">
            <v>Ronilson Alves Machado</v>
          </cell>
          <cell r="B6200">
            <v>37013300</v>
          </cell>
          <cell r="C6200">
            <v>20053662</v>
          </cell>
          <cell r="D6200">
            <v>45111</v>
          </cell>
        </row>
        <row r="6201">
          <cell r="A6201" t="str">
            <v>Adenilton Rodrigues</v>
          </cell>
          <cell r="B6201">
            <v>37013305</v>
          </cell>
          <cell r="C6201">
            <v>20053667</v>
          </cell>
          <cell r="D6201">
            <v>45111</v>
          </cell>
        </row>
        <row r="6202">
          <cell r="A6202" t="str">
            <v>Elisson Stevanato Vilhalva</v>
          </cell>
          <cell r="B6202">
            <v>37013299</v>
          </cell>
          <cell r="C6202">
            <v>20053661</v>
          </cell>
          <cell r="D6202">
            <v>45111</v>
          </cell>
        </row>
        <row r="6203">
          <cell r="A6203" t="str">
            <v>Thiago Olimpio Barbosa de Souza</v>
          </cell>
          <cell r="B6203">
            <v>37013329</v>
          </cell>
          <cell r="C6203">
            <v>20053693</v>
          </cell>
          <cell r="D6203">
            <v>45111</v>
          </cell>
        </row>
        <row r="6204">
          <cell r="A6204" t="str">
            <v>Maximiliano Carvalho Silva</v>
          </cell>
          <cell r="B6204">
            <v>37013344</v>
          </cell>
          <cell r="C6204">
            <v>20053735</v>
          </cell>
          <cell r="D6204">
            <v>45118</v>
          </cell>
        </row>
        <row r="6205">
          <cell r="A6205" t="str">
            <v>Luiz Carlos Lopes Cruz</v>
          </cell>
          <cell r="B6205">
            <v>37013351</v>
          </cell>
          <cell r="C6205">
            <v>20054008</v>
          </cell>
          <cell r="D6205">
            <v>45118</v>
          </cell>
        </row>
        <row r="6206">
          <cell r="A6206" t="str">
            <v>Ronaldo De Souza Lima</v>
          </cell>
          <cell r="B6206">
            <v>37013353</v>
          </cell>
          <cell r="C6206">
            <v>20054010</v>
          </cell>
          <cell r="D6206">
            <v>45118</v>
          </cell>
        </row>
        <row r="6207">
          <cell r="A6207" t="str">
            <v>Gabriel Mattos Rocha</v>
          </cell>
          <cell r="B6207">
            <v>37013348</v>
          </cell>
          <cell r="C6207">
            <v>20054005</v>
          </cell>
          <cell r="D6207">
            <v>45118</v>
          </cell>
        </row>
        <row r="6208">
          <cell r="A6208" t="str">
            <v>Leonardo Coelho Ribeiro</v>
          </cell>
          <cell r="B6208">
            <v>37013357</v>
          </cell>
          <cell r="C6208">
            <v>20054014</v>
          </cell>
          <cell r="D6208">
            <v>45118</v>
          </cell>
        </row>
        <row r="6209">
          <cell r="A6209" t="str">
            <v>Jefferson Clayton Leandro</v>
          </cell>
          <cell r="B6209">
            <v>37013361</v>
          </cell>
          <cell r="C6209">
            <v>20054018</v>
          </cell>
          <cell r="D6209">
            <v>45118</v>
          </cell>
        </row>
        <row r="6210">
          <cell r="A6210" t="str">
            <v>Gabriel Mendonca dos Santos</v>
          </cell>
          <cell r="B6210">
            <v>37013365</v>
          </cell>
          <cell r="C6210">
            <v>20054022</v>
          </cell>
          <cell r="D6210">
            <v>45118</v>
          </cell>
        </row>
        <row r="6211">
          <cell r="A6211" t="str">
            <v>Jair Marques Da Silva Filho</v>
          </cell>
          <cell r="B6211">
            <v>37013385</v>
          </cell>
          <cell r="C6211">
            <v>20054463</v>
          </cell>
          <cell r="D6211">
            <v>45118</v>
          </cell>
        </row>
        <row r="6212">
          <cell r="A6212" t="str">
            <v>Joao Gabriel Barros De Oliveira</v>
          </cell>
          <cell r="B6212">
            <v>37013419</v>
          </cell>
          <cell r="C6212">
            <v>20054829</v>
          </cell>
          <cell r="D6212">
            <v>45118</v>
          </cell>
        </row>
        <row r="6213">
          <cell r="A6213" t="str">
            <v>Sidney Antonio Cardoso</v>
          </cell>
          <cell r="B6213">
            <v>37013422</v>
          </cell>
          <cell r="C6213">
            <v>20054867</v>
          </cell>
          <cell r="D6213">
            <v>45118</v>
          </cell>
        </row>
        <row r="6214">
          <cell r="A6214" t="str">
            <v>Eduardo Vargas Carlos</v>
          </cell>
          <cell r="B6214">
            <v>37013427</v>
          </cell>
          <cell r="C6214">
            <v>20054889</v>
          </cell>
          <cell r="D6214">
            <v>45118</v>
          </cell>
        </row>
        <row r="6215">
          <cell r="A6215" t="str">
            <v>Ironi Guedes De Oliveira Junior</v>
          </cell>
          <cell r="B6215">
            <v>37009389</v>
          </cell>
          <cell r="C6215">
            <v>20033388</v>
          </cell>
          <cell r="D6215">
            <v>44816</v>
          </cell>
        </row>
        <row r="6216">
          <cell r="A6216" t="str">
            <v>Gabriel De Souza Mateus</v>
          </cell>
          <cell r="B6216">
            <v>37000745</v>
          </cell>
          <cell r="C6216">
            <v>20009131</v>
          </cell>
          <cell r="D6216">
            <v>40196</v>
          </cell>
        </row>
        <row r="6217">
          <cell r="A6217" t="str">
            <v>Ricardo Neves Ferreira</v>
          </cell>
          <cell r="B6217">
            <v>37006995</v>
          </cell>
          <cell r="C6217">
            <v>20021296</v>
          </cell>
          <cell r="D6217">
            <v>44571</v>
          </cell>
        </row>
        <row r="6218">
          <cell r="A6218" t="str">
            <v>Vivian Drieli Lopes Da Silva</v>
          </cell>
          <cell r="B6218">
            <v>37007658</v>
          </cell>
          <cell r="C6218">
            <v>20025683</v>
          </cell>
          <cell r="D6218">
            <v>44683</v>
          </cell>
        </row>
        <row r="6219">
          <cell r="A6219" t="str">
            <v>Sandy Quandt Dantas Marinho</v>
          </cell>
          <cell r="B6219">
            <v>37003290</v>
          </cell>
          <cell r="C6219">
            <v>20009913</v>
          </cell>
          <cell r="D6219">
            <v>43633</v>
          </cell>
        </row>
        <row r="6220">
          <cell r="A6220" t="str">
            <v>Joao Eduardo Souza Oliveira</v>
          </cell>
          <cell r="B6220">
            <v>37008025</v>
          </cell>
          <cell r="C6220">
            <v>20026804</v>
          </cell>
          <cell r="D6220">
            <v>44713</v>
          </cell>
        </row>
        <row r="6221">
          <cell r="A6221" t="str">
            <v>Francisco Henrique Pereira De Lima</v>
          </cell>
          <cell r="B6221">
            <v>37008824</v>
          </cell>
          <cell r="C6221">
            <v>20034927</v>
          </cell>
          <cell r="D6221">
            <v>44777</v>
          </cell>
        </row>
        <row r="6222">
          <cell r="A6222" t="str">
            <v>Marden Rodrigo Alves</v>
          </cell>
          <cell r="B6222">
            <v>37004764</v>
          </cell>
          <cell r="C6222">
            <v>20008060</v>
          </cell>
          <cell r="D6222">
            <v>44060</v>
          </cell>
        </row>
        <row r="6223">
          <cell r="A6223" t="str">
            <v>Marcos Vinicius De Abreu</v>
          </cell>
          <cell r="B6223">
            <v>37009317</v>
          </cell>
          <cell r="C6223">
            <v>20033030</v>
          </cell>
          <cell r="D6223">
            <v>44809</v>
          </cell>
        </row>
        <row r="6224">
          <cell r="A6224" t="str">
            <v>Dandara Maria Real E Silva</v>
          </cell>
          <cell r="B6224">
            <v>37008096</v>
          </cell>
          <cell r="C6224">
            <v>15006458</v>
          </cell>
          <cell r="D6224">
            <v>40666</v>
          </cell>
        </row>
        <row r="6225">
          <cell r="A6225" t="str">
            <v>Sergio Aparecido Dos Santos</v>
          </cell>
          <cell r="B6225">
            <v>37013441</v>
          </cell>
          <cell r="C6225">
            <v>20054936</v>
          </cell>
          <cell r="D6225">
            <v>45125</v>
          </cell>
        </row>
        <row r="6226">
          <cell r="A6226" t="str">
            <v>Luan De Souza</v>
          </cell>
          <cell r="B6226">
            <v>37013438</v>
          </cell>
          <cell r="C6226">
            <v>20054933</v>
          </cell>
          <cell r="D6226">
            <v>45125</v>
          </cell>
        </row>
        <row r="6227">
          <cell r="A6227" t="str">
            <v>Carlos Jose Gustavo</v>
          </cell>
          <cell r="B6227">
            <v>37013456</v>
          </cell>
          <cell r="C6227">
            <v>20054991</v>
          </cell>
          <cell r="D6227">
            <v>45125</v>
          </cell>
        </row>
        <row r="6228">
          <cell r="A6228" t="str">
            <v>Adenildo Tiago Da Rocha</v>
          </cell>
          <cell r="B6228">
            <v>37013458</v>
          </cell>
          <cell r="C6228">
            <v>20054993</v>
          </cell>
          <cell r="D6228">
            <v>45125</v>
          </cell>
        </row>
        <row r="6229">
          <cell r="A6229" t="str">
            <v>Cristiano Jose Da Silva</v>
          </cell>
          <cell r="B6229">
            <v>37013463</v>
          </cell>
          <cell r="C6229">
            <v>20055359</v>
          </cell>
          <cell r="D6229">
            <v>45125</v>
          </cell>
        </row>
        <row r="6230">
          <cell r="A6230" t="str">
            <v>William Aparecido Lopes</v>
          </cell>
          <cell r="B6230">
            <v>37013464</v>
          </cell>
          <cell r="C6230">
            <v>20055360</v>
          </cell>
          <cell r="D6230">
            <v>45125</v>
          </cell>
        </row>
        <row r="6231">
          <cell r="A6231" t="str">
            <v>Everton Henrique Brisola de Lima</v>
          </cell>
          <cell r="B6231">
            <v>37013465</v>
          </cell>
          <cell r="C6231">
            <v>20055361</v>
          </cell>
          <cell r="D6231">
            <v>45125</v>
          </cell>
        </row>
        <row r="6232">
          <cell r="A6232" t="str">
            <v>Evandro Gomes</v>
          </cell>
          <cell r="B6232">
            <v>37013472</v>
          </cell>
          <cell r="C6232">
            <v>20055368</v>
          </cell>
          <cell r="D6232">
            <v>45139</v>
          </cell>
        </row>
        <row r="6233">
          <cell r="A6233" t="str">
            <v>Kerrison Cesar Souza</v>
          </cell>
          <cell r="B6233">
            <v>37013473</v>
          </cell>
          <cell r="C6233">
            <v>20055369</v>
          </cell>
          <cell r="D6233">
            <v>45125</v>
          </cell>
        </row>
        <row r="6234">
          <cell r="A6234" t="str">
            <v>Romeu Ferrais Ferrais</v>
          </cell>
          <cell r="B6234">
            <v>37013477</v>
          </cell>
          <cell r="C6234">
            <v>20055373</v>
          </cell>
          <cell r="D6234">
            <v>45125</v>
          </cell>
        </row>
        <row r="6235">
          <cell r="A6235" t="str">
            <v>Alex Mario Oliveira Almeida</v>
          </cell>
          <cell r="B6235">
            <v>37001461</v>
          </cell>
          <cell r="C6235">
            <v>20008540</v>
          </cell>
          <cell r="D6235">
            <v>41913</v>
          </cell>
        </row>
        <row r="6236">
          <cell r="A6236" t="str">
            <v>Jucilio Da Silva Ferreira</v>
          </cell>
          <cell r="B6236">
            <v>37013484</v>
          </cell>
          <cell r="C6236">
            <v>20055380</v>
          </cell>
          <cell r="D6236">
            <v>45125</v>
          </cell>
        </row>
        <row r="6237">
          <cell r="A6237" t="str">
            <v>Joao Vitor De Camargo Ferreira</v>
          </cell>
          <cell r="B6237">
            <v>37013491</v>
          </cell>
          <cell r="C6237">
            <v>20055387</v>
          </cell>
          <cell r="D6237">
            <v>45125</v>
          </cell>
        </row>
        <row r="6238">
          <cell r="A6238" t="str">
            <v>Wesley Duarte Mendes</v>
          </cell>
          <cell r="B6238">
            <v>37013489</v>
          </cell>
          <cell r="C6238">
            <v>20055385</v>
          </cell>
          <cell r="D6238">
            <v>45125</v>
          </cell>
        </row>
        <row r="6239">
          <cell r="A6239" t="str">
            <v>Ramon Mendes Amorim</v>
          </cell>
          <cell r="B6239">
            <v>37013494</v>
          </cell>
          <cell r="C6239">
            <v>20055390</v>
          </cell>
          <cell r="D6239">
            <v>45125</v>
          </cell>
        </row>
        <row r="6240">
          <cell r="A6240" t="str">
            <v>Fabiano Medrado Martinelli</v>
          </cell>
          <cell r="B6240">
            <v>37013500</v>
          </cell>
          <cell r="C6240">
            <v>20055396</v>
          </cell>
          <cell r="D6240">
            <v>45125</v>
          </cell>
        </row>
        <row r="6241">
          <cell r="A6241" t="str">
            <v>Rogerio Aparecido Poloni da Silva</v>
          </cell>
          <cell r="B6241">
            <v>37013537</v>
          </cell>
          <cell r="C6241">
            <v>20055407</v>
          </cell>
          <cell r="D6241">
            <v>45125</v>
          </cell>
        </row>
        <row r="6242">
          <cell r="A6242" t="str">
            <v>Gilmar Oliveira dos Santos</v>
          </cell>
          <cell r="B6242">
            <v>37013501</v>
          </cell>
          <cell r="C6242">
            <v>20055397</v>
          </cell>
          <cell r="D6242">
            <v>45125</v>
          </cell>
        </row>
        <row r="6243">
          <cell r="A6243" t="str">
            <v>Julio Cesar Oliveira Santos</v>
          </cell>
          <cell r="B6243">
            <v>37013502</v>
          </cell>
          <cell r="C6243">
            <v>20055398</v>
          </cell>
          <cell r="D6243">
            <v>45125</v>
          </cell>
        </row>
        <row r="6244">
          <cell r="A6244" t="str">
            <v>Jhonatan Lucas Dos Santos</v>
          </cell>
          <cell r="B6244">
            <v>37013505</v>
          </cell>
          <cell r="C6244">
            <v>20055401</v>
          </cell>
          <cell r="D6244">
            <v>45125</v>
          </cell>
        </row>
        <row r="6245">
          <cell r="A6245" t="str">
            <v>Larissa Franco Mistretta</v>
          </cell>
          <cell r="B6245">
            <v>37013507</v>
          </cell>
          <cell r="C6245">
            <v>20055403</v>
          </cell>
          <cell r="D6245">
            <v>45125</v>
          </cell>
        </row>
        <row r="6246">
          <cell r="A6246" t="str">
            <v>Paulo Cesar Da Silva</v>
          </cell>
          <cell r="B6246">
            <v>37013518</v>
          </cell>
          <cell r="C6246">
            <v>20055414</v>
          </cell>
          <cell r="D6246">
            <v>45125</v>
          </cell>
        </row>
        <row r="6247">
          <cell r="A6247" t="str">
            <v>Teresinha de Jesus Luiz Campos</v>
          </cell>
          <cell r="B6247">
            <v>37013520</v>
          </cell>
          <cell r="C6247">
            <v>20055416</v>
          </cell>
          <cell r="D6247">
            <v>45125</v>
          </cell>
        </row>
        <row r="6248">
          <cell r="A6248" t="str">
            <v>Suzana Cristina De Oliveira Ribeiro</v>
          </cell>
          <cell r="B6248">
            <v>37013526</v>
          </cell>
          <cell r="C6248">
            <v>20055422</v>
          </cell>
          <cell r="D6248">
            <v>45125</v>
          </cell>
        </row>
        <row r="6249">
          <cell r="A6249" t="str">
            <v>Beatriz Landy Belizario</v>
          </cell>
          <cell r="B6249">
            <v>37013527</v>
          </cell>
          <cell r="C6249">
            <v>20055423</v>
          </cell>
          <cell r="D6249">
            <v>45125</v>
          </cell>
        </row>
        <row r="6250">
          <cell r="A6250" t="str">
            <v>Ellen Rose Pereira da Silva Rodrigues</v>
          </cell>
          <cell r="B6250">
            <v>37013531</v>
          </cell>
          <cell r="C6250">
            <v>20055427</v>
          </cell>
          <cell r="D6250">
            <v>45125</v>
          </cell>
        </row>
        <row r="6251">
          <cell r="A6251" t="str">
            <v>Sueli Elizabete Palombarini</v>
          </cell>
          <cell r="B6251">
            <v>37013529</v>
          </cell>
          <cell r="C6251">
            <v>20055425</v>
          </cell>
          <cell r="D6251">
            <v>45125</v>
          </cell>
        </row>
        <row r="6252">
          <cell r="A6252" t="str">
            <v>Rodrigo Fernando Costa</v>
          </cell>
          <cell r="B6252">
            <v>37013530</v>
          </cell>
          <cell r="C6252">
            <v>20055426</v>
          </cell>
          <cell r="D6252">
            <v>45125</v>
          </cell>
        </row>
        <row r="6253">
          <cell r="A6253" t="str">
            <v>Valdereis Batista De Sousa</v>
          </cell>
          <cell r="B6253">
            <v>37013554</v>
          </cell>
          <cell r="C6253">
            <v>20055784</v>
          </cell>
          <cell r="D6253">
            <v>45125</v>
          </cell>
        </row>
        <row r="6254">
          <cell r="A6254" t="str">
            <v>Mariele Dos Santos Chieregato</v>
          </cell>
          <cell r="B6254">
            <v>37013559</v>
          </cell>
          <cell r="C6254">
            <v>20055789</v>
          </cell>
          <cell r="D6254">
            <v>45125</v>
          </cell>
        </row>
        <row r="6255">
          <cell r="A6255" t="str">
            <v>Larissa Vitoria de Chico</v>
          </cell>
          <cell r="B6255">
            <v>37013548</v>
          </cell>
          <cell r="C6255">
            <v>20055778</v>
          </cell>
          <cell r="D6255">
            <v>45125</v>
          </cell>
        </row>
        <row r="6256">
          <cell r="A6256" t="str">
            <v>Gilberto Soares De Andrade</v>
          </cell>
          <cell r="B6256">
            <v>37013550</v>
          </cell>
          <cell r="C6256">
            <v>20055780</v>
          </cell>
          <cell r="D6256">
            <v>45125</v>
          </cell>
        </row>
        <row r="6257">
          <cell r="A6257" t="str">
            <v>Ana Paula Conrado</v>
          </cell>
          <cell r="B6257">
            <v>37013555</v>
          </cell>
          <cell r="C6257">
            <v>20055785</v>
          </cell>
          <cell r="D6257">
            <v>45125</v>
          </cell>
        </row>
        <row r="6258">
          <cell r="A6258" t="str">
            <v>Fabiana Pereira Furquim Assunção</v>
          </cell>
          <cell r="B6258">
            <v>37013558</v>
          </cell>
          <cell r="C6258">
            <v>20055788</v>
          </cell>
          <cell r="D6258">
            <v>45125</v>
          </cell>
        </row>
        <row r="6259">
          <cell r="A6259" t="str">
            <v>Franciele Inacio Oliveira Dos Santos</v>
          </cell>
          <cell r="B6259">
            <v>37013570</v>
          </cell>
          <cell r="C6259">
            <v>20055800</v>
          </cell>
          <cell r="D6259">
            <v>45125</v>
          </cell>
        </row>
        <row r="6260">
          <cell r="A6260" t="str">
            <v>Vanderleia Galdino</v>
          </cell>
          <cell r="B6260">
            <v>37013572</v>
          </cell>
          <cell r="C6260">
            <v>20055802</v>
          </cell>
          <cell r="D6260">
            <v>45125</v>
          </cell>
        </row>
        <row r="6261">
          <cell r="A6261" t="str">
            <v>Izabel Aparecida Fonseca</v>
          </cell>
          <cell r="B6261">
            <v>37013577</v>
          </cell>
          <cell r="C6261">
            <v>20055807</v>
          </cell>
          <cell r="D6261">
            <v>45125</v>
          </cell>
        </row>
        <row r="6262">
          <cell r="A6262" t="str">
            <v>Cleide Aparecida Bento</v>
          </cell>
          <cell r="B6262">
            <v>37013567</v>
          </cell>
          <cell r="C6262">
            <v>20055797</v>
          </cell>
          <cell r="D6262">
            <v>45125</v>
          </cell>
        </row>
        <row r="6263">
          <cell r="A6263" t="str">
            <v>Eleteia Aparecida Montanhero</v>
          </cell>
          <cell r="B6263">
            <v>37013568</v>
          </cell>
          <cell r="C6263">
            <v>20055798</v>
          </cell>
          <cell r="D6263">
            <v>45125</v>
          </cell>
        </row>
        <row r="6264">
          <cell r="A6264" t="str">
            <v>Paulo Vitor Pereira Da Silva</v>
          </cell>
          <cell r="B6264">
            <v>37013571</v>
          </cell>
          <cell r="C6264">
            <v>20055801</v>
          </cell>
          <cell r="D6264">
            <v>45125</v>
          </cell>
        </row>
        <row r="6265">
          <cell r="A6265" t="str">
            <v>Eliana Paula De Oliveira Ribeiro Da Silva</v>
          </cell>
          <cell r="B6265">
            <v>37013575</v>
          </cell>
          <cell r="C6265">
            <v>20055805</v>
          </cell>
          <cell r="D6265">
            <v>45125</v>
          </cell>
        </row>
        <row r="6266">
          <cell r="A6266" t="str">
            <v>Iara Cristina Marcal</v>
          </cell>
          <cell r="B6266">
            <v>37013576</v>
          </cell>
          <cell r="C6266">
            <v>20055806</v>
          </cell>
          <cell r="D6266">
            <v>45125</v>
          </cell>
        </row>
        <row r="6267">
          <cell r="A6267" t="str">
            <v>Maycon Kaique da Silva</v>
          </cell>
          <cell r="B6267">
            <v>37013590</v>
          </cell>
          <cell r="C6267">
            <v>20055820</v>
          </cell>
          <cell r="D6267">
            <v>45125</v>
          </cell>
        </row>
        <row r="6268">
          <cell r="A6268" t="str">
            <v>Jessica Massarico Dos Santos</v>
          </cell>
          <cell r="B6268">
            <v>37013582</v>
          </cell>
          <cell r="C6268">
            <v>20055812</v>
          </cell>
          <cell r="D6268">
            <v>45125</v>
          </cell>
        </row>
        <row r="6269">
          <cell r="A6269" t="str">
            <v>Everton Lucio Barbosa De Lima</v>
          </cell>
          <cell r="B6269">
            <v>37013591</v>
          </cell>
          <cell r="C6269">
            <v>20055821</v>
          </cell>
          <cell r="D6269">
            <v>45125</v>
          </cell>
        </row>
        <row r="6270">
          <cell r="A6270" t="str">
            <v>Izaltino Miguel De Oliveira</v>
          </cell>
          <cell r="B6270">
            <v>37013623</v>
          </cell>
          <cell r="C6270">
            <v>20055882</v>
          </cell>
          <cell r="D6270">
            <v>45125</v>
          </cell>
        </row>
        <row r="6271">
          <cell r="A6271" t="str">
            <v>Jeferson Jose Da Silva</v>
          </cell>
          <cell r="B6271">
            <v>37013646</v>
          </cell>
          <cell r="C6271">
            <v>20055946</v>
          </cell>
          <cell r="D6271">
            <v>45139</v>
          </cell>
        </row>
        <row r="6272">
          <cell r="A6272" t="str">
            <v>Helio Rodrigues da Silva</v>
          </cell>
          <cell r="B6272">
            <v>37013649</v>
          </cell>
          <cell r="C6272">
            <v>20055949</v>
          </cell>
          <cell r="D6272">
            <v>45139</v>
          </cell>
        </row>
        <row r="6273">
          <cell r="A6273" t="str">
            <v>Barbara Soares Tomazini</v>
          </cell>
          <cell r="B6273">
            <v>37004667</v>
          </cell>
          <cell r="C6273">
            <v>20008363</v>
          </cell>
          <cell r="D6273">
            <v>44046</v>
          </cell>
        </row>
        <row r="6274">
          <cell r="A6274" t="str">
            <v>Edson Henrique da Silva Alves</v>
          </cell>
          <cell r="B6274">
            <v>37013666</v>
          </cell>
          <cell r="C6274">
            <v>20056210</v>
          </cell>
          <cell r="D6274">
            <v>45125</v>
          </cell>
        </row>
        <row r="6275">
          <cell r="A6275" t="str">
            <v>Antonio Negreiro Da Silva Junior</v>
          </cell>
          <cell r="B6275">
            <v>37013669</v>
          </cell>
          <cell r="C6275">
            <v>20056213</v>
          </cell>
          <cell r="D6275">
            <v>45139</v>
          </cell>
        </row>
        <row r="6276">
          <cell r="A6276" t="str">
            <v>Alcides Vilela Filho</v>
          </cell>
          <cell r="B6276">
            <v>37013672</v>
          </cell>
          <cell r="C6276">
            <v>20056235</v>
          </cell>
          <cell r="D6276">
            <v>45125</v>
          </cell>
        </row>
        <row r="6277">
          <cell r="A6277" t="str">
            <v>Thais Paccola Minetto</v>
          </cell>
          <cell r="B6277">
            <v>37013681</v>
          </cell>
          <cell r="C6277">
            <v>20056244</v>
          </cell>
          <cell r="D6277">
            <v>45139</v>
          </cell>
        </row>
        <row r="6278">
          <cell r="A6278" t="str">
            <v>Rafael Rodrigo Flacetto</v>
          </cell>
          <cell r="B6278">
            <v>37013688</v>
          </cell>
          <cell r="C6278">
            <v>20056251</v>
          </cell>
          <cell r="D6278">
            <v>45139</v>
          </cell>
        </row>
        <row r="6279">
          <cell r="A6279" t="str">
            <v>Silas Gregorio Pereira dos Santos</v>
          </cell>
          <cell r="B6279">
            <v>37013689</v>
          </cell>
          <cell r="C6279">
            <v>20056252</v>
          </cell>
          <cell r="D6279">
            <v>45139</v>
          </cell>
        </row>
        <row r="6280">
          <cell r="A6280" t="str">
            <v>Edivan Dos Santos Pereira</v>
          </cell>
          <cell r="B6280">
            <v>37013699</v>
          </cell>
          <cell r="C6280">
            <v>20056281</v>
          </cell>
          <cell r="D6280">
            <v>45139</v>
          </cell>
        </row>
        <row r="6281">
          <cell r="A6281" t="str">
            <v>Eder Aparecido De Oliveira</v>
          </cell>
          <cell r="B6281">
            <v>37013700</v>
          </cell>
          <cell r="C6281">
            <v>20056282</v>
          </cell>
          <cell r="D6281">
            <v>45139</v>
          </cell>
        </row>
        <row r="6282">
          <cell r="A6282" t="str">
            <v>Wanielly Martins Ferreira Ferreira</v>
          </cell>
          <cell r="B6282">
            <v>37013708</v>
          </cell>
          <cell r="C6282">
            <v>20056290</v>
          </cell>
          <cell r="D6282">
            <v>45139</v>
          </cell>
        </row>
        <row r="6283">
          <cell r="A6283" t="str">
            <v>Maria Lopes Martins Avelar</v>
          </cell>
          <cell r="B6283">
            <v>37013707</v>
          </cell>
          <cell r="C6283">
            <v>20056289</v>
          </cell>
          <cell r="D6283">
            <v>45139</v>
          </cell>
        </row>
        <row r="6284">
          <cell r="A6284" t="str">
            <v>Alex Varanda Da Silva</v>
          </cell>
          <cell r="B6284">
            <v>37013717</v>
          </cell>
          <cell r="C6284">
            <v>20056312</v>
          </cell>
          <cell r="D6284">
            <v>45153</v>
          </cell>
        </row>
        <row r="6285">
          <cell r="A6285" t="str">
            <v>Kaique De Oliveira Fernandes Da Silva</v>
          </cell>
          <cell r="B6285">
            <v>37013714</v>
          </cell>
          <cell r="C6285">
            <v>20056309</v>
          </cell>
          <cell r="D6285">
            <v>45146</v>
          </cell>
        </row>
        <row r="6286">
          <cell r="A6286" t="str">
            <v>Renato da Silva Vogado</v>
          </cell>
          <cell r="B6286">
            <v>37013725</v>
          </cell>
          <cell r="C6286">
            <v>20056320</v>
          </cell>
          <cell r="D6286">
            <v>45139</v>
          </cell>
        </row>
        <row r="6287">
          <cell r="A6287" t="str">
            <v>Bruno Vinicius Cirino</v>
          </cell>
          <cell r="B6287">
            <v>37013743</v>
          </cell>
          <cell r="C6287">
            <v>20056338</v>
          </cell>
          <cell r="D6287">
            <v>45139</v>
          </cell>
        </row>
        <row r="6288">
          <cell r="A6288" t="str">
            <v>Carlos Ervino Zillmer Junior</v>
          </cell>
          <cell r="B6288">
            <v>37013750</v>
          </cell>
          <cell r="C6288">
            <v>20056385</v>
          </cell>
          <cell r="D6288">
            <v>45153</v>
          </cell>
        </row>
        <row r="6289">
          <cell r="A6289" t="str">
            <v>Guilherme Jose Lopes Goncales</v>
          </cell>
          <cell r="B6289">
            <v>37013770</v>
          </cell>
          <cell r="C6289">
            <v>20056389</v>
          </cell>
          <cell r="D6289">
            <v>45139</v>
          </cell>
        </row>
        <row r="6290">
          <cell r="A6290" t="str">
            <v>Teylor Felipe Lopes Araujo</v>
          </cell>
          <cell r="B6290">
            <v>37013752</v>
          </cell>
          <cell r="C6290">
            <v>20056387</v>
          </cell>
          <cell r="D6290">
            <v>45153</v>
          </cell>
        </row>
        <row r="6291">
          <cell r="A6291" t="str">
            <v>Isadora Alves Silva</v>
          </cell>
          <cell r="B6291">
            <v>37013756</v>
          </cell>
          <cell r="C6291">
            <v>20056391</v>
          </cell>
          <cell r="D6291">
            <v>45139</v>
          </cell>
        </row>
        <row r="6292">
          <cell r="A6292" t="str">
            <v>Maira Cristina Thome</v>
          </cell>
          <cell r="B6292">
            <v>37013775</v>
          </cell>
          <cell r="C6292">
            <v>20056426</v>
          </cell>
          <cell r="D6292">
            <v>45139</v>
          </cell>
        </row>
        <row r="6293">
          <cell r="A6293" t="str">
            <v>Gladiston Eduardo Maximiano Brasilio</v>
          </cell>
          <cell r="B6293">
            <v>37013783</v>
          </cell>
          <cell r="C6293">
            <v>20056434</v>
          </cell>
          <cell r="D6293">
            <v>45139</v>
          </cell>
        </row>
        <row r="6294">
          <cell r="A6294" t="str">
            <v>Eder Martimiano Lopes</v>
          </cell>
          <cell r="B6294">
            <v>37013779</v>
          </cell>
          <cell r="C6294">
            <v>20056430</v>
          </cell>
          <cell r="D6294">
            <v>45139</v>
          </cell>
        </row>
        <row r="6295">
          <cell r="A6295" t="str">
            <v>Aparecido Aluizio Da Silva</v>
          </cell>
          <cell r="B6295">
            <v>37013780</v>
          </cell>
          <cell r="C6295">
            <v>20056431</v>
          </cell>
          <cell r="D6295">
            <v>45139</v>
          </cell>
        </row>
        <row r="6296">
          <cell r="A6296" t="str">
            <v>Adao Jose Da Silva</v>
          </cell>
          <cell r="B6296">
            <v>37013790</v>
          </cell>
          <cell r="C6296">
            <v>20056441</v>
          </cell>
          <cell r="D6296">
            <v>45139</v>
          </cell>
        </row>
        <row r="6297">
          <cell r="A6297" t="str">
            <v>Washington Crisostomo</v>
          </cell>
          <cell r="B6297">
            <v>37013800</v>
          </cell>
          <cell r="C6297">
            <v>20056462</v>
          </cell>
          <cell r="D6297">
            <v>45139</v>
          </cell>
        </row>
        <row r="6298">
          <cell r="A6298" t="str">
            <v>Donizete Do Nascimento</v>
          </cell>
          <cell r="B6298">
            <v>37013803</v>
          </cell>
          <cell r="C6298">
            <v>20056489</v>
          </cell>
          <cell r="D6298">
            <v>45146</v>
          </cell>
        </row>
        <row r="6299">
          <cell r="A6299" t="str">
            <v>Eduardo Alves dos Santos Ribeiro</v>
          </cell>
          <cell r="B6299">
            <v>37013815</v>
          </cell>
          <cell r="C6299">
            <v>20056501</v>
          </cell>
          <cell r="D6299">
            <v>45146</v>
          </cell>
        </row>
        <row r="6300">
          <cell r="A6300" t="str">
            <v>Matheus Vidal Meirelles de Freitas</v>
          </cell>
          <cell r="B6300">
            <v>37013834</v>
          </cell>
          <cell r="C6300">
            <v>20056791</v>
          </cell>
          <cell r="D6300">
            <v>45146</v>
          </cell>
        </row>
        <row r="6301">
          <cell r="A6301" t="str">
            <v>Renato Nunes Lopes</v>
          </cell>
          <cell r="B6301">
            <v>37013837</v>
          </cell>
          <cell r="C6301">
            <v>20056794</v>
          </cell>
          <cell r="D6301">
            <v>45160</v>
          </cell>
        </row>
        <row r="6302">
          <cell r="A6302" t="str">
            <v>Alessandro Melo</v>
          </cell>
          <cell r="B6302">
            <v>37002977</v>
          </cell>
          <cell r="C6302">
            <v>15008548</v>
          </cell>
          <cell r="D6302">
            <v>43535</v>
          </cell>
        </row>
        <row r="6303">
          <cell r="A6303" t="str">
            <v>Leandro da Silva Horn</v>
          </cell>
          <cell r="B6303">
            <v>37013846</v>
          </cell>
          <cell r="C6303">
            <v>20056979</v>
          </cell>
          <cell r="D6303">
            <v>45146</v>
          </cell>
        </row>
        <row r="6304">
          <cell r="A6304" t="str">
            <v>Marcos Foizzer</v>
          </cell>
          <cell r="B6304">
            <v>37013853</v>
          </cell>
          <cell r="C6304">
            <v>20056986</v>
          </cell>
          <cell r="D6304">
            <v>45146</v>
          </cell>
        </row>
        <row r="6305">
          <cell r="A6305" t="str">
            <v>Emerson Pinto Dos Reis</v>
          </cell>
          <cell r="B6305">
            <v>37013854</v>
          </cell>
          <cell r="C6305">
            <v>20056987</v>
          </cell>
          <cell r="D6305">
            <v>45146</v>
          </cell>
        </row>
        <row r="6306">
          <cell r="A6306" t="str">
            <v>Danilo De Oliveira</v>
          </cell>
          <cell r="B6306">
            <v>37013855</v>
          </cell>
          <cell r="C6306">
            <v>20056988</v>
          </cell>
          <cell r="D6306">
            <v>45146</v>
          </cell>
        </row>
        <row r="6307">
          <cell r="A6307" t="str">
            <v>Edirlei Gonzales de Almeida</v>
          </cell>
          <cell r="B6307">
            <v>37013877</v>
          </cell>
          <cell r="C6307">
            <v>20057010</v>
          </cell>
          <cell r="D6307">
            <v>45146</v>
          </cell>
        </row>
        <row r="6308">
          <cell r="A6308" t="str">
            <v>Vinicius Fernando De Oliveira</v>
          </cell>
          <cell r="B6308">
            <v>37013881</v>
          </cell>
          <cell r="C6308">
            <v>20057040</v>
          </cell>
          <cell r="D6308">
            <v>45146</v>
          </cell>
        </row>
        <row r="6309">
          <cell r="A6309" t="str">
            <v>Jose Roberto Siqueira</v>
          </cell>
          <cell r="B6309">
            <v>37013883</v>
          </cell>
          <cell r="C6309">
            <v>20057042</v>
          </cell>
          <cell r="D6309">
            <v>45146</v>
          </cell>
        </row>
        <row r="6310">
          <cell r="A6310" t="str">
            <v>Ivan Henrique Brito Dos Santos</v>
          </cell>
          <cell r="B6310">
            <v>37013900</v>
          </cell>
          <cell r="C6310">
            <v>20057059</v>
          </cell>
          <cell r="D6310">
            <v>45146</v>
          </cell>
        </row>
        <row r="6311">
          <cell r="A6311" t="str">
            <v>Tiago Marinho Correa</v>
          </cell>
          <cell r="B6311">
            <v>37013891</v>
          </cell>
          <cell r="C6311">
            <v>20057050</v>
          </cell>
          <cell r="D6311">
            <v>45146</v>
          </cell>
        </row>
        <row r="6312">
          <cell r="A6312" t="str">
            <v>Andrea Cristina Degliesposti de Oliveira Buscariolo</v>
          </cell>
          <cell r="B6312">
            <v>37013895</v>
          </cell>
          <cell r="C6312">
            <v>20057054</v>
          </cell>
          <cell r="D6312">
            <v>45146</v>
          </cell>
        </row>
        <row r="6313">
          <cell r="A6313" t="str">
            <v>Matheus Henrique Da Silva</v>
          </cell>
          <cell r="B6313">
            <v>37006562</v>
          </cell>
          <cell r="C6313">
            <v>20018137</v>
          </cell>
          <cell r="D6313">
            <v>44473</v>
          </cell>
        </row>
        <row r="6314">
          <cell r="A6314" t="str">
            <v>Wellington Dos Santos Silva</v>
          </cell>
          <cell r="B6314">
            <v>37008886</v>
          </cell>
          <cell r="C6314">
            <v>20035555</v>
          </cell>
          <cell r="D6314">
            <v>44777</v>
          </cell>
        </row>
        <row r="6315">
          <cell r="A6315" t="str">
            <v>Maria Eduarda Santana Bernardo</v>
          </cell>
          <cell r="B6315">
            <v>37007765</v>
          </cell>
          <cell r="C6315">
            <v>20026048</v>
          </cell>
          <cell r="D6315">
            <v>44704</v>
          </cell>
        </row>
        <row r="6316">
          <cell r="A6316" t="str">
            <v>Victor Alexandre Carlotti Rosario</v>
          </cell>
          <cell r="B6316">
            <v>37009557</v>
          </cell>
          <cell r="C6316">
            <v>20035235</v>
          </cell>
          <cell r="D6316">
            <v>44837</v>
          </cell>
        </row>
        <row r="6317">
          <cell r="A6317" t="str">
            <v>Sara Rodrigues Da Silva Suzanna</v>
          </cell>
          <cell r="B6317">
            <v>37007725</v>
          </cell>
          <cell r="C6317">
            <v>20025804</v>
          </cell>
          <cell r="D6317">
            <v>44697</v>
          </cell>
        </row>
        <row r="6318">
          <cell r="A6318" t="str">
            <v>Odair Donizetti Izidoro Da Silva</v>
          </cell>
          <cell r="B6318">
            <v>37005669</v>
          </cell>
          <cell r="C6318">
            <v>20013965</v>
          </cell>
          <cell r="D6318">
            <v>44329</v>
          </cell>
        </row>
        <row r="6319">
          <cell r="A6319" t="str">
            <v>Renata Karina De Sene</v>
          </cell>
          <cell r="B6319">
            <v>37000699</v>
          </cell>
          <cell r="C6319">
            <v>20009827</v>
          </cell>
          <cell r="D6319">
            <v>39769</v>
          </cell>
        </row>
        <row r="6320">
          <cell r="A6320" t="str">
            <v>Janaina Scotton</v>
          </cell>
          <cell r="B6320">
            <v>37005136</v>
          </cell>
          <cell r="C6320">
            <v>20011601</v>
          </cell>
          <cell r="D6320">
            <v>44207</v>
          </cell>
        </row>
        <row r="6321">
          <cell r="A6321" t="str">
            <v>Andre Do Nascimento Neri</v>
          </cell>
          <cell r="B6321">
            <v>37007971</v>
          </cell>
          <cell r="C6321">
            <v>20026097</v>
          </cell>
          <cell r="D6321">
            <v>44713</v>
          </cell>
        </row>
        <row r="6322">
          <cell r="A6322" t="str">
            <v>Lucas De Souza Da Costa</v>
          </cell>
          <cell r="B6322">
            <v>37009324</v>
          </cell>
          <cell r="C6322">
            <v>20033025</v>
          </cell>
          <cell r="D6322">
            <v>44809</v>
          </cell>
        </row>
        <row r="6323">
          <cell r="A6323" t="str">
            <v>Nayara Basili Abade</v>
          </cell>
          <cell r="B6323">
            <v>37009535</v>
          </cell>
          <cell r="C6323">
            <v>20035241</v>
          </cell>
          <cell r="D6323">
            <v>44837</v>
          </cell>
        </row>
        <row r="6324">
          <cell r="A6324" t="str">
            <v>Fabricio Silva De Souza</v>
          </cell>
          <cell r="B6324">
            <v>37008903</v>
          </cell>
          <cell r="C6324">
            <v>20032431</v>
          </cell>
          <cell r="D6324">
            <v>44777</v>
          </cell>
        </row>
        <row r="6325">
          <cell r="A6325" t="str">
            <v>Carlos Eduardo Homem De Mello</v>
          </cell>
          <cell r="B6325">
            <v>37007100</v>
          </cell>
          <cell r="C6325">
            <v>20022910</v>
          </cell>
          <cell r="D6325">
            <v>44599</v>
          </cell>
        </row>
        <row r="6326">
          <cell r="A6326" t="str">
            <v>Emerson Micadei Lima</v>
          </cell>
          <cell r="B6326">
            <v>37003118</v>
          </cell>
          <cell r="C6326">
            <v>20009006</v>
          </cell>
          <cell r="D6326">
            <v>43577</v>
          </cell>
        </row>
        <row r="6327">
          <cell r="A6327" t="str">
            <v>Carlos Eduardo Custodio</v>
          </cell>
          <cell r="B6327">
            <v>37013970</v>
          </cell>
          <cell r="C6327">
            <v>20057452</v>
          </cell>
          <cell r="D6327">
            <v>45153</v>
          </cell>
        </row>
        <row r="6328">
          <cell r="A6328" t="str">
            <v>Thays Fernandes Cordeiro De Farias</v>
          </cell>
          <cell r="B6328">
            <v>37013976</v>
          </cell>
          <cell r="C6328">
            <v>20057458</v>
          </cell>
          <cell r="D6328">
            <v>45153</v>
          </cell>
        </row>
        <row r="6329">
          <cell r="A6329" t="str">
            <v>Jose Ronaldo Perico</v>
          </cell>
          <cell r="B6329">
            <v>37013996</v>
          </cell>
          <cell r="C6329">
            <v>20057486</v>
          </cell>
          <cell r="D6329">
            <v>45153</v>
          </cell>
        </row>
        <row r="6330">
          <cell r="A6330" t="str">
            <v>Debora Cristina Ferreira de Andrade</v>
          </cell>
          <cell r="B6330">
            <v>37014017</v>
          </cell>
          <cell r="C6330">
            <v>20057507</v>
          </cell>
          <cell r="D6330">
            <v>45153</v>
          </cell>
        </row>
        <row r="6331">
          <cell r="A6331" t="str">
            <v>Ananias Simplicio Carneiro</v>
          </cell>
          <cell r="B6331">
            <v>37007977</v>
          </cell>
          <cell r="C6331">
            <v>20026129</v>
          </cell>
          <cell r="D6331">
            <v>44713</v>
          </cell>
        </row>
        <row r="6332">
          <cell r="A6332" t="str">
            <v>Marcos Jose De Rezende</v>
          </cell>
          <cell r="B6332">
            <v>37007700</v>
          </cell>
          <cell r="C6332">
            <v>20025769</v>
          </cell>
          <cell r="D6332">
            <v>44690</v>
          </cell>
        </row>
        <row r="6333">
          <cell r="A6333" t="str">
            <v>Reginaldo Brancaglione</v>
          </cell>
          <cell r="B6333">
            <v>37006704</v>
          </cell>
          <cell r="C6333">
            <v>20018778</v>
          </cell>
          <cell r="D6333">
            <v>44508</v>
          </cell>
        </row>
        <row r="6334">
          <cell r="A6334" t="str">
            <v>Emanuel Francisco Da Silva</v>
          </cell>
          <cell r="B6334">
            <v>37009191</v>
          </cell>
          <cell r="C6334">
            <v>20031920</v>
          </cell>
          <cell r="D6334">
            <v>44795</v>
          </cell>
        </row>
        <row r="6335">
          <cell r="A6335" t="str">
            <v>Joao Vitor Marques Neto</v>
          </cell>
          <cell r="B6335">
            <v>37007745</v>
          </cell>
          <cell r="C6335">
            <v>20025836</v>
          </cell>
          <cell r="D6335">
            <v>44697</v>
          </cell>
        </row>
        <row r="6336">
          <cell r="A6336" t="str">
            <v>Ramon Leite Ferreira</v>
          </cell>
          <cell r="B6336">
            <v>37007643</v>
          </cell>
          <cell r="C6336">
            <v>20025663</v>
          </cell>
          <cell r="D6336">
            <v>44683</v>
          </cell>
        </row>
        <row r="6337">
          <cell r="A6337" t="str">
            <v>Andre Albercon</v>
          </cell>
          <cell r="B6337">
            <v>37009208</v>
          </cell>
          <cell r="C6337">
            <v>20031939</v>
          </cell>
          <cell r="D6337">
            <v>44795</v>
          </cell>
        </row>
        <row r="6338">
          <cell r="A6338" t="str">
            <v>Ricardo Bezerra Da Silva</v>
          </cell>
          <cell r="B6338">
            <v>37005702</v>
          </cell>
          <cell r="C6338">
            <v>20014401</v>
          </cell>
          <cell r="D6338">
            <v>44333</v>
          </cell>
        </row>
        <row r="6339">
          <cell r="A6339" t="str">
            <v>Emerson Eduardo Costa</v>
          </cell>
          <cell r="B6339">
            <v>37007325</v>
          </cell>
          <cell r="C6339">
            <v>20023694</v>
          </cell>
          <cell r="D6339">
            <v>44634</v>
          </cell>
        </row>
        <row r="6340">
          <cell r="A6340" t="str">
            <v>Diego Amaral Silva</v>
          </cell>
          <cell r="B6340">
            <v>37007284</v>
          </cell>
          <cell r="C6340">
            <v>20023656</v>
          </cell>
          <cell r="D6340">
            <v>44634</v>
          </cell>
        </row>
        <row r="6341">
          <cell r="A6341" t="str">
            <v>Mizaeli Ferreira Dos Santos</v>
          </cell>
          <cell r="B6341">
            <v>37004952</v>
          </cell>
          <cell r="C6341">
            <v>20008451</v>
          </cell>
          <cell r="D6341">
            <v>44109</v>
          </cell>
        </row>
        <row r="6342">
          <cell r="A6342" t="str">
            <v>Mario Tellis Neto</v>
          </cell>
          <cell r="B6342">
            <v>37009971</v>
          </cell>
          <cell r="C6342">
            <v>20037489</v>
          </cell>
          <cell r="D6342">
            <v>44872</v>
          </cell>
        </row>
        <row r="6343">
          <cell r="A6343" t="str">
            <v>Josiane Farias Ferreira</v>
          </cell>
          <cell r="B6343">
            <v>37014031</v>
          </cell>
          <cell r="C6343">
            <v>20057638</v>
          </cell>
          <cell r="D6343">
            <v>45153</v>
          </cell>
        </row>
        <row r="6344">
          <cell r="A6344" t="str">
            <v>Bruna Pereira Pinto</v>
          </cell>
          <cell r="B6344">
            <v>37011707</v>
          </cell>
          <cell r="C6344">
            <v>20045231</v>
          </cell>
          <cell r="D6344">
            <v>44998</v>
          </cell>
        </row>
        <row r="6345">
          <cell r="A6345" t="str">
            <v>Lorena Dos Santos Souza</v>
          </cell>
          <cell r="B6345">
            <v>37009001</v>
          </cell>
          <cell r="C6345">
            <v>20030994</v>
          </cell>
          <cell r="D6345">
            <v>44781</v>
          </cell>
        </row>
        <row r="6346">
          <cell r="A6346" t="str">
            <v>Claudio Rodrigo Gracioli</v>
          </cell>
          <cell r="B6346">
            <v>37014035</v>
          </cell>
          <cell r="C6346">
            <v>20057721</v>
          </cell>
          <cell r="D6346">
            <v>45160</v>
          </cell>
        </row>
        <row r="6347">
          <cell r="A6347" t="str">
            <v>Rogerio Bernardo da Silva</v>
          </cell>
          <cell r="B6347">
            <v>37014036</v>
          </cell>
          <cell r="C6347">
            <v>20057722</v>
          </cell>
          <cell r="D6347">
            <v>45160</v>
          </cell>
        </row>
        <row r="6348">
          <cell r="A6348" t="str">
            <v>Alexsandro Rodrigo Dos Santos</v>
          </cell>
          <cell r="B6348">
            <v>37014045</v>
          </cell>
          <cell r="C6348">
            <v>20057731</v>
          </cell>
          <cell r="D6348">
            <v>45160</v>
          </cell>
        </row>
        <row r="6349">
          <cell r="A6349" t="str">
            <v>Kellen Amanda Bertanha</v>
          </cell>
          <cell r="B6349">
            <v>37014048</v>
          </cell>
          <cell r="C6349">
            <v>20057734</v>
          </cell>
          <cell r="D6349">
            <v>45160</v>
          </cell>
        </row>
        <row r="6350">
          <cell r="A6350" t="str">
            <v>Camila Vitoria Inacio Camargo</v>
          </cell>
          <cell r="B6350">
            <v>37010383</v>
          </cell>
          <cell r="C6350">
            <v>20039265</v>
          </cell>
          <cell r="D6350">
            <v>44900</v>
          </cell>
        </row>
        <row r="6351">
          <cell r="A6351" t="str">
            <v>Eliana Barbosa de Oliveira Pereira</v>
          </cell>
          <cell r="B6351">
            <v>37011742</v>
          </cell>
          <cell r="C6351">
            <v>20045291</v>
          </cell>
          <cell r="D6351">
            <v>44998</v>
          </cell>
        </row>
        <row r="6352">
          <cell r="A6352" t="str">
            <v>Celia Oliveira De Souza</v>
          </cell>
          <cell r="B6352">
            <v>37011632</v>
          </cell>
          <cell r="C6352">
            <v>20044803</v>
          </cell>
          <cell r="D6352">
            <v>44998</v>
          </cell>
        </row>
        <row r="6353">
          <cell r="A6353" t="str">
            <v>Ewerton Aparecido Ruiz Sanches</v>
          </cell>
          <cell r="B6353">
            <v>37014062</v>
          </cell>
          <cell r="C6353">
            <v>20057778</v>
          </cell>
          <cell r="D6353">
            <v>45160</v>
          </cell>
        </row>
        <row r="6354">
          <cell r="A6354" t="str">
            <v>Rosangela Ines da Silva Paschoal</v>
          </cell>
          <cell r="B6354">
            <v>37014064</v>
          </cell>
          <cell r="C6354">
            <v>20057780</v>
          </cell>
          <cell r="D6354">
            <v>45160</v>
          </cell>
        </row>
        <row r="6355">
          <cell r="A6355" t="str">
            <v>Cristina Rosa De Jesus Vieira</v>
          </cell>
          <cell r="B6355">
            <v>37014078</v>
          </cell>
          <cell r="C6355">
            <v>20057814</v>
          </cell>
          <cell r="D6355">
            <v>45160</v>
          </cell>
        </row>
        <row r="6356">
          <cell r="A6356" t="str">
            <v>Marcia Rodrigues Ramos</v>
          </cell>
          <cell r="B6356">
            <v>37014091</v>
          </cell>
          <cell r="C6356">
            <v>20057827</v>
          </cell>
          <cell r="D6356">
            <v>45160</v>
          </cell>
        </row>
        <row r="6357">
          <cell r="A6357" t="str">
            <v>Antonia iara Holanda Azevedo</v>
          </cell>
          <cell r="B6357">
            <v>37014093</v>
          </cell>
          <cell r="C6357">
            <v>20057829</v>
          </cell>
          <cell r="D6357">
            <v>45160</v>
          </cell>
        </row>
        <row r="6358">
          <cell r="A6358" t="str">
            <v>Aline de Paula</v>
          </cell>
          <cell r="B6358">
            <v>37014095</v>
          </cell>
          <cell r="C6358">
            <v>20057831</v>
          </cell>
          <cell r="D6358">
            <v>45160</v>
          </cell>
        </row>
        <row r="6359">
          <cell r="A6359" t="str">
            <v>Murillo Mattos Milanezi</v>
          </cell>
          <cell r="B6359">
            <v>37014089</v>
          </cell>
          <cell r="C6359">
            <v>20057825</v>
          </cell>
          <cell r="D6359">
            <v>45160</v>
          </cell>
        </row>
        <row r="6360">
          <cell r="A6360" t="str">
            <v>Elida Tamara Oliveira</v>
          </cell>
          <cell r="B6360">
            <v>37014116</v>
          </cell>
          <cell r="C6360">
            <v>20057880</v>
          </cell>
          <cell r="D6360">
            <v>45160</v>
          </cell>
        </row>
        <row r="6361">
          <cell r="A6361" t="str">
            <v>Pedro Hiago Ton</v>
          </cell>
          <cell r="B6361">
            <v>37014121</v>
          </cell>
          <cell r="C6361">
            <v>20057885</v>
          </cell>
          <cell r="D6361">
            <v>45160</v>
          </cell>
        </row>
        <row r="6362">
          <cell r="A6362" t="str">
            <v>Caroline Braga Vieira Soares</v>
          </cell>
          <cell r="B6362">
            <v>37014128</v>
          </cell>
          <cell r="C6362">
            <v>20057892</v>
          </cell>
          <cell r="D6362">
            <v>45160</v>
          </cell>
        </row>
        <row r="6363">
          <cell r="A6363" t="str">
            <v>Luciano Alves Da Silva</v>
          </cell>
          <cell r="B6363">
            <v>37014163</v>
          </cell>
          <cell r="C6363">
            <v>20057964</v>
          </cell>
          <cell r="D6363">
            <v>45174</v>
          </cell>
        </row>
        <row r="6364">
          <cell r="A6364" t="str">
            <v>Cleudivan Mesquita Sousa</v>
          </cell>
          <cell r="B6364">
            <v>37014183</v>
          </cell>
          <cell r="C6364">
            <v>20057982</v>
          </cell>
          <cell r="D6364">
            <v>45174</v>
          </cell>
        </row>
        <row r="6365">
          <cell r="A6365" t="str">
            <v>Tawan Da Silva</v>
          </cell>
          <cell r="B6365">
            <v>37014205</v>
          </cell>
          <cell r="C6365">
            <v>20058025</v>
          </cell>
          <cell r="D6365">
            <v>45174</v>
          </cell>
        </row>
        <row r="6366">
          <cell r="A6366" t="str">
            <v>Matheus Francisco Dos Santos Bernardes</v>
          </cell>
          <cell r="B6366">
            <v>37007232</v>
          </cell>
          <cell r="C6366">
            <v>20022774</v>
          </cell>
          <cell r="D6366">
            <v>44622</v>
          </cell>
        </row>
        <row r="6367">
          <cell r="A6367" t="str">
            <v>Lucas Raphael da Silva</v>
          </cell>
          <cell r="B6367">
            <v>37008793</v>
          </cell>
          <cell r="C6367">
            <v>20036621</v>
          </cell>
          <cell r="D6367">
            <v>44774</v>
          </cell>
        </row>
        <row r="6368">
          <cell r="A6368" t="str">
            <v>John Hebert Da Silva Almeida</v>
          </cell>
          <cell r="B6368">
            <v>37008451</v>
          </cell>
          <cell r="C6368">
            <v>20020891</v>
          </cell>
          <cell r="D6368">
            <v>44594</v>
          </cell>
        </row>
        <row r="6369">
          <cell r="A6369" t="str">
            <v>Gilson De Almeida Pereira</v>
          </cell>
          <cell r="B6369">
            <v>37007775</v>
          </cell>
          <cell r="C6369">
            <v>20026099</v>
          </cell>
          <cell r="D6369">
            <v>44704</v>
          </cell>
        </row>
        <row r="6370">
          <cell r="A6370" t="str">
            <v>Socrates Luiz Dos Santos</v>
          </cell>
          <cell r="B6370">
            <v>37009201</v>
          </cell>
          <cell r="C6370">
            <v>20032234</v>
          </cell>
          <cell r="D6370">
            <v>44795</v>
          </cell>
        </row>
        <row r="6371">
          <cell r="A6371" t="str">
            <v>Rogerio Prudencio Ferreira</v>
          </cell>
          <cell r="B6371">
            <v>37008911</v>
          </cell>
          <cell r="C6371">
            <v>20031909</v>
          </cell>
          <cell r="D6371">
            <v>44777</v>
          </cell>
        </row>
        <row r="6372">
          <cell r="A6372" t="str">
            <v>Aldair Jose Da Silva</v>
          </cell>
          <cell r="B6372">
            <v>37014249</v>
          </cell>
          <cell r="C6372">
            <v>20058311</v>
          </cell>
          <cell r="D6372">
            <v>45174</v>
          </cell>
        </row>
        <row r="6373">
          <cell r="A6373" t="str">
            <v>Bruno Daniel Alves Atanazio</v>
          </cell>
          <cell r="B6373">
            <v>37014266</v>
          </cell>
          <cell r="C6373">
            <v>20058345</v>
          </cell>
          <cell r="D6373">
            <v>45174</v>
          </cell>
        </row>
        <row r="6374">
          <cell r="A6374" t="str">
            <v>Gabriel Augusto Antunes</v>
          </cell>
          <cell r="B6374">
            <v>37014328</v>
          </cell>
          <cell r="C6374">
            <v>20058429</v>
          </cell>
          <cell r="D6374">
            <v>45174</v>
          </cell>
        </row>
        <row r="6375">
          <cell r="A6375" t="str">
            <v>Dulcineia Maria de Almeida</v>
          </cell>
          <cell r="B6375">
            <v>37014341</v>
          </cell>
          <cell r="C6375">
            <v>20058476</v>
          </cell>
          <cell r="D6375">
            <v>45174</v>
          </cell>
        </row>
        <row r="6376">
          <cell r="A6376" t="str">
            <v>Julio Cesar Roversi De Oliveira</v>
          </cell>
          <cell r="B6376">
            <v>37014356</v>
          </cell>
          <cell r="C6376">
            <v>20058491</v>
          </cell>
          <cell r="D6376">
            <v>45174</v>
          </cell>
        </row>
        <row r="6377">
          <cell r="A6377" t="str">
            <v>Cileide Rodrigues de Lima</v>
          </cell>
          <cell r="B6377">
            <v>37014357</v>
          </cell>
          <cell r="C6377">
            <v>20058492</v>
          </cell>
          <cell r="D6377">
            <v>45174</v>
          </cell>
        </row>
        <row r="6378">
          <cell r="A6378" t="str">
            <v>Regiane Cristina Pinto</v>
          </cell>
          <cell r="B6378">
            <v>37014363</v>
          </cell>
          <cell r="C6378">
            <v>20058498</v>
          </cell>
          <cell r="D6378">
            <v>45174</v>
          </cell>
        </row>
        <row r="6379">
          <cell r="A6379" t="str">
            <v>Hemerclis Santos Vitorio</v>
          </cell>
          <cell r="B6379">
            <v>37014365</v>
          </cell>
          <cell r="C6379">
            <v>20058500</v>
          </cell>
          <cell r="D6379">
            <v>45174</v>
          </cell>
        </row>
        <row r="6380">
          <cell r="A6380" t="str">
            <v>Maria Aparecida da Silva Souza</v>
          </cell>
          <cell r="B6380">
            <v>37014360</v>
          </cell>
          <cell r="C6380">
            <v>20058495</v>
          </cell>
          <cell r="D6380">
            <v>45174</v>
          </cell>
        </row>
        <row r="6381">
          <cell r="A6381" t="str">
            <v>Charles Diego Vaz</v>
          </cell>
          <cell r="B6381">
            <v>37014373</v>
          </cell>
          <cell r="C6381">
            <v>20058508</v>
          </cell>
          <cell r="D6381">
            <v>45174</v>
          </cell>
        </row>
        <row r="6382">
          <cell r="A6382" t="str">
            <v>Suelem Marcolino Honorio</v>
          </cell>
          <cell r="B6382">
            <v>37014374</v>
          </cell>
          <cell r="C6382">
            <v>20058509</v>
          </cell>
          <cell r="D6382">
            <v>45174</v>
          </cell>
        </row>
        <row r="6383">
          <cell r="A6383" t="str">
            <v>Thales De Souza Teixeira</v>
          </cell>
          <cell r="B6383">
            <v>37014391</v>
          </cell>
          <cell r="C6383">
            <v>20058527</v>
          </cell>
          <cell r="D6383">
            <v>45174</v>
          </cell>
        </row>
        <row r="6384">
          <cell r="A6384" t="str">
            <v>Angela Maria Fernandes Reche</v>
          </cell>
          <cell r="B6384">
            <v>37014392</v>
          </cell>
          <cell r="C6384">
            <v>20058528</v>
          </cell>
          <cell r="D6384">
            <v>45174</v>
          </cell>
        </row>
        <row r="6385">
          <cell r="A6385" t="str">
            <v>Ronaldo Domingues De Oliveira</v>
          </cell>
          <cell r="B6385">
            <v>37014381</v>
          </cell>
          <cell r="C6385">
            <v>20058516</v>
          </cell>
          <cell r="D6385">
            <v>45174</v>
          </cell>
        </row>
        <row r="6386">
          <cell r="A6386" t="str">
            <v>Eduardo kauan Oliveira Menino</v>
          </cell>
          <cell r="B6386">
            <v>37014387</v>
          </cell>
          <cell r="C6386">
            <v>20058522</v>
          </cell>
          <cell r="D6386">
            <v>45174</v>
          </cell>
        </row>
        <row r="6387">
          <cell r="A6387" t="str">
            <v>Amanda Paraba Gonçalves</v>
          </cell>
          <cell r="B6387">
            <v>37014403</v>
          </cell>
          <cell r="C6387">
            <v>20058555</v>
          </cell>
          <cell r="D6387">
            <v>45174</v>
          </cell>
        </row>
        <row r="6388">
          <cell r="A6388" t="str">
            <v>Gabriel Lourenco Da Luz</v>
          </cell>
          <cell r="B6388">
            <v>37014417</v>
          </cell>
          <cell r="C6388">
            <v>20058569</v>
          </cell>
          <cell r="D6388">
            <v>45174</v>
          </cell>
        </row>
        <row r="6389">
          <cell r="A6389" t="str">
            <v>Gabriel Godoy Julio</v>
          </cell>
          <cell r="B6389">
            <v>37014418</v>
          </cell>
          <cell r="C6389">
            <v>20058570</v>
          </cell>
          <cell r="D6389">
            <v>45174</v>
          </cell>
        </row>
        <row r="6390">
          <cell r="A6390" t="str">
            <v>Felipe de Cavalho de Oliveira</v>
          </cell>
          <cell r="B6390">
            <v>37014422</v>
          </cell>
          <cell r="C6390">
            <v>20058574</v>
          </cell>
          <cell r="D6390">
            <v>45174</v>
          </cell>
        </row>
        <row r="6391">
          <cell r="A6391" t="str">
            <v>Renifran Silva De Jesus</v>
          </cell>
          <cell r="B6391">
            <v>37014435</v>
          </cell>
          <cell r="C6391">
            <v>20058807</v>
          </cell>
          <cell r="D6391">
            <v>45181</v>
          </cell>
        </row>
        <row r="6392">
          <cell r="A6392" t="str">
            <v>Wagner Fernando Catto</v>
          </cell>
          <cell r="B6392">
            <v>37014449</v>
          </cell>
          <cell r="C6392">
            <v>20058848</v>
          </cell>
          <cell r="D6392">
            <v>45180</v>
          </cell>
        </row>
        <row r="6393">
          <cell r="A6393" t="str">
            <v>Francisco Das Chagas Carvalho Rodrigues</v>
          </cell>
          <cell r="B6393">
            <v>37014438</v>
          </cell>
          <cell r="C6393">
            <v>20058837</v>
          </cell>
          <cell r="D6393">
            <v>45180</v>
          </cell>
        </row>
        <row r="6394">
          <cell r="A6394" t="str">
            <v>Ezequiel Miranda Dos Santos</v>
          </cell>
          <cell r="B6394">
            <v>37014463</v>
          </cell>
          <cell r="C6394">
            <v>20058877</v>
          </cell>
          <cell r="D6394">
            <v>45180</v>
          </cell>
        </row>
        <row r="6395">
          <cell r="A6395" t="str">
            <v>Hugo Zavarize Rodrigues</v>
          </cell>
          <cell r="B6395">
            <v>37014467</v>
          </cell>
          <cell r="C6395">
            <v>20058881</v>
          </cell>
          <cell r="D6395">
            <v>45181</v>
          </cell>
        </row>
        <row r="6396">
          <cell r="A6396" t="str">
            <v>Mateus Henrique Lopes</v>
          </cell>
          <cell r="B6396">
            <v>37014464</v>
          </cell>
          <cell r="C6396">
            <v>20058878</v>
          </cell>
          <cell r="D6396">
            <v>45180</v>
          </cell>
        </row>
        <row r="6397">
          <cell r="A6397" t="str">
            <v>Alessandro Maximo Goncalves</v>
          </cell>
          <cell r="B6397">
            <v>37003017</v>
          </cell>
          <cell r="C6397">
            <v>20008528</v>
          </cell>
          <cell r="D6397">
            <v>43542</v>
          </cell>
        </row>
        <row r="6398">
          <cell r="A6398" t="str">
            <v>Isabela Goncalves Da Silva</v>
          </cell>
          <cell r="B6398">
            <v>37006337</v>
          </cell>
          <cell r="C6398">
            <v>20017064</v>
          </cell>
          <cell r="D6398">
            <v>44447</v>
          </cell>
        </row>
        <row r="6399">
          <cell r="A6399" t="str">
            <v>Edson Inacio Ferreira</v>
          </cell>
          <cell r="B6399">
            <v>37014570</v>
          </cell>
          <cell r="C6399">
            <v>20059034</v>
          </cell>
          <cell r="D6399">
            <v>45180</v>
          </cell>
        </row>
        <row r="6400">
          <cell r="A6400" t="str">
            <v>Daniel Cabral Gaudencio</v>
          </cell>
          <cell r="B6400">
            <v>37014503</v>
          </cell>
          <cell r="C6400">
            <v>20059015</v>
          </cell>
          <cell r="D6400">
            <v>45181</v>
          </cell>
        </row>
        <row r="6401">
          <cell r="A6401" t="str">
            <v>Alexandre Donizete Da Silva De Oliveira</v>
          </cell>
          <cell r="B6401">
            <v>37014510</v>
          </cell>
          <cell r="C6401">
            <v>20059036</v>
          </cell>
          <cell r="D6401">
            <v>45181</v>
          </cell>
        </row>
        <row r="6402">
          <cell r="A6402" t="str">
            <v>Edilson Fabrício da Silva</v>
          </cell>
          <cell r="B6402">
            <v>37014516</v>
          </cell>
          <cell r="C6402">
            <v>20059042</v>
          </cell>
          <cell r="D6402">
            <v>45180</v>
          </cell>
        </row>
        <row r="6403">
          <cell r="A6403" t="str">
            <v>Renato Napoleao Zanetti Neto</v>
          </cell>
          <cell r="B6403">
            <v>37014504</v>
          </cell>
          <cell r="C6403">
            <v>20059020</v>
          </cell>
          <cell r="D6403">
            <v>45181</v>
          </cell>
        </row>
        <row r="6404">
          <cell r="A6404" t="str">
            <v>Rogerio Aparecido Ortolon</v>
          </cell>
          <cell r="B6404">
            <v>37014514</v>
          </cell>
          <cell r="C6404">
            <v>20059040</v>
          </cell>
          <cell r="D6404">
            <v>45180</v>
          </cell>
        </row>
        <row r="6405">
          <cell r="A6405" t="str">
            <v>Jacy Alves Da Silva</v>
          </cell>
          <cell r="B6405">
            <v>37014528</v>
          </cell>
          <cell r="C6405">
            <v>20059054</v>
          </cell>
          <cell r="D6405">
            <v>45181</v>
          </cell>
        </row>
        <row r="6406">
          <cell r="A6406" t="str">
            <v>Evandro Augusto Benedito</v>
          </cell>
          <cell r="B6406">
            <v>37014526</v>
          </cell>
          <cell r="C6406">
            <v>20059052</v>
          </cell>
          <cell r="D6406">
            <v>45181</v>
          </cell>
        </row>
        <row r="6407">
          <cell r="A6407" t="str">
            <v>Thiago De Padua</v>
          </cell>
          <cell r="B6407">
            <v>37014538</v>
          </cell>
          <cell r="C6407">
            <v>20059109</v>
          </cell>
          <cell r="D6407">
            <v>45180</v>
          </cell>
        </row>
        <row r="6408">
          <cell r="A6408" t="str">
            <v>Rogerio Alexandre Sacca</v>
          </cell>
          <cell r="B6408">
            <v>37014550</v>
          </cell>
          <cell r="C6408">
            <v>20059121</v>
          </cell>
          <cell r="D6408">
            <v>45181</v>
          </cell>
        </row>
        <row r="6409">
          <cell r="A6409" t="str">
            <v>Robson Carlos Ferreira</v>
          </cell>
          <cell r="B6409">
            <v>37014551</v>
          </cell>
          <cell r="C6409">
            <v>20059122</v>
          </cell>
          <cell r="D6409">
            <v>45181</v>
          </cell>
        </row>
        <row r="6410">
          <cell r="A6410" t="str">
            <v>William Pereira Da Silva</v>
          </cell>
          <cell r="B6410">
            <v>37014548</v>
          </cell>
          <cell r="C6410">
            <v>20059119</v>
          </cell>
          <cell r="D6410">
            <v>45181</v>
          </cell>
        </row>
        <row r="6411">
          <cell r="A6411" t="str">
            <v>Alan Rodrigo Pontes De Andrade</v>
          </cell>
          <cell r="B6411">
            <v>37014557</v>
          </cell>
          <cell r="C6411">
            <v>20059128</v>
          </cell>
          <cell r="D6411">
            <v>45181</v>
          </cell>
        </row>
        <row r="6412">
          <cell r="A6412" t="str">
            <v>Gabriel Marin Lee</v>
          </cell>
          <cell r="B6412">
            <v>37014562</v>
          </cell>
          <cell r="C6412">
            <v>20059133</v>
          </cell>
          <cell r="D6412">
            <v>45181</v>
          </cell>
        </row>
        <row r="6413">
          <cell r="A6413" t="str">
            <v>Elias De Assis Simao</v>
          </cell>
          <cell r="B6413">
            <v>37005345</v>
          </cell>
          <cell r="C6413">
            <v>20014458</v>
          </cell>
          <cell r="D6413">
            <v>44235</v>
          </cell>
        </row>
        <row r="6414">
          <cell r="A6414" t="str">
            <v>Ana Paula Assis Goncalves</v>
          </cell>
          <cell r="B6414">
            <v>37000797</v>
          </cell>
          <cell r="C6414">
            <v>20008587</v>
          </cell>
          <cell r="D6414">
            <v>40441</v>
          </cell>
        </row>
        <row r="6415">
          <cell r="A6415" t="str">
            <v>Jose Henrique Belizario</v>
          </cell>
          <cell r="B6415">
            <v>37007976</v>
          </cell>
          <cell r="C6415">
            <v>20026128</v>
          </cell>
          <cell r="D6415">
            <v>44713</v>
          </cell>
        </row>
        <row r="6416">
          <cell r="A6416" t="str">
            <v>JOSIMAR DA SILVA</v>
          </cell>
          <cell r="B6416">
            <v>37014583</v>
          </cell>
          <cell r="C6416">
            <v>20059171</v>
          </cell>
          <cell r="D6416">
            <v>45188</v>
          </cell>
        </row>
        <row r="6417">
          <cell r="A6417" t="str">
            <v>Bruno Santos Pimentel</v>
          </cell>
          <cell r="B6417">
            <v>37003012</v>
          </cell>
          <cell r="C6417">
            <v>12004715</v>
          </cell>
          <cell r="D6417">
            <v>43536</v>
          </cell>
        </row>
        <row r="6418">
          <cell r="A6418" t="str">
            <v>Juan Bruno Eduardo De Moura</v>
          </cell>
          <cell r="B6418">
            <v>37014584</v>
          </cell>
          <cell r="C6418">
            <v>20059172</v>
          </cell>
          <cell r="D6418">
            <v>45188</v>
          </cell>
        </row>
        <row r="6419">
          <cell r="A6419" t="str">
            <v>Luis Rogerio Da Silva</v>
          </cell>
          <cell r="B6419">
            <v>37014586</v>
          </cell>
          <cell r="C6419">
            <v>20059174</v>
          </cell>
          <cell r="D6419">
            <v>45188</v>
          </cell>
        </row>
        <row r="6420">
          <cell r="A6420" t="str">
            <v>Leandro Narciso Aureliano</v>
          </cell>
          <cell r="B6420">
            <v>37014585</v>
          </cell>
          <cell r="C6420">
            <v>20059173</v>
          </cell>
          <cell r="D6420">
            <v>45188</v>
          </cell>
        </row>
        <row r="6421">
          <cell r="A6421" t="str">
            <v>Monique Bento Gimenes</v>
          </cell>
          <cell r="B6421">
            <v>37014589</v>
          </cell>
          <cell r="C6421">
            <v>20059177</v>
          </cell>
          <cell r="D6421">
            <v>45188</v>
          </cell>
        </row>
        <row r="6422">
          <cell r="A6422" t="str">
            <v>Edson Vaz Cardoso Moreira</v>
          </cell>
          <cell r="B6422">
            <v>37014592</v>
          </cell>
          <cell r="C6422">
            <v>20059180</v>
          </cell>
          <cell r="D6422">
            <v>45188</v>
          </cell>
        </row>
        <row r="6423">
          <cell r="A6423" t="str">
            <v>Vanderlei Aparecido Reinhold</v>
          </cell>
          <cell r="B6423">
            <v>37014587</v>
          </cell>
          <cell r="C6423">
            <v>20059175</v>
          </cell>
          <cell r="D6423">
            <v>45188</v>
          </cell>
        </row>
        <row r="6424">
          <cell r="A6424" t="str">
            <v>Bruna Pereira De Souza</v>
          </cell>
          <cell r="B6424">
            <v>37014593</v>
          </cell>
          <cell r="C6424">
            <v>20059181</v>
          </cell>
          <cell r="D6424">
            <v>45188</v>
          </cell>
        </row>
        <row r="6425">
          <cell r="A6425" t="str">
            <v>Marcos Roberto Cabral Vieira</v>
          </cell>
          <cell r="B6425">
            <v>37014597</v>
          </cell>
          <cell r="C6425">
            <v>20059185</v>
          </cell>
          <cell r="D6425">
            <v>45188</v>
          </cell>
        </row>
        <row r="6426">
          <cell r="A6426" t="str">
            <v>Wesley Patrick Ferreira</v>
          </cell>
          <cell r="B6426">
            <v>37014609</v>
          </cell>
          <cell r="C6426">
            <v>20059197</v>
          </cell>
          <cell r="D6426">
            <v>45188</v>
          </cell>
        </row>
        <row r="6427">
          <cell r="A6427" t="str">
            <v>Anderson Luis Da Silva</v>
          </cell>
          <cell r="B6427">
            <v>37004870</v>
          </cell>
          <cell r="C6427">
            <v>20008134</v>
          </cell>
          <cell r="D6427">
            <v>44090</v>
          </cell>
        </row>
        <row r="6428">
          <cell r="A6428" t="str">
            <v>Jose Roberto Ferreira Da Rocha</v>
          </cell>
          <cell r="B6428">
            <v>37014618</v>
          </cell>
          <cell r="C6428">
            <v>20059357</v>
          </cell>
          <cell r="D6428">
            <v>45188</v>
          </cell>
        </row>
        <row r="6429">
          <cell r="A6429" t="str">
            <v>Rogerio Aparecido Guerra</v>
          </cell>
          <cell r="B6429">
            <v>37014630</v>
          </cell>
          <cell r="C6429">
            <v>20059369</v>
          </cell>
          <cell r="D6429">
            <v>45188</v>
          </cell>
        </row>
        <row r="6430">
          <cell r="A6430" t="str">
            <v>Marivaldo Almeida Martins</v>
          </cell>
          <cell r="B6430">
            <v>37014632</v>
          </cell>
          <cell r="C6430">
            <v>20059371</v>
          </cell>
          <cell r="D6430">
            <v>45188</v>
          </cell>
        </row>
        <row r="6431">
          <cell r="A6431" t="str">
            <v>Marcio Giovani Goncalves</v>
          </cell>
          <cell r="B6431">
            <v>37014624</v>
          </cell>
          <cell r="C6431">
            <v>20059363</v>
          </cell>
          <cell r="D6431">
            <v>45188</v>
          </cell>
        </row>
        <row r="6432">
          <cell r="A6432" t="str">
            <v>Angelica Picolloto Almeida</v>
          </cell>
          <cell r="B6432">
            <v>37014636</v>
          </cell>
          <cell r="C6432">
            <v>20059375</v>
          </cell>
          <cell r="D6432">
            <v>45188</v>
          </cell>
        </row>
        <row r="6433">
          <cell r="A6433" t="str">
            <v>Antonio Gabriel Braga Ribeiro</v>
          </cell>
          <cell r="B6433">
            <v>37014610</v>
          </cell>
          <cell r="C6433">
            <v>20011053</v>
          </cell>
          <cell r="D6433">
            <v>45188</v>
          </cell>
        </row>
        <row r="6434">
          <cell r="A6434" t="str">
            <v>Sueli Aparecida Jesus C. de Souza</v>
          </cell>
          <cell r="B6434">
            <v>37014642</v>
          </cell>
          <cell r="C6434">
            <v>20059381</v>
          </cell>
          <cell r="D6434">
            <v>45188</v>
          </cell>
        </row>
        <row r="6435">
          <cell r="A6435" t="str">
            <v>AGNALDO GOMES DE OLIVEIRA</v>
          </cell>
          <cell r="B6435">
            <v>37014649</v>
          </cell>
          <cell r="C6435">
            <v>20059388</v>
          </cell>
          <cell r="D6435">
            <v>45188</v>
          </cell>
        </row>
        <row r="6436">
          <cell r="A6436" t="str">
            <v>Cleusa De Godoy Picolloto</v>
          </cell>
          <cell r="B6436">
            <v>37014657</v>
          </cell>
          <cell r="C6436">
            <v>20059396</v>
          </cell>
          <cell r="D6436">
            <v>45188</v>
          </cell>
        </row>
        <row r="6437">
          <cell r="A6437" t="str">
            <v>Cleide De Souza Garcia</v>
          </cell>
          <cell r="B6437">
            <v>37014658</v>
          </cell>
          <cell r="C6437">
            <v>20059397</v>
          </cell>
          <cell r="D6437">
            <v>45188</v>
          </cell>
        </row>
        <row r="6438">
          <cell r="A6438" t="str">
            <v>Adilson Vicente</v>
          </cell>
          <cell r="B6438">
            <v>37014663</v>
          </cell>
          <cell r="C6438">
            <v>20059402</v>
          </cell>
          <cell r="D6438">
            <v>45188</v>
          </cell>
        </row>
        <row r="6439">
          <cell r="A6439" t="str">
            <v>Django Neck Oliveira</v>
          </cell>
          <cell r="B6439">
            <v>37014667</v>
          </cell>
          <cell r="C6439">
            <v>20059406</v>
          </cell>
          <cell r="D6439">
            <v>45188</v>
          </cell>
        </row>
        <row r="6440">
          <cell r="A6440" t="str">
            <v>Guilherme Aparecido Moreira</v>
          </cell>
          <cell r="B6440">
            <v>37014672</v>
          </cell>
          <cell r="C6440">
            <v>20059431</v>
          </cell>
          <cell r="D6440">
            <v>45188</v>
          </cell>
        </row>
        <row r="6441">
          <cell r="A6441" t="str">
            <v>Fabiano Parizoto</v>
          </cell>
          <cell r="B6441">
            <v>37014674</v>
          </cell>
          <cell r="C6441">
            <v>20059433</v>
          </cell>
          <cell r="D6441">
            <v>45188</v>
          </cell>
        </row>
        <row r="6442">
          <cell r="A6442" t="str">
            <v>Antonio Alessandro Santos Araujo</v>
          </cell>
          <cell r="B6442">
            <v>37014673</v>
          </cell>
          <cell r="C6442">
            <v>20059432</v>
          </cell>
          <cell r="D6442">
            <v>45188</v>
          </cell>
        </row>
        <row r="6443">
          <cell r="A6443" t="str">
            <v>Sirlene Lulu</v>
          </cell>
          <cell r="B6443">
            <v>37014677</v>
          </cell>
          <cell r="C6443">
            <v>20059436</v>
          </cell>
          <cell r="D6443">
            <v>45188</v>
          </cell>
        </row>
        <row r="6444">
          <cell r="A6444" t="str">
            <v>Iara Cristina Ferreira De Souza</v>
          </cell>
          <cell r="B6444">
            <v>37014685</v>
          </cell>
          <cell r="C6444">
            <v>20059444</v>
          </cell>
          <cell r="D6444">
            <v>45188</v>
          </cell>
        </row>
        <row r="6445">
          <cell r="A6445" t="str">
            <v>Erlis Celso Martins</v>
          </cell>
          <cell r="B6445">
            <v>37014681</v>
          </cell>
          <cell r="C6445">
            <v>20059440</v>
          </cell>
          <cell r="D6445">
            <v>45188</v>
          </cell>
        </row>
        <row r="6446">
          <cell r="A6446" t="str">
            <v>Josilene Felipe Santiago</v>
          </cell>
          <cell r="B6446">
            <v>37014709</v>
          </cell>
          <cell r="C6446">
            <v>20059673</v>
          </cell>
          <cell r="D6446">
            <v>45188</v>
          </cell>
        </row>
        <row r="6447">
          <cell r="A6447" t="str">
            <v>Gabriela Costa Leda</v>
          </cell>
          <cell r="B6447">
            <v>37014710</v>
          </cell>
          <cell r="C6447">
            <v>20009148</v>
          </cell>
          <cell r="D6447">
            <v>45188</v>
          </cell>
        </row>
        <row r="6448">
          <cell r="A6448" t="str">
            <v>JOSIVAM LUIZ DA SILVA</v>
          </cell>
          <cell r="B6448">
            <v>37014711</v>
          </cell>
          <cell r="C6448">
            <v>20059708</v>
          </cell>
          <cell r="D6448">
            <v>45202</v>
          </cell>
        </row>
        <row r="6449">
          <cell r="A6449" t="str">
            <v>Tiago Pereira Da Silva</v>
          </cell>
          <cell r="B6449">
            <v>37014714</v>
          </cell>
          <cell r="C6449">
            <v>20059712</v>
          </cell>
          <cell r="D6449">
            <v>45202</v>
          </cell>
        </row>
        <row r="6450">
          <cell r="A6450" t="str">
            <v>Julio Moraes Silvestre</v>
          </cell>
          <cell r="B6450">
            <v>37001899</v>
          </cell>
          <cell r="C6450">
            <v>15007923</v>
          </cell>
          <cell r="D6450">
            <v>42780</v>
          </cell>
        </row>
        <row r="6451">
          <cell r="A6451" t="str">
            <v>Tiago De Lima Goncalves</v>
          </cell>
          <cell r="B6451">
            <v>37007465</v>
          </cell>
          <cell r="C6451">
            <v>20025527</v>
          </cell>
          <cell r="D6451">
            <v>44669</v>
          </cell>
        </row>
        <row r="6452">
          <cell r="A6452" t="str">
            <v>Flavio Da Silva Canassa</v>
          </cell>
          <cell r="B6452">
            <v>37014717</v>
          </cell>
          <cell r="C6452">
            <v>20059715</v>
          </cell>
          <cell r="D6452">
            <v>45202</v>
          </cell>
        </row>
        <row r="6453">
          <cell r="A6453" t="str">
            <v>Ademir Ribeiro</v>
          </cell>
          <cell r="B6453">
            <v>37014721</v>
          </cell>
          <cell r="C6453">
            <v>20059781</v>
          </cell>
          <cell r="D6453">
            <v>45202</v>
          </cell>
        </row>
        <row r="6454">
          <cell r="A6454" t="str">
            <v>SIDNEY APARECIDO MUNHOZ</v>
          </cell>
          <cell r="B6454">
            <v>37014718</v>
          </cell>
          <cell r="C6454">
            <v>20059778</v>
          </cell>
          <cell r="D6454">
            <v>45202</v>
          </cell>
        </row>
        <row r="6455">
          <cell r="A6455" t="str">
            <v>Daniel Marco Andre</v>
          </cell>
          <cell r="B6455">
            <v>37014727</v>
          </cell>
          <cell r="C6455">
            <v>20059787</v>
          </cell>
          <cell r="D6455">
            <v>45202</v>
          </cell>
        </row>
        <row r="6456">
          <cell r="A6456" t="str">
            <v>Eduardo Rodrigues Martinucho</v>
          </cell>
          <cell r="B6456">
            <v>37014737</v>
          </cell>
          <cell r="C6456">
            <v>20059821</v>
          </cell>
          <cell r="D6456">
            <v>45202</v>
          </cell>
        </row>
        <row r="6457">
          <cell r="A6457" t="str">
            <v>David Biancao</v>
          </cell>
          <cell r="B6457">
            <v>37014739</v>
          </cell>
          <cell r="C6457">
            <v>20059823</v>
          </cell>
          <cell r="D6457">
            <v>45202</v>
          </cell>
        </row>
        <row r="6458">
          <cell r="A6458" t="str">
            <v>Gilmar Barboza</v>
          </cell>
          <cell r="B6458">
            <v>37014744</v>
          </cell>
          <cell r="C6458">
            <v>20059911</v>
          </cell>
          <cell r="D6458">
            <v>45202</v>
          </cell>
        </row>
        <row r="6459">
          <cell r="A6459" t="str">
            <v>Denis Carlos Bueno De Lima</v>
          </cell>
          <cell r="B6459">
            <v>37014747</v>
          </cell>
          <cell r="C6459">
            <v>20059914</v>
          </cell>
          <cell r="D6459">
            <v>45202</v>
          </cell>
        </row>
        <row r="6460">
          <cell r="A6460" t="str">
            <v>Vanderleia Aparecida Da Fonseca</v>
          </cell>
          <cell r="B6460">
            <v>37014748</v>
          </cell>
          <cell r="C6460">
            <v>20059915</v>
          </cell>
          <cell r="D6460">
            <v>45202</v>
          </cell>
        </row>
        <row r="6461">
          <cell r="A6461" t="str">
            <v>Eder Antonio Franco</v>
          </cell>
          <cell r="B6461">
            <v>37014752</v>
          </cell>
          <cell r="C6461">
            <v>20059919</v>
          </cell>
          <cell r="D6461">
            <v>45202</v>
          </cell>
        </row>
        <row r="6462">
          <cell r="A6462" t="str">
            <v>Jose Luiz De Oliveira</v>
          </cell>
          <cell r="B6462">
            <v>37014756</v>
          </cell>
          <cell r="C6462">
            <v>20059961</v>
          </cell>
          <cell r="D6462">
            <v>45202</v>
          </cell>
        </row>
        <row r="6463">
          <cell r="A6463" t="str">
            <v>Angelica Cristina Conceicao</v>
          </cell>
          <cell r="B6463">
            <v>37014757</v>
          </cell>
          <cell r="C6463">
            <v>20059962</v>
          </cell>
          <cell r="D6463">
            <v>45202</v>
          </cell>
        </row>
        <row r="6464">
          <cell r="A6464" t="str">
            <v>Luis Gustavo Boato</v>
          </cell>
          <cell r="B6464">
            <v>37014758</v>
          </cell>
          <cell r="C6464">
            <v>20059963</v>
          </cell>
          <cell r="D6464">
            <v>45209</v>
          </cell>
        </row>
        <row r="6465">
          <cell r="A6465" t="str">
            <v>Carlos Alberto Dums Junior</v>
          </cell>
          <cell r="B6465">
            <v>37014764</v>
          </cell>
          <cell r="C6465">
            <v>20059969</v>
          </cell>
          <cell r="D6465">
            <v>45202</v>
          </cell>
        </row>
        <row r="6466">
          <cell r="A6466" t="str">
            <v>Tiago Gozzi Oliveira</v>
          </cell>
          <cell r="B6466">
            <v>37010768</v>
          </cell>
          <cell r="C6466">
            <v>20040994</v>
          </cell>
          <cell r="D6466">
            <v>44935</v>
          </cell>
        </row>
        <row r="6467">
          <cell r="A6467" t="str">
            <v>Rodolfo Jorge Ferraz da Silva</v>
          </cell>
          <cell r="B6467">
            <v>37014762</v>
          </cell>
          <cell r="C6467">
            <v>20059967</v>
          </cell>
          <cell r="D6467">
            <v>45202</v>
          </cell>
        </row>
        <row r="6468">
          <cell r="A6468" t="str">
            <v>Moises Da Silva Colin</v>
          </cell>
          <cell r="B6468">
            <v>37014773</v>
          </cell>
          <cell r="C6468">
            <v>20059978</v>
          </cell>
          <cell r="D6468">
            <v>45202</v>
          </cell>
        </row>
        <row r="6469">
          <cell r="A6469" t="str">
            <v>Andre Ramos</v>
          </cell>
          <cell r="B6469">
            <v>37014775</v>
          </cell>
          <cell r="C6469">
            <v>20059980</v>
          </cell>
          <cell r="D6469">
            <v>45202</v>
          </cell>
        </row>
        <row r="6470">
          <cell r="A6470" t="str">
            <v>Jose Luis Barbosa De Oliveira</v>
          </cell>
          <cell r="B6470">
            <v>37014776</v>
          </cell>
          <cell r="C6470">
            <v>20059981</v>
          </cell>
          <cell r="D6470">
            <v>45202</v>
          </cell>
        </row>
        <row r="6471">
          <cell r="A6471" t="str">
            <v>Jose Otacilio Evangelista</v>
          </cell>
          <cell r="B6471">
            <v>37014779</v>
          </cell>
          <cell r="C6471">
            <v>20059996</v>
          </cell>
          <cell r="D6471">
            <v>45202</v>
          </cell>
        </row>
        <row r="6472">
          <cell r="A6472" t="str">
            <v>Silvana Jose da Assuncao</v>
          </cell>
          <cell r="B6472">
            <v>37014780</v>
          </cell>
          <cell r="C6472">
            <v>20059997</v>
          </cell>
          <cell r="D6472">
            <v>45202</v>
          </cell>
        </row>
        <row r="6473">
          <cell r="A6473" t="str">
            <v>Antonio Carlos Paixao</v>
          </cell>
          <cell r="B6473">
            <v>37014790</v>
          </cell>
          <cell r="C6473">
            <v>20060007</v>
          </cell>
          <cell r="D6473">
            <v>45202</v>
          </cell>
        </row>
        <row r="6474">
          <cell r="A6474" t="str">
            <v>Reginaldo Moreira Primo</v>
          </cell>
          <cell r="B6474">
            <v>37014791</v>
          </cell>
          <cell r="C6474">
            <v>20060008</v>
          </cell>
          <cell r="D6474">
            <v>45202</v>
          </cell>
        </row>
        <row r="6475">
          <cell r="A6475" t="str">
            <v>Sergio Aparecido Coutinho</v>
          </cell>
          <cell r="B6475">
            <v>37014802</v>
          </cell>
          <cell r="C6475">
            <v>20060066</v>
          </cell>
          <cell r="D6475">
            <v>45202</v>
          </cell>
        </row>
        <row r="6476">
          <cell r="A6476" t="str">
            <v>Robson Ferreira da Silva</v>
          </cell>
          <cell r="B6476">
            <v>37014800</v>
          </cell>
          <cell r="C6476">
            <v>20060064</v>
          </cell>
          <cell r="D6476">
            <v>45202</v>
          </cell>
        </row>
        <row r="6477">
          <cell r="A6477" t="str">
            <v>Fabiano Jorge Estevam de Faria</v>
          </cell>
          <cell r="B6477">
            <v>37014807</v>
          </cell>
          <cell r="C6477">
            <v>20060071</v>
          </cell>
          <cell r="D6477">
            <v>45202</v>
          </cell>
        </row>
        <row r="6478">
          <cell r="A6478" t="str">
            <v>Guilherme Antonio De Oliveira</v>
          </cell>
          <cell r="B6478">
            <v>37014811</v>
          </cell>
          <cell r="C6478">
            <v>20060075</v>
          </cell>
          <cell r="D6478">
            <v>45202</v>
          </cell>
        </row>
        <row r="6479">
          <cell r="A6479" t="str">
            <v>Cicero Lima Chaves</v>
          </cell>
          <cell r="B6479">
            <v>37014823</v>
          </cell>
          <cell r="C6479">
            <v>20060073</v>
          </cell>
          <cell r="D6479">
            <v>45202</v>
          </cell>
        </row>
        <row r="6480">
          <cell r="A6480" t="str">
            <v>Karicio Carlos de Queiroz Silva</v>
          </cell>
          <cell r="B6480">
            <v>37014816</v>
          </cell>
          <cell r="C6480">
            <v>20060080</v>
          </cell>
          <cell r="D6480">
            <v>45202</v>
          </cell>
        </row>
        <row r="6481">
          <cell r="A6481" t="str">
            <v>Leonardo Sisconeto Meuren</v>
          </cell>
          <cell r="B6481">
            <v>37014817</v>
          </cell>
          <cell r="C6481">
            <v>20060081</v>
          </cell>
          <cell r="D6481">
            <v>45202</v>
          </cell>
        </row>
        <row r="6482">
          <cell r="A6482" t="str">
            <v>Renato Daniel Ruiz</v>
          </cell>
          <cell r="B6482">
            <v>37014818</v>
          </cell>
          <cell r="C6482">
            <v>20060082</v>
          </cell>
          <cell r="D6482">
            <v>45202</v>
          </cell>
        </row>
        <row r="6483">
          <cell r="A6483" t="str">
            <v>Wagner Pereira da Silva</v>
          </cell>
          <cell r="B6483">
            <v>37014812</v>
          </cell>
          <cell r="C6483">
            <v>20060076</v>
          </cell>
          <cell r="D6483">
            <v>45202</v>
          </cell>
        </row>
        <row r="6484">
          <cell r="A6484" t="str">
            <v>Jadeilson Sousa Barros</v>
          </cell>
          <cell r="B6484">
            <v>37014813</v>
          </cell>
          <cell r="C6484">
            <v>20060077</v>
          </cell>
          <cell r="D6484">
            <v>45202</v>
          </cell>
        </row>
        <row r="6485">
          <cell r="A6485" t="str">
            <v>Rafael Vinicius Fernandes</v>
          </cell>
          <cell r="B6485">
            <v>37014814</v>
          </cell>
          <cell r="C6485">
            <v>20060078</v>
          </cell>
          <cell r="D6485">
            <v>45202</v>
          </cell>
        </row>
        <row r="6486">
          <cell r="A6486" t="str">
            <v>Caroline Ribeiro Rodrigues</v>
          </cell>
          <cell r="B6486">
            <v>37014820</v>
          </cell>
          <cell r="C6486">
            <v>20060084</v>
          </cell>
          <cell r="D6486">
            <v>45202</v>
          </cell>
        </row>
        <row r="6487">
          <cell r="A6487" t="str">
            <v>Marcio Juliano Da Silva Oliveira</v>
          </cell>
          <cell r="B6487">
            <v>37014824</v>
          </cell>
          <cell r="C6487">
            <v>20060103</v>
          </cell>
          <cell r="D6487">
            <v>45202</v>
          </cell>
        </row>
        <row r="6488">
          <cell r="A6488" t="str">
            <v>Gilliard Lepinsck</v>
          </cell>
          <cell r="B6488">
            <v>37014825</v>
          </cell>
          <cell r="C6488">
            <v>20060104</v>
          </cell>
          <cell r="D6488">
            <v>45202</v>
          </cell>
        </row>
        <row r="6489">
          <cell r="A6489" t="str">
            <v>Vanderlei Aparecido De Lima</v>
          </cell>
          <cell r="B6489">
            <v>37014833</v>
          </cell>
          <cell r="C6489">
            <v>20060315</v>
          </cell>
          <cell r="D6489">
            <v>45209</v>
          </cell>
        </row>
        <row r="6490">
          <cell r="A6490" t="str">
            <v>Alan Junior Campos Silva</v>
          </cell>
          <cell r="B6490">
            <v>37014822</v>
          </cell>
          <cell r="C6490">
            <v>20035260</v>
          </cell>
          <cell r="D6490">
            <v>45209</v>
          </cell>
        </row>
        <row r="6491">
          <cell r="A6491" t="str">
            <v>Lucas Inoue Nascimento</v>
          </cell>
          <cell r="B6491">
            <v>37004653</v>
          </cell>
          <cell r="C6491">
            <v>20008211</v>
          </cell>
          <cell r="D6491">
            <v>44032</v>
          </cell>
        </row>
        <row r="6492">
          <cell r="A6492" t="str">
            <v>Erick Ronan Mendes Lima</v>
          </cell>
          <cell r="B6492">
            <v>37007137</v>
          </cell>
          <cell r="C6492">
            <v>20022941</v>
          </cell>
          <cell r="D6492">
            <v>44606</v>
          </cell>
        </row>
        <row r="6493">
          <cell r="A6493" t="str">
            <v>Felipe Rafael Da Silva Saes</v>
          </cell>
          <cell r="B6493">
            <v>37006588</v>
          </cell>
          <cell r="C6493">
            <v>20018161</v>
          </cell>
          <cell r="D6493">
            <v>44482</v>
          </cell>
        </row>
        <row r="6494">
          <cell r="A6494" t="str">
            <v>Jose Nilson Rodrigues Bonfim</v>
          </cell>
          <cell r="B6494">
            <v>37014854</v>
          </cell>
          <cell r="C6494">
            <v>20060404</v>
          </cell>
          <cell r="D6494">
            <v>45209</v>
          </cell>
        </row>
        <row r="6495">
          <cell r="A6495" t="str">
            <v>Jose Adelson De Carvalho</v>
          </cell>
          <cell r="B6495">
            <v>37014853</v>
          </cell>
          <cell r="C6495">
            <v>20060403</v>
          </cell>
          <cell r="D6495">
            <v>45209</v>
          </cell>
        </row>
        <row r="6496">
          <cell r="A6496" t="str">
            <v>Erisvan Barros da Silva</v>
          </cell>
          <cell r="B6496">
            <v>37014855</v>
          </cell>
          <cell r="C6496">
            <v>20060405</v>
          </cell>
          <cell r="D6496">
            <v>45209</v>
          </cell>
        </row>
        <row r="6497">
          <cell r="A6497" t="str">
            <v>Matheus Adriel Ferreira</v>
          </cell>
          <cell r="B6497">
            <v>37014865</v>
          </cell>
          <cell r="C6497">
            <v>20060446</v>
          </cell>
          <cell r="D6497">
            <v>45209</v>
          </cell>
        </row>
        <row r="6498">
          <cell r="A6498" t="str">
            <v>Alexandre Barcelos Lucas</v>
          </cell>
          <cell r="B6498">
            <v>37014872</v>
          </cell>
          <cell r="C6498">
            <v>20060453</v>
          </cell>
          <cell r="D6498">
            <v>45209</v>
          </cell>
        </row>
        <row r="6499">
          <cell r="A6499" t="str">
            <v>Maicon Rogerio Ramos</v>
          </cell>
          <cell r="B6499">
            <v>37014868</v>
          </cell>
          <cell r="C6499">
            <v>20060449</v>
          </cell>
          <cell r="D6499">
            <v>45209</v>
          </cell>
        </row>
        <row r="6500">
          <cell r="A6500" t="str">
            <v>Maicon Moreira do Nascimento</v>
          </cell>
          <cell r="B6500">
            <v>37014871</v>
          </cell>
          <cell r="C6500">
            <v>20060452</v>
          </cell>
          <cell r="D6500">
            <v>45209</v>
          </cell>
        </row>
        <row r="6501">
          <cell r="A6501" t="str">
            <v>Matheus Henrique Barbosa</v>
          </cell>
          <cell r="B6501">
            <v>37014874</v>
          </cell>
          <cell r="C6501">
            <v>20060455</v>
          </cell>
          <cell r="D6501">
            <v>45209</v>
          </cell>
        </row>
        <row r="6502">
          <cell r="A6502" t="str">
            <v>Anderson Souza Da Rocha</v>
          </cell>
          <cell r="B6502">
            <v>37008835</v>
          </cell>
          <cell r="C6502">
            <v>20036623</v>
          </cell>
          <cell r="D6502">
            <v>44777</v>
          </cell>
        </row>
        <row r="6503">
          <cell r="A6503" t="str">
            <v>BENEDITO APARECIDO LOPES</v>
          </cell>
          <cell r="B6503">
            <v>37014880</v>
          </cell>
          <cell r="C6503">
            <v>20060467</v>
          </cell>
          <cell r="D6503">
            <v>45209</v>
          </cell>
        </row>
        <row r="6504">
          <cell r="A6504" t="str">
            <v>Everton Geremias Luchini</v>
          </cell>
          <cell r="B6504">
            <v>37005964</v>
          </cell>
          <cell r="C6504">
            <v>20016767</v>
          </cell>
          <cell r="D6504">
            <v>44382</v>
          </cell>
        </row>
        <row r="6505">
          <cell r="A6505" t="str">
            <v>Guilherme Maia Dos Santos</v>
          </cell>
          <cell r="B6505">
            <v>37009826</v>
          </cell>
          <cell r="C6505">
            <v>20037105</v>
          </cell>
          <cell r="D6505">
            <v>44872</v>
          </cell>
        </row>
        <row r="6506">
          <cell r="A6506" t="str">
            <v>Rosana Ferreira de Souza</v>
          </cell>
          <cell r="B6506">
            <v>37011747</v>
          </cell>
          <cell r="C6506">
            <v>20045296</v>
          </cell>
          <cell r="D6506">
            <v>44998</v>
          </cell>
        </row>
        <row r="6507">
          <cell r="A6507" t="str">
            <v>Gabriela Cristiane Da Silva De Franca</v>
          </cell>
          <cell r="B6507">
            <v>37004622</v>
          </cell>
          <cell r="C6507">
            <v>20009149</v>
          </cell>
          <cell r="D6507">
            <v>44025</v>
          </cell>
        </row>
        <row r="6508">
          <cell r="A6508" t="str">
            <v>Henrique Mitsuo Nakagawa</v>
          </cell>
          <cell r="B6508">
            <v>37014882</v>
          </cell>
          <cell r="C6508">
            <v>20060469</v>
          </cell>
          <cell r="D6508">
            <v>45209</v>
          </cell>
        </row>
        <row r="6509">
          <cell r="A6509" t="str">
            <v>Gustavo Henrique Calandro De Oliveira Berling</v>
          </cell>
          <cell r="B6509">
            <v>37014875</v>
          </cell>
          <cell r="C6509">
            <v>20032396</v>
          </cell>
          <cell r="D6509">
            <v>45209</v>
          </cell>
        </row>
        <row r="6510">
          <cell r="A6510" t="str">
            <v>Jose Carlos De Oliveira</v>
          </cell>
          <cell r="B6510">
            <v>37014888</v>
          </cell>
          <cell r="C6510">
            <v>20060475</v>
          </cell>
          <cell r="D6510">
            <v>45209</v>
          </cell>
        </row>
        <row r="6511">
          <cell r="A6511" t="str">
            <v>Geisy Rocha Martins</v>
          </cell>
          <cell r="B6511">
            <v>37003088</v>
          </cell>
          <cell r="C6511">
            <v>20009155</v>
          </cell>
          <cell r="D6511">
            <v>43570</v>
          </cell>
        </row>
        <row r="6512">
          <cell r="A6512" t="str">
            <v>Luciano Da Silva Pereira</v>
          </cell>
          <cell r="B6512">
            <v>37008877</v>
          </cell>
          <cell r="C6512">
            <v>20035291</v>
          </cell>
          <cell r="D6512">
            <v>44777</v>
          </cell>
        </row>
        <row r="6513">
          <cell r="A6513" t="str">
            <v>Rosanja Fermino Da Silva</v>
          </cell>
          <cell r="B6513">
            <v>37004635</v>
          </cell>
          <cell r="C6513">
            <v>20008305</v>
          </cell>
          <cell r="D6513">
            <v>44025</v>
          </cell>
        </row>
        <row r="6514">
          <cell r="A6514" t="str">
            <v>Stephanie Antunes Barreto</v>
          </cell>
          <cell r="B6514">
            <v>37007741</v>
          </cell>
          <cell r="C6514">
            <v>20025829</v>
          </cell>
          <cell r="D6514">
            <v>44697</v>
          </cell>
        </row>
        <row r="6515">
          <cell r="A6515" t="str">
            <v>Messias Rodrigues Lins</v>
          </cell>
          <cell r="B6515">
            <v>37014928</v>
          </cell>
          <cell r="C6515">
            <v>20060491</v>
          </cell>
          <cell r="D6515">
            <v>45216</v>
          </cell>
        </row>
        <row r="6516">
          <cell r="A6516" t="str">
            <v>Ednaldo Jose Dos Santos</v>
          </cell>
          <cell r="B6516">
            <v>37014914</v>
          </cell>
          <cell r="C6516">
            <v>20060513</v>
          </cell>
          <cell r="D6516">
            <v>45209</v>
          </cell>
        </row>
        <row r="6517">
          <cell r="A6517" t="str">
            <v>Paulo Sergio Rodrigues</v>
          </cell>
          <cell r="B6517">
            <v>37014917</v>
          </cell>
          <cell r="C6517">
            <v>20060516</v>
          </cell>
          <cell r="D6517">
            <v>45209</v>
          </cell>
        </row>
        <row r="6518">
          <cell r="A6518" t="str">
            <v>Anderson Luiz Dos Santos</v>
          </cell>
          <cell r="B6518">
            <v>37014918</v>
          </cell>
          <cell r="C6518">
            <v>20060517</v>
          </cell>
          <cell r="D6518">
            <v>45209</v>
          </cell>
        </row>
        <row r="6519">
          <cell r="A6519" t="str">
            <v>Rodolfo Henrique Souza Silva</v>
          </cell>
          <cell r="B6519">
            <v>37014919</v>
          </cell>
          <cell r="C6519">
            <v>20060518</v>
          </cell>
          <cell r="D6519">
            <v>45209</v>
          </cell>
        </row>
        <row r="6520">
          <cell r="A6520" t="str">
            <v>Wemerson Ferreira Barros</v>
          </cell>
          <cell r="B6520">
            <v>37014913</v>
          </cell>
          <cell r="C6520">
            <v>20060512</v>
          </cell>
          <cell r="D6520">
            <v>45209</v>
          </cell>
        </row>
        <row r="6521">
          <cell r="A6521" t="str">
            <v>Adriano Aparecido Ramiro</v>
          </cell>
          <cell r="B6521">
            <v>37014921</v>
          </cell>
          <cell r="C6521">
            <v>20060520</v>
          </cell>
          <cell r="D6521">
            <v>45209</v>
          </cell>
        </row>
        <row r="6522">
          <cell r="A6522" t="str">
            <v>Wanderson Rafael Americo</v>
          </cell>
          <cell r="B6522">
            <v>37014922</v>
          </cell>
          <cell r="C6522">
            <v>20060521</v>
          </cell>
          <cell r="D6522">
            <v>45209</v>
          </cell>
        </row>
        <row r="6523">
          <cell r="A6523" t="str">
            <v>WELLINGTON AMARAL DE JESUS</v>
          </cell>
          <cell r="B6523">
            <v>37014927</v>
          </cell>
          <cell r="C6523">
            <v>20060527</v>
          </cell>
          <cell r="D6523">
            <v>45209</v>
          </cell>
        </row>
        <row r="6524">
          <cell r="A6524" t="str">
            <v>Amarildo Pereira Nunes</v>
          </cell>
          <cell r="B6524">
            <v>37014929</v>
          </cell>
          <cell r="C6524">
            <v>20060535</v>
          </cell>
          <cell r="D6524">
            <v>45216</v>
          </cell>
        </row>
        <row r="6525">
          <cell r="A6525" t="str">
            <v>Walter Jose de Souza Filho</v>
          </cell>
          <cell r="B6525">
            <v>37014936</v>
          </cell>
          <cell r="C6525">
            <v>20060542</v>
          </cell>
          <cell r="D6525">
            <v>45216</v>
          </cell>
        </row>
        <row r="6526">
          <cell r="A6526" t="str">
            <v>Alex Brandao Lopes</v>
          </cell>
          <cell r="B6526">
            <v>37014961</v>
          </cell>
          <cell r="C6526">
            <v>20060682</v>
          </cell>
          <cell r="D6526">
            <v>45216</v>
          </cell>
        </row>
        <row r="6527">
          <cell r="A6527" t="str">
            <v>Luiz Paulo Gimenes</v>
          </cell>
          <cell r="B6527">
            <v>37014968</v>
          </cell>
          <cell r="C6527">
            <v>20060689</v>
          </cell>
          <cell r="D6527">
            <v>45216</v>
          </cell>
        </row>
        <row r="6528">
          <cell r="A6528" t="str">
            <v>Camilla Didier Silva</v>
          </cell>
          <cell r="B6528">
            <v>37010683</v>
          </cell>
          <cell r="C6528">
            <v>20040655</v>
          </cell>
          <cell r="D6528">
            <v>44930</v>
          </cell>
        </row>
        <row r="6529">
          <cell r="A6529" t="str">
            <v>Ricardo Marques da Silva</v>
          </cell>
          <cell r="B6529">
            <v>37014969</v>
          </cell>
          <cell r="C6529">
            <v>20060690</v>
          </cell>
          <cell r="D6529">
            <v>45216</v>
          </cell>
        </row>
        <row r="6530">
          <cell r="A6530" t="str">
            <v>Carlos Henrique Peruzzi dos Santos</v>
          </cell>
          <cell r="B6530">
            <v>37014964</v>
          </cell>
          <cell r="C6530">
            <v>20060685</v>
          </cell>
          <cell r="D6530">
            <v>45216</v>
          </cell>
        </row>
        <row r="6531">
          <cell r="A6531" t="str">
            <v>Claudio Rodrigues Do Prado</v>
          </cell>
          <cell r="B6531">
            <v>37014966</v>
          </cell>
          <cell r="C6531">
            <v>20060687</v>
          </cell>
          <cell r="D6531">
            <v>45216</v>
          </cell>
        </row>
        <row r="6532">
          <cell r="A6532" t="str">
            <v>Bruna Dias Da Silva</v>
          </cell>
          <cell r="B6532">
            <v>37001226</v>
          </cell>
          <cell r="C6532">
            <v>20008710</v>
          </cell>
          <cell r="D6532">
            <v>41519</v>
          </cell>
        </row>
        <row r="6533">
          <cell r="A6533" t="str">
            <v>Wagner Pereira Paz Da Silva</v>
          </cell>
          <cell r="B6533">
            <v>37007041</v>
          </cell>
          <cell r="C6533">
            <v>20021655</v>
          </cell>
          <cell r="D6533">
            <v>44581</v>
          </cell>
        </row>
        <row r="6534">
          <cell r="A6534" t="str">
            <v>Eider Cesar Costa Soares</v>
          </cell>
          <cell r="B6534">
            <v>37014970</v>
          </cell>
          <cell r="C6534">
            <v>20060691</v>
          </cell>
          <cell r="D6534">
            <v>45216</v>
          </cell>
        </row>
        <row r="6535">
          <cell r="A6535" t="str">
            <v>Rony Neubern Zago</v>
          </cell>
          <cell r="B6535">
            <v>37014971</v>
          </cell>
          <cell r="C6535">
            <v>20060692</v>
          </cell>
          <cell r="D6535">
            <v>45216</v>
          </cell>
        </row>
        <row r="6536">
          <cell r="A6536" t="str">
            <v>Silvio Nunes da Assuncao</v>
          </cell>
          <cell r="B6536">
            <v>37014972</v>
          </cell>
          <cell r="C6536">
            <v>20060693</v>
          </cell>
          <cell r="D6536">
            <v>45216</v>
          </cell>
        </row>
        <row r="6537">
          <cell r="A6537" t="str">
            <v>Felipe Da Cruz Goncalves</v>
          </cell>
          <cell r="B6537">
            <v>37014973</v>
          </cell>
          <cell r="C6537">
            <v>20060694</v>
          </cell>
          <cell r="D6537">
            <v>45216</v>
          </cell>
        </row>
        <row r="6538">
          <cell r="A6538" t="str">
            <v>Gabriel Julio Machado</v>
          </cell>
          <cell r="B6538">
            <v>37014977</v>
          </cell>
          <cell r="C6538">
            <v>20060698</v>
          </cell>
          <cell r="D6538">
            <v>45216</v>
          </cell>
        </row>
        <row r="6539">
          <cell r="A6539" t="str">
            <v>Paulo Sergio Maiolo Junior</v>
          </cell>
          <cell r="B6539">
            <v>37014981</v>
          </cell>
          <cell r="C6539">
            <v>20060702</v>
          </cell>
          <cell r="D6539">
            <v>45216</v>
          </cell>
        </row>
        <row r="6540">
          <cell r="A6540" t="str">
            <v>Adriano Jose Da Silva</v>
          </cell>
          <cell r="B6540">
            <v>37014860</v>
          </cell>
          <cell r="C6540">
            <v>20032240</v>
          </cell>
          <cell r="D6540">
            <v>45202</v>
          </cell>
        </row>
        <row r="6541">
          <cell r="A6541" t="str">
            <v>Fernando Bregadioli</v>
          </cell>
          <cell r="B6541">
            <v>37014998</v>
          </cell>
          <cell r="C6541">
            <v>20060744</v>
          </cell>
          <cell r="D6541">
            <v>45216</v>
          </cell>
        </row>
        <row r="6542">
          <cell r="A6542" t="str">
            <v>Diego Aparecido de Souza</v>
          </cell>
          <cell r="B6542">
            <v>37015000</v>
          </cell>
          <cell r="C6542">
            <v>20060746</v>
          </cell>
          <cell r="D6542">
            <v>45216</v>
          </cell>
        </row>
        <row r="6543">
          <cell r="A6543" t="str">
            <v>Celso Roberto Merlin</v>
          </cell>
          <cell r="B6543">
            <v>37015006</v>
          </cell>
          <cell r="C6543">
            <v>20060753</v>
          </cell>
          <cell r="D6543">
            <v>45216</v>
          </cell>
        </row>
        <row r="6544">
          <cell r="A6544" t="str">
            <v>Adriano Fernandes de Oliveira</v>
          </cell>
          <cell r="B6544">
            <v>37015012</v>
          </cell>
          <cell r="C6544">
            <v>20060814</v>
          </cell>
          <cell r="D6544">
            <v>45216</v>
          </cell>
        </row>
        <row r="6545">
          <cell r="A6545" t="str">
            <v>ANTONIO DE JESUS BATISTA</v>
          </cell>
          <cell r="B6545">
            <v>37015014</v>
          </cell>
          <cell r="C6545">
            <v>20060816</v>
          </cell>
          <cell r="D6545">
            <v>45216</v>
          </cell>
        </row>
        <row r="6546">
          <cell r="A6546" t="str">
            <v>Marcelo Gobbi Marciano</v>
          </cell>
          <cell r="B6546">
            <v>37015011</v>
          </cell>
          <cell r="C6546">
            <v>20060813</v>
          </cell>
          <cell r="D6546">
            <v>45216</v>
          </cell>
        </row>
        <row r="6547">
          <cell r="A6547" t="str">
            <v>Alex Sandro de Almeida Cestaro</v>
          </cell>
          <cell r="B6547">
            <v>37015015</v>
          </cell>
          <cell r="C6547">
            <v>20060819</v>
          </cell>
          <cell r="D6547">
            <v>45216</v>
          </cell>
        </row>
        <row r="6548">
          <cell r="A6548" t="str">
            <v>Marcelo de Souza Cardoso</v>
          </cell>
          <cell r="B6548">
            <v>37015056</v>
          </cell>
          <cell r="C6548">
            <v>20060877</v>
          </cell>
          <cell r="D6548">
            <v>45216</v>
          </cell>
        </row>
        <row r="6549">
          <cell r="A6549" t="str">
            <v>Joelcimar De Souza Santo</v>
          </cell>
          <cell r="B6549">
            <v>37015059</v>
          </cell>
          <cell r="C6549">
            <v>20061043</v>
          </cell>
          <cell r="D6549">
            <v>45218</v>
          </cell>
        </row>
        <row r="6550">
          <cell r="A6550" t="str">
            <v>Marcos Paulo Rossi Sacco</v>
          </cell>
          <cell r="B6550">
            <v>37002539</v>
          </cell>
          <cell r="C6550">
            <v>15008260</v>
          </cell>
          <cell r="D6550">
            <v>43377</v>
          </cell>
        </row>
        <row r="6551">
          <cell r="A6551" t="str">
            <v>Agnaldo Custodio De Oliveira</v>
          </cell>
          <cell r="B6551">
            <v>37015058</v>
          </cell>
          <cell r="C6551">
            <v>20061042</v>
          </cell>
          <cell r="D6551">
            <v>45218</v>
          </cell>
        </row>
        <row r="6552">
          <cell r="A6552" t="str">
            <v>Davi Goncalves Dos santos</v>
          </cell>
          <cell r="B6552">
            <v>37015073</v>
          </cell>
          <cell r="C6552">
            <v>20061097</v>
          </cell>
          <cell r="D6552">
            <v>45237</v>
          </cell>
        </row>
        <row r="6553">
          <cell r="A6553" t="str">
            <v>Fabio Porteira</v>
          </cell>
          <cell r="B6553">
            <v>37015070</v>
          </cell>
          <cell r="C6553">
            <v>20061094</v>
          </cell>
          <cell r="D6553">
            <v>45237</v>
          </cell>
        </row>
        <row r="6554">
          <cell r="A6554" t="str">
            <v>Celio Aparecido Alves</v>
          </cell>
          <cell r="B6554">
            <v>37015071</v>
          </cell>
          <cell r="C6554">
            <v>20061095</v>
          </cell>
          <cell r="D6554">
            <v>45236</v>
          </cell>
        </row>
        <row r="6555">
          <cell r="A6555" t="str">
            <v>Marcus Vinicius Beraldo Roncato</v>
          </cell>
          <cell r="B6555">
            <v>37015072</v>
          </cell>
          <cell r="C6555">
            <v>20061096</v>
          </cell>
          <cell r="D6555">
            <v>45236</v>
          </cell>
        </row>
        <row r="6556">
          <cell r="A6556" t="str">
            <v>Luiz Paulo Delfino</v>
          </cell>
          <cell r="B6556">
            <v>37015075</v>
          </cell>
          <cell r="C6556">
            <v>20061114</v>
          </cell>
          <cell r="D6556">
            <v>45236</v>
          </cell>
        </row>
        <row r="6557">
          <cell r="A6557" t="str">
            <v>Dario Jose Armbruster</v>
          </cell>
          <cell r="B6557">
            <v>37015080</v>
          </cell>
          <cell r="C6557">
            <v>20061119</v>
          </cell>
          <cell r="D6557">
            <v>45236</v>
          </cell>
        </row>
        <row r="6558">
          <cell r="A6558" t="str">
            <v>Cleidimar Da Fonseca Silva</v>
          </cell>
          <cell r="B6558">
            <v>37015081</v>
          </cell>
          <cell r="C6558">
            <v>20061120</v>
          </cell>
          <cell r="D6558">
            <v>45237</v>
          </cell>
        </row>
        <row r="6559">
          <cell r="A6559" t="str">
            <v>Aguinaldo Aparecido Justo</v>
          </cell>
          <cell r="B6559">
            <v>37015087</v>
          </cell>
          <cell r="C6559">
            <v>20061132</v>
          </cell>
          <cell r="D6559">
            <v>45237</v>
          </cell>
        </row>
        <row r="6560">
          <cell r="A6560" t="str">
            <v>Felipe Dos Santos Lima</v>
          </cell>
          <cell r="B6560">
            <v>37015096</v>
          </cell>
          <cell r="C6560">
            <v>20061270</v>
          </cell>
          <cell r="D6560">
            <v>45236</v>
          </cell>
        </row>
        <row r="6561">
          <cell r="A6561" t="str">
            <v>Joao Pedro Fonseca Spadotto</v>
          </cell>
          <cell r="B6561">
            <v>37015097</v>
          </cell>
          <cell r="C6561">
            <v>20061271</v>
          </cell>
          <cell r="D6561">
            <v>45237</v>
          </cell>
        </row>
        <row r="6562">
          <cell r="A6562" t="str">
            <v>Enila Pereira da Cruz Lima</v>
          </cell>
          <cell r="B6562">
            <v>37015093</v>
          </cell>
          <cell r="C6562">
            <v>20061267</v>
          </cell>
          <cell r="D6562">
            <v>45237</v>
          </cell>
        </row>
        <row r="6563">
          <cell r="A6563" t="str">
            <v>Kamila Fernanda Borges Da Costa</v>
          </cell>
          <cell r="B6563">
            <v>37015094</v>
          </cell>
          <cell r="C6563">
            <v>20061268</v>
          </cell>
          <cell r="D6563">
            <v>45237</v>
          </cell>
        </row>
        <row r="6564">
          <cell r="A6564" t="str">
            <v>Layla Wine de Souza Silva</v>
          </cell>
          <cell r="B6564">
            <v>37015101</v>
          </cell>
          <cell r="C6564">
            <v>20061275</v>
          </cell>
          <cell r="D6564">
            <v>45237</v>
          </cell>
        </row>
        <row r="6565">
          <cell r="A6565" t="str">
            <v>Marcos Carinatto</v>
          </cell>
          <cell r="B6565">
            <v>37015104</v>
          </cell>
          <cell r="C6565">
            <v>20061278</v>
          </cell>
          <cell r="D6565">
            <v>45236</v>
          </cell>
        </row>
        <row r="6566">
          <cell r="A6566" t="str">
            <v>Jose Fernando Freitas</v>
          </cell>
          <cell r="B6566">
            <v>37015098</v>
          </cell>
          <cell r="C6566">
            <v>20061272</v>
          </cell>
          <cell r="D6566">
            <v>45237</v>
          </cell>
        </row>
        <row r="6567">
          <cell r="A6567" t="str">
            <v>Joao Batista Da Silva Filho</v>
          </cell>
          <cell r="B6567">
            <v>37015103</v>
          </cell>
          <cell r="C6567">
            <v>20061277</v>
          </cell>
          <cell r="D6567">
            <v>45236</v>
          </cell>
        </row>
        <row r="6568">
          <cell r="A6568" t="str">
            <v>Joao Batista Dos Santos</v>
          </cell>
          <cell r="B6568">
            <v>37015105</v>
          </cell>
          <cell r="C6568">
            <v>20061279</v>
          </cell>
          <cell r="D6568">
            <v>45237</v>
          </cell>
        </row>
        <row r="6569">
          <cell r="A6569" t="str">
            <v>Alexandre De Jesus Vitorino</v>
          </cell>
          <cell r="B6569">
            <v>37015106</v>
          </cell>
          <cell r="C6569">
            <v>20061330</v>
          </cell>
          <cell r="D6569">
            <v>45237</v>
          </cell>
        </row>
        <row r="6570">
          <cell r="A6570" t="str">
            <v>Carlos Renato Cavalheiro</v>
          </cell>
          <cell r="B6570">
            <v>37015107</v>
          </cell>
          <cell r="C6570">
            <v>20061331</v>
          </cell>
          <cell r="D6570">
            <v>45237</v>
          </cell>
        </row>
        <row r="6571">
          <cell r="A6571" t="str">
            <v>Rafael Jaime Rodrigues Santana</v>
          </cell>
          <cell r="B6571">
            <v>37015109</v>
          </cell>
          <cell r="C6571">
            <v>20061333</v>
          </cell>
          <cell r="D6571">
            <v>45236</v>
          </cell>
        </row>
        <row r="6572">
          <cell r="A6572" t="str">
            <v>Luiz Carlos de Souza da Silva</v>
          </cell>
          <cell r="B6572">
            <v>37015111</v>
          </cell>
          <cell r="C6572">
            <v>20061335</v>
          </cell>
          <cell r="D6572">
            <v>45236</v>
          </cell>
        </row>
        <row r="6573">
          <cell r="A6573" t="str">
            <v>Marcos Paulo Silva</v>
          </cell>
          <cell r="B6573">
            <v>37015113</v>
          </cell>
          <cell r="C6573">
            <v>20061337</v>
          </cell>
          <cell r="D6573">
            <v>45237</v>
          </cell>
        </row>
        <row r="6574">
          <cell r="A6574" t="str">
            <v>Maristela Cristina Costa Zanella</v>
          </cell>
          <cell r="B6574">
            <v>37015118</v>
          </cell>
          <cell r="C6574">
            <v>20061344</v>
          </cell>
          <cell r="D6574">
            <v>45236</v>
          </cell>
        </row>
        <row r="6575">
          <cell r="A6575" t="str">
            <v>Isadora Pereira Bernardes da Silva</v>
          </cell>
          <cell r="B6575">
            <v>37015121</v>
          </cell>
          <cell r="C6575">
            <v>20061347</v>
          </cell>
          <cell r="D6575">
            <v>45237</v>
          </cell>
        </row>
        <row r="6576">
          <cell r="A6576" t="str">
            <v>Natalia Cristina Costa Ramos</v>
          </cell>
          <cell r="B6576">
            <v>37015120</v>
          </cell>
          <cell r="C6576">
            <v>20061346</v>
          </cell>
          <cell r="D6576">
            <v>45236</v>
          </cell>
        </row>
        <row r="6577">
          <cell r="A6577" t="str">
            <v>Rafael Rodrigues do Amaral</v>
          </cell>
          <cell r="B6577">
            <v>37015122</v>
          </cell>
          <cell r="C6577">
            <v>20061348</v>
          </cell>
          <cell r="D6577">
            <v>45237</v>
          </cell>
        </row>
        <row r="6578">
          <cell r="A6578" t="str">
            <v>Odair Da Silva Lopes</v>
          </cell>
          <cell r="B6578">
            <v>37015125</v>
          </cell>
          <cell r="C6578">
            <v>20061351</v>
          </cell>
          <cell r="D6578">
            <v>45236</v>
          </cell>
        </row>
        <row r="6579">
          <cell r="A6579" t="str">
            <v>Wemerson Silvano Dos Santos</v>
          </cell>
          <cell r="B6579">
            <v>37015132</v>
          </cell>
          <cell r="C6579">
            <v>20061358</v>
          </cell>
          <cell r="D6579">
            <v>45237</v>
          </cell>
        </row>
        <row r="6580">
          <cell r="A6580" t="str">
            <v>Claudemir Carlos</v>
          </cell>
          <cell r="B6580">
            <v>37015133</v>
          </cell>
          <cell r="C6580">
            <v>20061359</v>
          </cell>
          <cell r="D6580">
            <v>45237</v>
          </cell>
        </row>
        <row r="6581">
          <cell r="A6581" t="str">
            <v>Nicerso Da Silva</v>
          </cell>
          <cell r="B6581">
            <v>37015123</v>
          </cell>
          <cell r="C6581">
            <v>20061349</v>
          </cell>
          <cell r="D6581">
            <v>45236</v>
          </cell>
        </row>
        <row r="6582">
          <cell r="A6582" t="str">
            <v>Valdir Goncalves Dos Reis</v>
          </cell>
          <cell r="B6582">
            <v>37015130</v>
          </cell>
          <cell r="C6582">
            <v>20061356</v>
          </cell>
          <cell r="D6582">
            <v>45237</v>
          </cell>
        </row>
        <row r="6583">
          <cell r="A6583" t="str">
            <v>Daniel Vieira Dos Santos</v>
          </cell>
          <cell r="B6583">
            <v>37015138</v>
          </cell>
          <cell r="C6583">
            <v>20061364</v>
          </cell>
          <cell r="D6583">
            <v>45237</v>
          </cell>
        </row>
        <row r="6584">
          <cell r="A6584" t="str">
            <v>Maria Eduarda de Freitas Balbino</v>
          </cell>
          <cell r="B6584">
            <v>37015136</v>
          </cell>
          <cell r="C6584">
            <v>20061362</v>
          </cell>
          <cell r="D6584">
            <v>45237</v>
          </cell>
        </row>
        <row r="6585">
          <cell r="A6585" t="str">
            <v>Antonio Armando Da Silva</v>
          </cell>
          <cell r="B6585">
            <v>37015139</v>
          </cell>
          <cell r="C6585">
            <v>20061365</v>
          </cell>
          <cell r="D6585">
            <v>45237</v>
          </cell>
        </row>
        <row r="6586">
          <cell r="A6586" t="str">
            <v>Sergio Lourival De Oliveira</v>
          </cell>
          <cell r="B6586">
            <v>37015142</v>
          </cell>
          <cell r="C6586">
            <v>20061452</v>
          </cell>
          <cell r="D6586">
            <v>45236</v>
          </cell>
        </row>
        <row r="6587">
          <cell r="A6587" t="str">
            <v>Rafael Dos Santos</v>
          </cell>
          <cell r="B6587">
            <v>37015140</v>
          </cell>
          <cell r="C6587">
            <v>20061450</v>
          </cell>
          <cell r="D6587">
            <v>45236</v>
          </cell>
        </row>
        <row r="6588">
          <cell r="A6588" t="str">
            <v>Renato Andre Borin</v>
          </cell>
          <cell r="B6588">
            <v>37015141</v>
          </cell>
          <cell r="C6588">
            <v>20061451</v>
          </cell>
          <cell r="D6588">
            <v>45237</v>
          </cell>
        </row>
        <row r="6589">
          <cell r="A6589" t="str">
            <v>Tiago Henrique Vieira Ribeiro</v>
          </cell>
          <cell r="B6589">
            <v>37015145</v>
          </cell>
          <cell r="C6589">
            <v>20061455</v>
          </cell>
          <cell r="D6589">
            <v>45237</v>
          </cell>
        </row>
        <row r="6590">
          <cell r="A6590" t="str">
            <v>Gustavo Soares Dos Reis</v>
          </cell>
          <cell r="B6590">
            <v>37015150</v>
          </cell>
          <cell r="C6590">
            <v>20061460</v>
          </cell>
          <cell r="D6590">
            <v>45237</v>
          </cell>
        </row>
        <row r="6591">
          <cell r="A6591" t="str">
            <v>Valdemir Adriano Barros</v>
          </cell>
          <cell r="B6591">
            <v>37015143</v>
          </cell>
          <cell r="C6591">
            <v>20061453</v>
          </cell>
          <cell r="D6591">
            <v>45237</v>
          </cell>
        </row>
        <row r="6592">
          <cell r="A6592" t="str">
            <v>Leandro Ballan Abile</v>
          </cell>
          <cell r="B6592">
            <v>37015161</v>
          </cell>
          <cell r="C6592">
            <v>20061471</v>
          </cell>
          <cell r="D6592">
            <v>45237</v>
          </cell>
        </row>
        <row r="6593">
          <cell r="A6593" t="str">
            <v>Leandro Henrique Da Silva Bortoleti</v>
          </cell>
          <cell r="B6593">
            <v>37015171</v>
          </cell>
          <cell r="C6593">
            <v>20061487</v>
          </cell>
          <cell r="D6593">
            <v>45237</v>
          </cell>
        </row>
        <row r="6594">
          <cell r="A6594" t="str">
            <v>Andre Gustavo Carneiro</v>
          </cell>
          <cell r="B6594">
            <v>37015172</v>
          </cell>
          <cell r="C6594">
            <v>20061488</v>
          </cell>
          <cell r="D6594">
            <v>45237</v>
          </cell>
        </row>
        <row r="6595">
          <cell r="A6595" t="str">
            <v>Luis Augusto Batista</v>
          </cell>
          <cell r="B6595">
            <v>37015174</v>
          </cell>
          <cell r="C6595">
            <v>20061490</v>
          </cell>
          <cell r="D6595">
            <v>45237</v>
          </cell>
        </row>
        <row r="6596">
          <cell r="A6596" t="str">
            <v>Dorival Ferreira Da Fortuna</v>
          </cell>
          <cell r="B6596">
            <v>37015176</v>
          </cell>
          <cell r="C6596">
            <v>20061492</v>
          </cell>
          <cell r="D6596">
            <v>45237</v>
          </cell>
        </row>
        <row r="6597">
          <cell r="A6597" t="str">
            <v>Ederson Da Silva Dias</v>
          </cell>
          <cell r="B6597">
            <v>37015180</v>
          </cell>
          <cell r="C6597">
            <v>20061496</v>
          </cell>
          <cell r="D6597">
            <v>45237</v>
          </cell>
        </row>
        <row r="6598">
          <cell r="A6598" t="str">
            <v>Leonardo dos Reis Ribeiro dos Santos</v>
          </cell>
          <cell r="B6598">
            <v>37015169</v>
          </cell>
          <cell r="C6598">
            <v>20061485</v>
          </cell>
          <cell r="D6598">
            <v>45237</v>
          </cell>
        </row>
        <row r="6599">
          <cell r="A6599" t="str">
            <v>Lenaldo Marcelino De Souza</v>
          </cell>
          <cell r="B6599">
            <v>37015175</v>
          </cell>
          <cell r="C6599">
            <v>20061491</v>
          </cell>
          <cell r="D6599">
            <v>45237</v>
          </cell>
        </row>
        <row r="6600">
          <cell r="A6600" t="str">
            <v>Rodney Batista</v>
          </cell>
          <cell r="B6600">
            <v>37015184</v>
          </cell>
          <cell r="C6600">
            <v>20061500</v>
          </cell>
          <cell r="D6600">
            <v>45237</v>
          </cell>
        </row>
        <row r="6601">
          <cell r="A6601" t="str">
            <v>Franck Arnaldo Alves Pereira De Freitas</v>
          </cell>
          <cell r="B6601">
            <v>37015185</v>
          </cell>
          <cell r="C6601">
            <v>20061501</v>
          </cell>
          <cell r="D6601">
            <v>45237</v>
          </cell>
        </row>
        <row r="6602">
          <cell r="A6602" t="str">
            <v>Emerson Leandro Sena Dos Anjos</v>
          </cell>
          <cell r="B6602">
            <v>37015193</v>
          </cell>
          <cell r="C6602">
            <v>20061509</v>
          </cell>
          <cell r="D6602">
            <v>45237</v>
          </cell>
        </row>
        <row r="6603">
          <cell r="A6603" t="str">
            <v>Andreia De Souza Rodrigues</v>
          </cell>
          <cell r="B6603">
            <v>37015195</v>
          </cell>
          <cell r="C6603">
            <v>20061511</v>
          </cell>
          <cell r="D6603">
            <v>45237</v>
          </cell>
        </row>
        <row r="6604">
          <cell r="A6604" t="str">
            <v>Hélio Jorge</v>
          </cell>
          <cell r="B6604">
            <v>37015196</v>
          </cell>
          <cell r="C6604">
            <v>20061512</v>
          </cell>
          <cell r="D6604">
            <v>45237</v>
          </cell>
        </row>
        <row r="6605">
          <cell r="A6605" t="str">
            <v>Marcio Ademir Beraldo</v>
          </cell>
          <cell r="B6605">
            <v>37015197</v>
          </cell>
          <cell r="C6605">
            <v>20061513</v>
          </cell>
          <cell r="D6605">
            <v>45237</v>
          </cell>
        </row>
        <row r="6606">
          <cell r="A6606" t="str">
            <v>Luiz Alberto Da Silva</v>
          </cell>
          <cell r="B6606">
            <v>37015189</v>
          </cell>
          <cell r="C6606">
            <v>20061505</v>
          </cell>
          <cell r="D6606">
            <v>45237</v>
          </cell>
        </row>
        <row r="6607">
          <cell r="A6607" t="str">
            <v>Sebastiao Da Costa Farias</v>
          </cell>
          <cell r="B6607">
            <v>37015203</v>
          </cell>
          <cell r="C6607">
            <v>20061519</v>
          </cell>
          <cell r="D6607">
            <v>45237</v>
          </cell>
        </row>
        <row r="6608">
          <cell r="A6608" t="str">
            <v>Zomar Paes</v>
          </cell>
          <cell r="B6608">
            <v>37015210</v>
          </cell>
          <cell r="C6608">
            <v>20061526</v>
          </cell>
          <cell r="D6608">
            <v>45237</v>
          </cell>
        </row>
        <row r="6609">
          <cell r="A6609" t="str">
            <v>Giselda Aparecida da Costa</v>
          </cell>
          <cell r="B6609">
            <v>37015202</v>
          </cell>
          <cell r="C6609">
            <v>20061518</v>
          </cell>
          <cell r="D6609">
            <v>45237</v>
          </cell>
        </row>
        <row r="6610">
          <cell r="A6610" t="str">
            <v>Alexsandro Da Silva</v>
          </cell>
          <cell r="B6610">
            <v>37010475</v>
          </cell>
          <cell r="C6610">
            <v>20040208</v>
          </cell>
          <cell r="D6610">
            <v>44914</v>
          </cell>
        </row>
        <row r="6611">
          <cell r="A6611" t="str">
            <v>Natanael Antonio Paes</v>
          </cell>
          <cell r="B6611">
            <v>37015211</v>
          </cell>
          <cell r="C6611">
            <v>20061527</v>
          </cell>
          <cell r="D6611">
            <v>45237</v>
          </cell>
        </row>
        <row r="6612">
          <cell r="A6612" t="str">
            <v>Joao Paulo Picinin</v>
          </cell>
          <cell r="B6612">
            <v>37015215</v>
          </cell>
          <cell r="C6612">
            <v>20061531</v>
          </cell>
          <cell r="D6612">
            <v>45237</v>
          </cell>
        </row>
        <row r="6613">
          <cell r="A6613" t="str">
            <v>Thiago Luiz Ferreira</v>
          </cell>
          <cell r="B6613">
            <v>37015216</v>
          </cell>
          <cell r="C6613">
            <v>20061532</v>
          </cell>
          <cell r="D6613">
            <v>45237</v>
          </cell>
        </row>
        <row r="6614">
          <cell r="A6614" t="str">
            <v>Jair Antonio Da Silva</v>
          </cell>
          <cell r="B6614">
            <v>37015219</v>
          </cell>
          <cell r="C6614">
            <v>20061535</v>
          </cell>
          <cell r="D6614">
            <v>45237</v>
          </cell>
        </row>
        <row r="6615">
          <cell r="A6615" t="str">
            <v>Marcio Rodrigues</v>
          </cell>
          <cell r="B6615">
            <v>37015225</v>
          </cell>
          <cell r="C6615">
            <v>20061883</v>
          </cell>
          <cell r="D6615">
            <v>45237</v>
          </cell>
        </row>
        <row r="6616">
          <cell r="A6616" t="str">
            <v>Carlos Vinicius Nunes Da Silva</v>
          </cell>
          <cell r="B6616">
            <v>37015223</v>
          </cell>
          <cell r="C6616">
            <v>20061881</v>
          </cell>
          <cell r="D6616">
            <v>45237</v>
          </cell>
        </row>
        <row r="6617">
          <cell r="A6617" t="str">
            <v>Ronivaldo Santiago Dos Santos</v>
          </cell>
          <cell r="B6617">
            <v>37015228</v>
          </cell>
          <cell r="C6617">
            <v>20061886</v>
          </cell>
          <cell r="D6617">
            <v>45237</v>
          </cell>
        </row>
        <row r="6618">
          <cell r="A6618" t="str">
            <v>Vanderson Luis Das Neves</v>
          </cell>
          <cell r="B6618">
            <v>37015230</v>
          </cell>
          <cell r="C6618">
            <v>20061888</v>
          </cell>
          <cell r="D6618">
            <v>45237</v>
          </cell>
        </row>
        <row r="6619">
          <cell r="A6619" t="str">
            <v>Wesley Moreira Marques</v>
          </cell>
          <cell r="B6619">
            <v>37015233</v>
          </cell>
          <cell r="C6619">
            <v>20061891</v>
          </cell>
          <cell r="D6619">
            <v>45237</v>
          </cell>
        </row>
        <row r="6620">
          <cell r="A6620" t="str">
            <v>Vilane Humberto Dos Reis Noronha</v>
          </cell>
          <cell r="B6620">
            <v>37015235</v>
          </cell>
          <cell r="C6620">
            <v>20061893</v>
          </cell>
          <cell r="D6620">
            <v>45237</v>
          </cell>
        </row>
        <row r="6621">
          <cell r="A6621" t="str">
            <v>Kammerson Ferreira de Souza</v>
          </cell>
          <cell r="B6621">
            <v>37015229</v>
          </cell>
          <cell r="C6621">
            <v>20061887</v>
          </cell>
          <cell r="D6621">
            <v>45237</v>
          </cell>
        </row>
        <row r="6622">
          <cell r="A6622" t="str">
            <v>Odair Gregorio</v>
          </cell>
          <cell r="B6622">
            <v>37015231</v>
          </cell>
          <cell r="C6622">
            <v>20061889</v>
          </cell>
          <cell r="D6622">
            <v>45237</v>
          </cell>
        </row>
        <row r="6623">
          <cell r="A6623" t="str">
            <v>Paulo Henrique Oliveira Silva</v>
          </cell>
          <cell r="B6623">
            <v>37015246</v>
          </cell>
          <cell r="C6623">
            <v>20061918</v>
          </cell>
          <cell r="D6623">
            <v>45237</v>
          </cell>
        </row>
        <row r="6624">
          <cell r="A6624" t="str">
            <v>Rogerio Assuncao Campos</v>
          </cell>
          <cell r="B6624">
            <v>37005593</v>
          </cell>
          <cell r="C6624">
            <v>20013615</v>
          </cell>
          <cell r="D6624">
            <v>44305</v>
          </cell>
        </row>
        <row r="6625">
          <cell r="A6625" t="str">
            <v>Luciano Delmar Dos Santos Almeida</v>
          </cell>
          <cell r="B6625">
            <v>37011848</v>
          </cell>
          <cell r="C6625">
            <v>20045924</v>
          </cell>
          <cell r="D6625">
            <v>45005</v>
          </cell>
        </row>
        <row r="6626">
          <cell r="A6626" t="str">
            <v>Leandro Fernandes</v>
          </cell>
          <cell r="B6626">
            <v>37007459</v>
          </cell>
          <cell r="C6626">
            <v>20025519</v>
          </cell>
          <cell r="D6626">
            <v>44669</v>
          </cell>
        </row>
        <row r="6627">
          <cell r="A6627" t="str">
            <v>Alessandra Aparecida Da Silva</v>
          </cell>
          <cell r="B6627">
            <v>37009968</v>
          </cell>
          <cell r="C6627">
            <v>20037486</v>
          </cell>
          <cell r="D6627">
            <v>44872</v>
          </cell>
        </row>
        <row r="6628">
          <cell r="A6628" t="str">
            <v>Carlos Fernando Bergamini Neto</v>
          </cell>
          <cell r="B6628">
            <v>37008723</v>
          </cell>
          <cell r="C6628">
            <v>20029268</v>
          </cell>
          <cell r="D6628">
            <v>44760</v>
          </cell>
        </row>
        <row r="6629">
          <cell r="A6629" t="str">
            <v>Joao Antonio Ragonezi Brunaikovics</v>
          </cell>
          <cell r="B6629">
            <v>37009972</v>
          </cell>
          <cell r="C6629">
            <v>20037490</v>
          </cell>
          <cell r="D6629">
            <v>44872</v>
          </cell>
        </row>
        <row r="6630">
          <cell r="A6630" t="str">
            <v>Aislan Rafael Cavalari</v>
          </cell>
          <cell r="B6630">
            <v>37007422</v>
          </cell>
          <cell r="C6630">
            <v>20025462</v>
          </cell>
          <cell r="D6630">
            <v>44662</v>
          </cell>
        </row>
        <row r="6631">
          <cell r="A6631" t="str">
            <v>Daniel Benedito Falco</v>
          </cell>
          <cell r="B6631">
            <v>37007262</v>
          </cell>
          <cell r="C6631">
            <v>20023631</v>
          </cell>
          <cell r="D6631">
            <v>44627</v>
          </cell>
        </row>
        <row r="6632">
          <cell r="A6632" t="str">
            <v>Alessandro Roberto Belei</v>
          </cell>
          <cell r="B6632">
            <v>37007199</v>
          </cell>
          <cell r="C6632">
            <v>20023002</v>
          </cell>
          <cell r="D6632">
            <v>44609</v>
          </cell>
        </row>
        <row r="6633">
          <cell r="A6633" t="str">
            <v>Felipe Teixeira Silva</v>
          </cell>
          <cell r="B6633">
            <v>37006573</v>
          </cell>
          <cell r="C6633">
            <v>20018147</v>
          </cell>
          <cell r="D6633">
            <v>44473</v>
          </cell>
        </row>
        <row r="6634">
          <cell r="A6634" t="str">
            <v>Rafael Carani Ramponi</v>
          </cell>
          <cell r="B6634">
            <v>37002883</v>
          </cell>
          <cell r="C6634">
            <v>20009795</v>
          </cell>
          <cell r="D6634">
            <v>43500</v>
          </cell>
        </row>
        <row r="6635">
          <cell r="A6635" t="str">
            <v>Jose Eduardo Quini Spuri</v>
          </cell>
          <cell r="B6635">
            <v>37009729</v>
          </cell>
          <cell r="C6635">
            <v>20036005</v>
          </cell>
          <cell r="D6635">
            <v>44851</v>
          </cell>
        </row>
        <row r="6636">
          <cell r="A6636" t="str">
            <v>Wellington De Jesus</v>
          </cell>
          <cell r="B6636">
            <v>37007708</v>
          </cell>
          <cell r="C6636">
            <v>20025776</v>
          </cell>
          <cell r="D6636">
            <v>44690</v>
          </cell>
        </row>
        <row r="6637">
          <cell r="A6637" t="str">
            <v>Matheus Henrique Dos Santos Rodrigues</v>
          </cell>
          <cell r="B6637">
            <v>37010084</v>
          </cell>
          <cell r="C6637">
            <v>20038184</v>
          </cell>
          <cell r="D6637">
            <v>44881</v>
          </cell>
        </row>
        <row r="6638">
          <cell r="A6638" t="str">
            <v>Filipe Augusto Jacinto Miranda</v>
          </cell>
          <cell r="B6638">
            <v>37009180</v>
          </cell>
          <cell r="C6638">
            <v>20032239</v>
          </cell>
          <cell r="D6638">
            <v>44795</v>
          </cell>
        </row>
        <row r="6639">
          <cell r="A6639" t="str">
            <v>Evandro De Paula Dias</v>
          </cell>
          <cell r="B6639">
            <v>37007210</v>
          </cell>
          <cell r="C6639">
            <v>20023009</v>
          </cell>
          <cell r="D6639">
            <v>44622</v>
          </cell>
        </row>
        <row r="6640">
          <cell r="A6640" t="str">
            <v>Luan Carlos Ferraz De Paula</v>
          </cell>
          <cell r="B6640">
            <v>37009023</v>
          </cell>
          <cell r="C6640">
            <v>20031006</v>
          </cell>
          <cell r="D6640">
            <v>44781</v>
          </cell>
        </row>
        <row r="6641">
          <cell r="A6641" t="str">
            <v>Heber Aurelio Santos</v>
          </cell>
          <cell r="B6641">
            <v>37006110</v>
          </cell>
          <cell r="C6641">
            <v>20016882</v>
          </cell>
          <cell r="D6641">
            <v>44417</v>
          </cell>
        </row>
        <row r="6642">
          <cell r="A6642" t="str">
            <v>Lucas Vaz Valentin Roland</v>
          </cell>
          <cell r="B6642">
            <v>37004709</v>
          </cell>
          <cell r="C6642">
            <v>20008378</v>
          </cell>
          <cell r="D6642">
            <v>44053</v>
          </cell>
        </row>
        <row r="6643">
          <cell r="A6643" t="str">
            <v>Elvis Cleber Dos Santos</v>
          </cell>
          <cell r="B6643">
            <v>37003970</v>
          </cell>
          <cell r="C6643">
            <v>20008999</v>
          </cell>
          <cell r="D6643">
            <v>43787</v>
          </cell>
        </row>
        <row r="6644">
          <cell r="A6644" t="str">
            <v>Ricardo Luiz Moreti</v>
          </cell>
          <cell r="B6644">
            <v>37000518</v>
          </cell>
          <cell r="C6644">
            <v>20009838</v>
          </cell>
          <cell r="D6644">
            <v>39160</v>
          </cell>
        </row>
        <row r="6645">
          <cell r="A6645" t="str">
            <v>Maicon Roger Boscolo</v>
          </cell>
          <cell r="B6645">
            <v>37009045</v>
          </cell>
          <cell r="C6645">
            <v>20034599</v>
          </cell>
          <cell r="D6645">
            <v>44781</v>
          </cell>
        </row>
        <row r="6646">
          <cell r="A6646" t="str">
            <v>Lourival Gomes</v>
          </cell>
          <cell r="B6646">
            <v>37008929</v>
          </cell>
          <cell r="C6646">
            <v>20034643</v>
          </cell>
          <cell r="D6646">
            <v>44777</v>
          </cell>
        </row>
        <row r="6647">
          <cell r="A6647" t="str">
            <v>Paulo Eduardo Do Nascimento Nunes</v>
          </cell>
          <cell r="B6647">
            <v>37007740</v>
          </cell>
          <cell r="C6647">
            <v>20025827</v>
          </cell>
          <cell r="D6647">
            <v>44697</v>
          </cell>
        </row>
        <row r="6648">
          <cell r="A6648" t="str">
            <v>Everton Lopes Alves</v>
          </cell>
          <cell r="B6648">
            <v>37010495</v>
          </cell>
          <cell r="C6648">
            <v>20040228</v>
          </cell>
          <cell r="D6648">
            <v>44914</v>
          </cell>
        </row>
        <row r="6649">
          <cell r="A6649" t="str">
            <v>Matheus Godoy Delgado</v>
          </cell>
          <cell r="B6649">
            <v>37007171</v>
          </cell>
          <cell r="C6649">
            <v>20022974</v>
          </cell>
          <cell r="D6649">
            <v>44609</v>
          </cell>
        </row>
        <row r="6650">
          <cell r="A6650" t="str">
            <v>Hellerson Aparecido Soares</v>
          </cell>
          <cell r="B6650">
            <v>37009370</v>
          </cell>
          <cell r="C6650">
            <v>20033344</v>
          </cell>
          <cell r="D6650">
            <v>44816</v>
          </cell>
        </row>
        <row r="6651">
          <cell r="A6651" t="str">
            <v>Jadson Martins Francisco</v>
          </cell>
          <cell r="B6651">
            <v>37009380</v>
          </cell>
          <cell r="C6651">
            <v>20033407</v>
          </cell>
          <cell r="D6651">
            <v>44816</v>
          </cell>
        </row>
        <row r="6652">
          <cell r="A6652" t="str">
            <v>Igor Darwin Ponciano Da Silva</v>
          </cell>
          <cell r="B6652">
            <v>37010361</v>
          </cell>
          <cell r="C6652">
            <v>20039089</v>
          </cell>
          <cell r="D6652">
            <v>44900</v>
          </cell>
        </row>
        <row r="6653">
          <cell r="A6653" t="str">
            <v>Paulo Sergio De Oliveira</v>
          </cell>
          <cell r="B6653">
            <v>37003130</v>
          </cell>
          <cell r="C6653">
            <v>20009773</v>
          </cell>
          <cell r="D6653">
            <v>43577</v>
          </cell>
        </row>
        <row r="6654">
          <cell r="A6654" t="str">
            <v>Huderson Estevam Antonio Milani</v>
          </cell>
          <cell r="B6654">
            <v>37004519</v>
          </cell>
          <cell r="C6654">
            <v>20009252</v>
          </cell>
          <cell r="D6654">
            <v>43928</v>
          </cell>
        </row>
        <row r="6655">
          <cell r="A6655" t="str">
            <v>Uarly Santos De Abreu</v>
          </cell>
          <cell r="B6655">
            <v>37015248</v>
          </cell>
          <cell r="C6655">
            <v>20061920</v>
          </cell>
          <cell r="D6655">
            <v>45243</v>
          </cell>
        </row>
        <row r="6656">
          <cell r="A6656" t="str">
            <v>Fabiano Aparecido Barbi</v>
          </cell>
          <cell r="B6656">
            <v>37015259</v>
          </cell>
          <cell r="C6656">
            <v>20061970</v>
          </cell>
          <cell r="D6656">
            <v>45243</v>
          </cell>
        </row>
        <row r="6657">
          <cell r="A6657" t="str">
            <v>Ivaldo Severino Da Silva</v>
          </cell>
          <cell r="B6657">
            <v>37015261</v>
          </cell>
          <cell r="C6657">
            <v>20061972</v>
          </cell>
          <cell r="D6657">
            <v>45243</v>
          </cell>
        </row>
        <row r="6658">
          <cell r="A6658" t="str">
            <v>Caio Henrique Gilioli</v>
          </cell>
          <cell r="B6658">
            <v>37015252</v>
          </cell>
          <cell r="C6658">
            <v>20061963</v>
          </cell>
          <cell r="D6658">
            <v>45243</v>
          </cell>
        </row>
        <row r="6659">
          <cell r="A6659" t="str">
            <v>Flavia Bintencorte Alexandre</v>
          </cell>
          <cell r="B6659">
            <v>37015253</v>
          </cell>
          <cell r="C6659">
            <v>20061964</v>
          </cell>
          <cell r="D6659">
            <v>45243</v>
          </cell>
        </row>
        <row r="6660">
          <cell r="A6660" t="str">
            <v>Lucas Henrique Da Silva</v>
          </cell>
          <cell r="B6660">
            <v>37015254</v>
          </cell>
          <cell r="C6660">
            <v>20061965</v>
          </cell>
          <cell r="D6660">
            <v>45243</v>
          </cell>
        </row>
        <row r="6661">
          <cell r="A6661" t="str">
            <v>Rudnei Roberto Gimenes</v>
          </cell>
          <cell r="B6661">
            <v>37015256</v>
          </cell>
          <cell r="C6661">
            <v>20061967</v>
          </cell>
          <cell r="D6661">
            <v>45264</v>
          </cell>
        </row>
        <row r="6662">
          <cell r="A6662" t="str">
            <v>Henrique Vilanova Filho</v>
          </cell>
          <cell r="B6662">
            <v>37015257</v>
          </cell>
          <cell r="C6662">
            <v>20061968</v>
          </cell>
          <cell r="D6662">
            <v>45243</v>
          </cell>
        </row>
        <row r="6663">
          <cell r="A6663" t="str">
            <v>Jose Luciano Oliveira</v>
          </cell>
          <cell r="B6663">
            <v>37015258</v>
          </cell>
          <cell r="C6663">
            <v>20061969</v>
          </cell>
          <cell r="D6663">
            <v>45243</v>
          </cell>
        </row>
        <row r="6664">
          <cell r="A6664" t="str">
            <v>Paulo Fernando Muroni</v>
          </cell>
          <cell r="B6664">
            <v>37015260</v>
          </cell>
          <cell r="C6664">
            <v>20061971</v>
          </cell>
          <cell r="D6664">
            <v>45243</v>
          </cell>
        </row>
        <row r="6665">
          <cell r="A6665" t="str">
            <v>Maicon Douglas Aparecido Antonio</v>
          </cell>
          <cell r="B6665">
            <v>37015262</v>
          </cell>
          <cell r="C6665">
            <v>20061973</v>
          </cell>
          <cell r="D6665">
            <v>45243</v>
          </cell>
        </row>
        <row r="6666">
          <cell r="A6666" t="str">
            <v>Sebastiao Ribeiro De Campos</v>
          </cell>
          <cell r="B6666">
            <v>37015263</v>
          </cell>
          <cell r="C6666">
            <v>20061974</v>
          </cell>
          <cell r="D6666">
            <v>45243</v>
          </cell>
        </row>
        <row r="6667">
          <cell r="A6667" t="str">
            <v>Gilmar Guimaraes Dias</v>
          </cell>
          <cell r="B6667">
            <v>37015264</v>
          </cell>
          <cell r="C6667">
            <v>20061975</v>
          </cell>
          <cell r="D6667">
            <v>45243</v>
          </cell>
        </row>
        <row r="6668">
          <cell r="A6668" t="str">
            <v>Emerson Loriano Martins</v>
          </cell>
          <cell r="B6668">
            <v>37015267</v>
          </cell>
          <cell r="C6668">
            <v>20061979</v>
          </cell>
          <cell r="D6668">
            <v>45243</v>
          </cell>
        </row>
        <row r="6669">
          <cell r="A6669" t="str">
            <v>Bruno Caetano Couto</v>
          </cell>
          <cell r="B6669">
            <v>37015276</v>
          </cell>
          <cell r="C6669">
            <v>20061988</v>
          </cell>
          <cell r="D6669">
            <v>45243</v>
          </cell>
        </row>
        <row r="6670">
          <cell r="A6670" t="str">
            <v>Jessica Cristina De Carvalho Barbosa</v>
          </cell>
          <cell r="B6670">
            <v>37015277</v>
          </cell>
          <cell r="C6670">
            <v>20061989</v>
          </cell>
          <cell r="D6670">
            <v>45243</v>
          </cell>
        </row>
        <row r="6671">
          <cell r="A6671" t="str">
            <v>Bruno Cesar Rodrigues Missias</v>
          </cell>
          <cell r="B6671">
            <v>37015279</v>
          </cell>
          <cell r="C6671">
            <v>20061991</v>
          </cell>
          <cell r="D6671">
            <v>45243</v>
          </cell>
        </row>
        <row r="6672">
          <cell r="A6672" t="str">
            <v>Lais Paula De Oliveira</v>
          </cell>
          <cell r="B6672">
            <v>37015284</v>
          </cell>
          <cell r="C6672">
            <v>20061996</v>
          </cell>
          <cell r="D6672">
            <v>45243</v>
          </cell>
        </row>
        <row r="6673">
          <cell r="A6673" t="str">
            <v>Agnelio Dos Santos Pereira</v>
          </cell>
          <cell r="B6673">
            <v>37015272</v>
          </cell>
          <cell r="C6673">
            <v>20061984</v>
          </cell>
          <cell r="D6673">
            <v>45243</v>
          </cell>
        </row>
        <row r="6674">
          <cell r="A6674" t="str">
            <v>Vagner Junio Ferreira</v>
          </cell>
          <cell r="B6674">
            <v>37015273</v>
          </cell>
          <cell r="C6674">
            <v>20061985</v>
          </cell>
          <cell r="D6674">
            <v>45243</v>
          </cell>
        </row>
        <row r="6675">
          <cell r="A6675" t="str">
            <v>Anderson Abrao</v>
          </cell>
          <cell r="B6675">
            <v>37015297</v>
          </cell>
          <cell r="C6675">
            <v>20062066</v>
          </cell>
          <cell r="D6675">
            <v>45243</v>
          </cell>
        </row>
        <row r="6676">
          <cell r="A6676" t="str">
            <v>Edenilson Floriano De Almeida</v>
          </cell>
          <cell r="B6676">
            <v>37015287</v>
          </cell>
          <cell r="C6676">
            <v>20061999</v>
          </cell>
          <cell r="D6676">
            <v>45243</v>
          </cell>
        </row>
        <row r="6677">
          <cell r="A6677" t="str">
            <v>Leonardo De Azevedo</v>
          </cell>
          <cell r="B6677">
            <v>37015289</v>
          </cell>
          <cell r="C6677">
            <v>20062001</v>
          </cell>
          <cell r="D6677">
            <v>45243</v>
          </cell>
        </row>
        <row r="6678">
          <cell r="A6678" t="str">
            <v>Marcos Garcia Da Silva Junior</v>
          </cell>
          <cell r="B6678">
            <v>37015293</v>
          </cell>
          <cell r="C6678">
            <v>20062005</v>
          </cell>
          <cell r="D6678">
            <v>45243</v>
          </cell>
        </row>
        <row r="6679">
          <cell r="A6679" t="str">
            <v>Claudio Dos Santos Ribeiro</v>
          </cell>
          <cell r="B6679">
            <v>37015300</v>
          </cell>
          <cell r="C6679">
            <v>20062069</v>
          </cell>
          <cell r="D6679">
            <v>45243</v>
          </cell>
        </row>
        <row r="6680">
          <cell r="A6680" t="str">
            <v>Daniel dos Santos Souza</v>
          </cell>
          <cell r="B6680">
            <v>37015304</v>
          </cell>
          <cell r="C6680">
            <v>20062073</v>
          </cell>
          <cell r="D6680">
            <v>45243</v>
          </cell>
        </row>
        <row r="6681">
          <cell r="A6681" t="str">
            <v>Gabriel Goncalves Viana</v>
          </cell>
          <cell r="B6681">
            <v>37015298</v>
          </cell>
          <cell r="C6681">
            <v>20062067</v>
          </cell>
          <cell r="D6681">
            <v>45243</v>
          </cell>
        </row>
        <row r="6682">
          <cell r="A6682" t="str">
            <v>Luiz Fernando Bacocina Dias</v>
          </cell>
          <cell r="B6682">
            <v>37015302</v>
          </cell>
          <cell r="C6682">
            <v>20062071</v>
          </cell>
          <cell r="D6682">
            <v>45243</v>
          </cell>
        </row>
        <row r="6683">
          <cell r="A6683" t="str">
            <v>Yohana Milena Oliveira de Souza</v>
          </cell>
          <cell r="B6683">
            <v>37015307</v>
          </cell>
          <cell r="C6683">
            <v>20062076</v>
          </cell>
          <cell r="D6683">
            <v>45243</v>
          </cell>
        </row>
        <row r="6684">
          <cell r="A6684" t="str">
            <v>Vanderlei Alves da Silva</v>
          </cell>
          <cell r="B6684">
            <v>37015309</v>
          </cell>
          <cell r="C6684">
            <v>20062078</v>
          </cell>
          <cell r="D6684">
            <v>45243</v>
          </cell>
        </row>
        <row r="6685">
          <cell r="A6685" t="str">
            <v>Alisson Santos Damasceno</v>
          </cell>
          <cell r="B6685">
            <v>37015310</v>
          </cell>
          <cell r="C6685">
            <v>20062079</v>
          </cell>
          <cell r="D6685">
            <v>45243</v>
          </cell>
        </row>
        <row r="6686">
          <cell r="A6686" t="str">
            <v>Luiz Antonio Correia Junior</v>
          </cell>
          <cell r="B6686">
            <v>37012256</v>
          </cell>
          <cell r="C6686">
            <v>20049154</v>
          </cell>
          <cell r="D6686">
            <v>45048</v>
          </cell>
        </row>
        <row r="6687">
          <cell r="A6687" t="str">
            <v>Gabriel Dias Rodrigues da Silva</v>
          </cell>
          <cell r="B6687">
            <v>37010642</v>
          </cell>
          <cell r="C6687">
            <v>20040596</v>
          </cell>
          <cell r="D6687">
            <v>44930</v>
          </cell>
        </row>
        <row r="6688">
          <cell r="A6688" t="str">
            <v>Adriano Primiano Franzin</v>
          </cell>
          <cell r="B6688">
            <v>37006810</v>
          </cell>
          <cell r="C6688">
            <v>20019989</v>
          </cell>
          <cell r="D6688">
            <v>44531</v>
          </cell>
        </row>
        <row r="6689">
          <cell r="A6689" t="str">
            <v>Gabriel Luquis Manhole</v>
          </cell>
          <cell r="B6689">
            <v>37010690</v>
          </cell>
          <cell r="C6689">
            <v>20040662</v>
          </cell>
          <cell r="D6689">
            <v>44930</v>
          </cell>
        </row>
        <row r="6690">
          <cell r="A6690" t="str">
            <v>Cristian Medrado Canonico</v>
          </cell>
          <cell r="B6690">
            <v>37008961</v>
          </cell>
          <cell r="C6690">
            <v>20032248</v>
          </cell>
          <cell r="D6690">
            <v>44777</v>
          </cell>
        </row>
        <row r="6691">
          <cell r="A6691" t="str">
            <v>Marcos Aparecido Domingues Do Nascimento</v>
          </cell>
          <cell r="B6691">
            <v>37007165</v>
          </cell>
          <cell r="C6691">
            <v>20022968</v>
          </cell>
          <cell r="D6691">
            <v>44606</v>
          </cell>
        </row>
        <row r="6692">
          <cell r="A6692" t="str">
            <v>Francisco Antonio Franco</v>
          </cell>
          <cell r="B6692">
            <v>37010461</v>
          </cell>
          <cell r="C6692">
            <v>20039968</v>
          </cell>
          <cell r="D6692">
            <v>44907</v>
          </cell>
        </row>
        <row r="6693">
          <cell r="A6693" t="str">
            <v>Claudemiro Moreira</v>
          </cell>
          <cell r="B6693">
            <v>37005678</v>
          </cell>
          <cell r="C6693">
            <v>20013972</v>
          </cell>
          <cell r="D6693">
            <v>44329</v>
          </cell>
        </row>
        <row r="6694">
          <cell r="A6694" t="str">
            <v>Emerson Pessoa Fernandes</v>
          </cell>
          <cell r="B6694">
            <v>37000930</v>
          </cell>
          <cell r="C6694">
            <v>20009007</v>
          </cell>
          <cell r="D6694">
            <v>40791</v>
          </cell>
        </row>
        <row r="6695">
          <cell r="A6695" t="str">
            <v>Carlos Vinicius Vicente Jeronimo</v>
          </cell>
          <cell r="B6695">
            <v>37007739</v>
          </cell>
          <cell r="C6695">
            <v>20025826</v>
          </cell>
          <cell r="D6695">
            <v>44697</v>
          </cell>
        </row>
        <row r="6696">
          <cell r="A6696" t="str">
            <v>Marcelo Chagas Da Silva</v>
          </cell>
          <cell r="B6696">
            <v>37010183</v>
          </cell>
          <cell r="C6696">
            <v>20038582</v>
          </cell>
          <cell r="D6696">
            <v>44886</v>
          </cell>
        </row>
        <row r="6697">
          <cell r="A6697" t="str">
            <v>Guilherme Henrique Gooda Antonio</v>
          </cell>
          <cell r="B6697">
            <v>37005283</v>
          </cell>
          <cell r="C6697">
            <v>20011079</v>
          </cell>
          <cell r="D6697">
            <v>44158</v>
          </cell>
        </row>
        <row r="6698">
          <cell r="A6698" t="str">
            <v>Jeferson Pereira Da Silva</v>
          </cell>
          <cell r="B6698">
            <v>37015326</v>
          </cell>
          <cell r="C6698">
            <v>20062310</v>
          </cell>
          <cell r="D6698">
            <v>45251</v>
          </cell>
        </row>
        <row r="6699">
          <cell r="A6699" t="str">
            <v>Jhonatan Silva De Souza</v>
          </cell>
          <cell r="B6699">
            <v>37015327</v>
          </cell>
          <cell r="C6699">
            <v>20062311</v>
          </cell>
          <cell r="D6699">
            <v>45251</v>
          </cell>
        </row>
        <row r="6700">
          <cell r="A6700" t="str">
            <v>Samuel De Souza Duarte</v>
          </cell>
          <cell r="B6700">
            <v>37015337</v>
          </cell>
          <cell r="C6700">
            <v>20062321</v>
          </cell>
          <cell r="D6700">
            <v>45251</v>
          </cell>
        </row>
        <row r="6701">
          <cell r="A6701" t="str">
            <v>Evandro Luis De Vasconcelos</v>
          </cell>
          <cell r="B6701">
            <v>37015342</v>
          </cell>
          <cell r="C6701">
            <v>20062326</v>
          </cell>
          <cell r="D6701">
            <v>45251</v>
          </cell>
        </row>
        <row r="6702">
          <cell r="A6702" t="str">
            <v>Saniel Lima Sousa</v>
          </cell>
          <cell r="B6702">
            <v>37015348</v>
          </cell>
          <cell r="C6702">
            <v>20062357</v>
          </cell>
          <cell r="D6702">
            <v>45251</v>
          </cell>
        </row>
        <row r="6703">
          <cell r="A6703" t="str">
            <v>Murilo Olyntho Machado</v>
          </cell>
          <cell r="B6703">
            <v>37015352</v>
          </cell>
          <cell r="C6703">
            <v>20062361</v>
          </cell>
          <cell r="D6703">
            <v>45251</v>
          </cell>
        </row>
        <row r="6704">
          <cell r="A6704" t="str">
            <v>Lucas Marques Fournier</v>
          </cell>
          <cell r="B6704">
            <v>37015355</v>
          </cell>
          <cell r="C6704">
            <v>20062364</v>
          </cell>
          <cell r="D6704">
            <v>45251</v>
          </cell>
        </row>
        <row r="6705">
          <cell r="A6705" t="str">
            <v>Edson Aparecido Da Silva Junior</v>
          </cell>
          <cell r="B6705">
            <v>37015364</v>
          </cell>
          <cell r="C6705">
            <v>20062373</v>
          </cell>
          <cell r="D6705">
            <v>45251</v>
          </cell>
        </row>
        <row r="6706">
          <cell r="A6706" t="str">
            <v>Ricardo Alves da Silva</v>
          </cell>
          <cell r="B6706">
            <v>37015350</v>
          </cell>
          <cell r="C6706">
            <v>20062359</v>
          </cell>
          <cell r="D6706">
            <v>45251</v>
          </cell>
        </row>
        <row r="6707">
          <cell r="A6707" t="str">
            <v>Michael Emanoel Da Anunciacao</v>
          </cell>
          <cell r="B6707">
            <v>37015357</v>
          </cell>
          <cell r="C6707">
            <v>20062366</v>
          </cell>
          <cell r="D6707">
            <v>45243</v>
          </cell>
        </row>
        <row r="6708">
          <cell r="A6708" t="str">
            <v>NIVALDO GARCIA</v>
          </cell>
          <cell r="B6708">
            <v>37015344</v>
          </cell>
          <cell r="C6708">
            <v>20033383</v>
          </cell>
          <cell r="D6708">
            <v>45251</v>
          </cell>
        </row>
        <row r="6709">
          <cell r="A6709" t="str">
            <v>Nicocley Oliveira de Moraes</v>
          </cell>
          <cell r="B6709">
            <v>37015360</v>
          </cell>
          <cell r="C6709">
            <v>20062369</v>
          </cell>
          <cell r="D6709">
            <v>45300</v>
          </cell>
        </row>
        <row r="6710">
          <cell r="A6710" t="str">
            <v>Aldenison Souza do Nascimento</v>
          </cell>
          <cell r="B6710">
            <v>37015361</v>
          </cell>
          <cell r="C6710">
            <v>20062370</v>
          </cell>
          <cell r="D6710">
            <v>45251</v>
          </cell>
        </row>
        <row r="6711">
          <cell r="A6711" t="str">
            <v>Celso Vinicius Silva</v>
          </cell>
          <cell r="B6711">
            <v>37015371</v>
          </cell>
          <cell r="C6711">
            <v>20062380</v>
          </cell>
          <cell r="D6711">
            <v>45251</v>
          </cell>
        </row>
        <row r="6712">
          <cell r="A6712" t="str">
            <v>Andre Mainardes</v>
          </cell>
          <cell r="B6712">
            <v>37015374</v>
          </cell>
          <cell r="C6712">
            <v>20062383</v>
          </cell>
          <cell r="D6712">
            <v>45251</v>
          </cell>
        </row>
        <row r="6713">
          <cell r="A6713" t="str">
            <v>Joel De Oliveira Augusto</v>
          </cell>
          <cell r="B6713">
            <v>37015378</v>
          </cell>
          <cell r="C6713">
            <v>20062387</v>
          </cell>
          <cell r="D6713">
            <v>45251</v>
          </cell>
        </row>
        <row r="6714">
          <cell r="A6714" t="str">
            <v>Francisco Oscar Fallossi</v>
          </cell>
          <cell r="B6714">
            <v>37015383</v>
          </cell>
          <cell r="C6714">
            <v>20062392</v>
          </cell>
          <cell r="D6714">
            <v>45251</v>
          </cell>
        </row>
        <row r="6715">
          <cell r="A6715" t="str">
            <v>Diego Gabriel De Jesus</v>
          </cell>
          <cell r="B6715">
            <v>37015384</v>
          </cell>
          <cell r="C6715">
            <v>20062393</v>
          </cell>
          <cell r="D6715">
            <v>45251</v>
          </cell>
        </row>
        <row r="6716">
          <cell r="A6716" t="str">
            <v>Adriano Aparecido Modesto</v>
          </cell>
          <cell r="B6716">
            <v>37015388</v>
          </cell>
          <cell r="C6716">
            <v>20062397</v>
          </cell>
          <cell r="D6716">
            <v>45251</v>
          </cell>
        </row>
        <row r="6717">
          <cell r="A6717" t="str">
            <v>Joao Gabriel Vicente Jeronimo</v>
          </cell>
          <cell r="B6717">
            <v>37015399</v>
          </cell>
          <cell r="C6717">
            <v>20062408</v>
          </cell>
          <cell r="D6717">
            <v>45251</v>
          </cell>
        </row>
        <row r="6718">
          <cell r="A6718" t="str">
            <v>Maurilio Lopes Da Silva</v>
          </cell>
          <cell r="B6718">
            <v>37015395</v>
          </cell>
          <cell r="C6718">
            <v>20062404</v>
          </cell>
          <cell r="D6718">
            <v>45251</v>
          </cell>
        </row>
        <row r="6719">
          <cell r="A6719" t="str">
            <v>Jackson Luis Barros</v>
          </cell>
          <cell r="B6719">
            <v>37015396</v>
          </cell>
          <cell r="C6719">
            <v>20062405</v>
          </cell>
          <cell r="D6719">
            <v>45251</v>
          </cell>
        </row>
        <row r="6720">
          <cell r="A6720" t="str">
            <v>Jean Carlos Monzani</v>
          </cell>
          <cell r="B6720">
            <v>37015398</v>
          </cell>
          <cell r="C6720">
            <v>20062407</v>
          </cell>
          <cell r="D6720">
            <v>45251</v>
          </cell>
        </row>
        <row r="6721">
          <cell r="A6721" t="str">
            <v>Jose Carlos Bissotto</v>
          </cell>
          <cell r="B6721">
            <v>37015401</v>
          </cell>
          <cell r="C6721">
            <v>20062410</v>
          </cell>
          <cell r="D6721">
            <v>45251</v>
          </cell>
        </row>
        <row r="6722">
          <cell r="A6722" t="str">
            <v>Kevin Henrique De Oliveira</v>
          </cell>
          <cell r="B6722">
            <v>37015407</v>
          </cell>
          <cell r="C6722">
            <v>20062438</v>
          </cell>
          <cell r="D6722">
            <v>45251</v>
          </cell>
        </row>
        <row r="6723">
          <cell r="A6723" t="str">
            <v>Jose Victor Rocha Lech</v>
          </cell>
          <cell r="B6723">
            <v>37015403</v>
          </cell>
          <cell r="C6723">
            <v>20062433</v>
          </cell>
          <cell r="D6723">
            <v>45251</v>
          </cell>
        </row>
        <row r="6724">
          <cell r="A6724" t="str">
            <v>Jose Adenilson da Cruz Silva</v>
          </cell>
          <cell r="B6724">
            <v>37015406</v>
          </cell>
          <cell r="C6724">
            <v>20062436</v>
          </cell>
          <cell r="D6724">
            <v>45251</v>
          </cell>
        </row>
        <row r="6725">
          <cell r="A6725" t="str">
            <v>Gilvan Jose Dos Reis</v>
          </cell>
          <cell r="B6725">
            <v>37015410</v>
          </cell>
          <cell r="C6725">
            <v>20062442</v>
          </cell>
          <cell r="D6725">
            <v>45251</v>
          </cell>
        </row>
        <row r="6726">
          <cell r="A6726" t="str">
            <v>Joao Pedro Zillo Santa Barbara</v>
          </cell>
          <cell r="B6726">
            <v>37005347</v>
          </cell>
          <cell r="C6726">
            <v>20014459</v>
          </cell>
          <cell r="D6726">
            <v>44235</v>
          </cell>
        </row>
        <row r="6727">
          <cell r="A6727" t="str">
            <v>Francisco Antonio Silvestre</v>
          </cell>
          <cell r="B6727">
            <v>37015415</v>
          </cell>
          <cell r="C6727">
            <v>20062578</v>
          </cell>
          <cell r="D6727">
            <v>45272</v>
          </cell>
        </row>
        <row r="6728">
          <cell r="A6728" t="str">
            <v>Carlos Alberto Da Silva</v>
          </cell>
          <cell r="B6728">
            <v>37015416</v>
          </cell>
          <cell r="C6728">
            <v>20062579</v>
          </cell>
          <cell r="D6728">
            <v>45265</v>
          </cell>
        </row>
        <row r="6729">
          <cell r="A6729" t="str">
            <v>Rosimeire Alves Dos Santos</v>
          </cell>
          <cell r="B6729">
            <v>37015421</v>
          </cell>
          <cell r="C6729">
            <v>20062584</v>
          </cell>
          <cell r="D6729">
            <v>45265</v>
          </cell>
        </row>
        <row r="6730">
          <cell r="A6730" t="str">
            <v>Ricardo Xavier dos Santos</v>
          </cell>
          <cell r="B6730">
            <v>37015422</v>
          </cell>
          <cell r="C6730">
            <v>20062585</v>
          </cell>
          <cell r="D6730">
            <v>45265</v>
          </cell>
        </row>
        <row r="6731">
          <cell r="A6731" t="str">
            <v>Aleone Guerra de Souza</v>
          </cell>
          <cell r="B6731">
            <v>37015420</v>
          </cell>
          <cell r="C6731">
            <v>20062583</v>
          </cell>
          <cell r="D6731">
            <v>45265</v>
          </cell>
        </row>
        <row r="6732">
          <cell r="A6732" t="str">
            <v>Lucio Goncalves Maldonado</v>
          </cell>
          <cell r="B6732">
            <v>37015427</v>
          </cell>
          <cell r="C6732">
            <v>20062617</v>
          </cell>
          <cell r="D6732">
            <v>45264</v>
          </cell>
        </row>
        <row r="6733">
          <cell r="A6733" t="str">
            <v>Marco Antonio dos Santos</v>
          </cell>
          <cell r="B6733">
            <v>37015432</v>
          </cell>
          <cell r="C6733">
            <v>20062622</v>
          </cell>
          <cell r="D6733">
            <v>45264</v>
          </cell>
        </row>
        <row r="6734">
          <cell r="A6734" t="str">
            <v>Tiago Henrique Xavier</v>
          </cell>
          <cell r="B6734">
            <v>37015429</v>
          </cell>
          <cell r="C6734">
            <v>20062619</v>
          </cell>
          <cell r="D6734">
            <v>45272</v>
          </cell>
        </row>
        <row r="6735">
          <cell r="A6735" t="str">
            <v>Tedi Alisson Rodrigues</v>
          </cell>
          <cell r="B6735">
            <v>37015431</v>
          </cell>
          <cell r="C6735">
            <v>20062621</v>
          </cell>
          <cell r="D6735">
            <v>45264</v>
          </cell>
        </row>
        <row r="6736">
          <cell r="A6736" t="str">
            <v>Valdir dos Santos Silva</v>
          </cell>
          <cell r="B6736">
            <v>37015433</v>
          </cell>
          <cell r="C6736">
            <v>20062623</v>
          </cell>
          <cell r="D6736">
            <v>45265</v>
          </cell>
        </row>
        <row r="6737">
          <cell r="A6737" t="str">
            <v>Paulo Cesar da Silva</v>
          </cell>
          <cell r="B6737">
            <v>37015436</v>
          </cell>
          <cell r="C6737">
            <v>20062626</v>
          </cell>
          <cell r="D6737">
            <v>45265</v>
          </cell>
        </row>
        <row r="6738">
          <cell r="A6738" t="str">
            <v>Alexandre Aparecido Ferreira</v>
          </cell>
          <cell r="B6738">
            <v>37015435</v>
          </cell>
          <cell r="C6738">
            <v>20062625</v>
          </cell>
          <cell r="D6738">
            <v>45264</v>
          </cell>
        </row>
        <row r="6739">
          <cell r="A6739" t="str">
            <v>Ricardo Cesar Dos Santos</v>
          </cell>
          <cell r="B6739">
            <v>37015437</v>
          </cell>
          <cell r="C6739">
            <v>20062627</v>
          </cell>
          <cell r="D6739">
            <v>45264</v>
          </cell>
        </row>
        <row r="6740">
          <cell r="A6740" t="str">
            <v>Eluan Rafael Rocha</v>
          </cell>
          <cell r="B6740">
            <v>37015439</v>
          </cell>
          <cell r="C6740">
            <v>20062629</v>
          </cell>
          <cell r="D6740">
            <v>45272</v>
          </cell>
        </row>
        <row r="6741">
          <cell r="A6741" t="str">
            <v>Ademir Gonçalves Astorga</v>
          </cell>
          <cell r="B6741">
            <v>37015441</v>
          </cell>
          <cell r="C6741">
            <v>20062631</v>
          </cell>
          <cell r="D6741">
            <v>45264</v>
          </cell>
        </row>
        <row r="6742">
          <cell r="A6742" t="str">
            <v>Nayara Caroline Rici</v>
          </cell>
          <cell r="B6742">
            <v>37006075</v>
          </cell>
          <cell r="C6742">
            <v>20016848</v>
          </cell>
          <cell r="D6742">
            <v>44410</v>
          </cell>
        </row>
        <row r="6743">
          <cell r="A6743" t="str">
            <v>Erivellyton Almeida Santos</v>
          </cell>
          <cell r="B6743">
            <v>37007272</v>
          </cell>
          <cell r="C6743">
            <v>20023645</v>
          </cell>
          <cell r="D6743">
            <v>44627</v>
          </cell>
        </row>
        <row r="6744">
          <cell r="A6744" t="str">
            <v>Cassio Thomas Da Silveira</v>
          </cell>
          <cell r="B6744">
            <v>37010748</v>
          </cell>
          <cell r="C6744">
            <v>20040958</v>
          </cell>
          <cell r="D6744">
            <v>44935</v>
          </cell>
        </row>
        <row r="6745">
          <cell r="A6745" t="str">
            <v>Cicero Jonas de Lima</v>
          </cell>
          <cell r="B6745">
            <v>37009786</v>
          </cell>
          <cell r="C6745">
            <v>20037056</v>
          </cell>
          <cell r="D6745">
            <v>44881</v>
          </cell>
        </row>
        <row r="6746">
          <cell r="A6746" t="str">
            <v>Paulo Rodrigues De Lima</v>
          </cell>
          <cell r="B6746">
            <v>37004609</v>
          </cell>
          <cell r="C6746">
            <v>20008275</v>
          </cell>
          <cell r="D6746">
            <v>44018</v>
          </cell>
        </row>
        <row r="6747">
          <cell r="A6747" t="str">
            <v>Antonio Carlos De Oliveira</v>
          </cell>
          <cell r="B6747">
            <v>37002760</v>
          </cell>
          <cell r="C6747">
            <v>20008649</v>
          </cell>
          <cell r="D6747">
            <v>43472</v>
          </cell>
        </row>
        <row r="6748">
          <cell r="A6748" t="str">
            <v>Daniel Ricardo dos Santos</v>
          </cell>
          <cell r="B6748">
            <v>37015445</v>
          </cell>
          <cell r="C6748">
            <v>20062659</v>
          </cell>
          <cell r="D6748">
            <v>45265</v>
          </cell>
        </row>
        <row r="6749">
          <cell r="A6749" t="str">
            <v>Barbara De Oliveira Puretz</v>
          </cell>
          <cell r="B6749">
            <v>37002880</v>
          </cell>
          <cell r="C6749">
            <v>20008695</v>
          </cell>
          <cell r="D6749">
            <v>43500</v>
          </cell>
        </row>
        <row r="6750">
          <cell r="A6750" t="str">
            <v>Jair Ferreira Santos</v>
          </cell>
          <cell r="B6750">
            <v>37015447</v>
          </cell>
          <cell r="C6750">
            <v>20062661</v>
          </cell>
          <cell r="D6750">
            <v>45264</v>
          </cell>
        </row>
        <row r="6751">
          <cell r="A6751" t="str">
            <v>Rogerio Alexandre Azevedo</v>
          </cell>
          <cell r="B6751">
            <v>37015454</v>
          </cell>
          <cell r="C6751">
            <v>20062697</v>
          </cell>
          <cell r="D6751">
            <v>45265</v>
          </cell>
        </row>
        <row r="6752">
          <cell r="A6752" t="str">
            <v>Luiz Fernando Jacoia</v>
          </cell>
          <cell r="B6752">
            <v>37015452</v>
          </cell>
          <cell r="C6752">
            <v>20062695</v>
          </cell>
          <cell r="D6752">
            <v>45265</v>
          </cell>
        </row>
        <row r="6753">
          <cell r="A6753" t="str">
            <v>Jonatan Eduardo Da Silva</v>
          </cell>
          <cell r="B6753">
            <v>37015453</v>
          </cell>
          <cell r="C6753">
            <v>20062696</v>
          </cell>
          <cell r="D6753">
            <v>45265</v>
          </cell>
        </row>
        <row r="6754">
          <cell r="A6754" t="str">
            <v>Riberto Diego Nishizima</v>
          </cell>
          <cell r="B6754">
            <v>37015459</v>
          </cell>
          <cell r="C6754">
            <v>20062708</v>
          </cell>
          <cell r="D6754">
            <v>45265</v>
          </cell>
        </row>
        <row r="6755">
          <cell r="A6755" t="str">
            <v>Mateus Bibio Correia</v>
          </cell>
          <cell r="B6755">
            <v>37015455</v>
          </cell>
          <cell r="C6755">
            <v>20062704</v>
          </cell>
          <cell r="D6755">
            <v>45265</v>
          </cell>
        </row>
        <row r="6756">
          <cell r="A6756" t="str">
            <v>Daygo Bentlei Guedes Collucci</v>
          </cell>
          <cell r="B6756">
            <v>37015471</v>
          </cell>
          <cell r="C6756">
            <v>20062720</v>
          </cell>
          <cell r="D6756">
            <v>45265</v>
          </cell>
        </row>
        <row r="6757">
          <cell r="A6757" t="str">
            <v>Marcelo Henrique Palombarini</v>
          </cell>
          <cell r="B6757">
            <v>37015490</v>
          </cell>
          <cell r="C6757">
            <v>20062741</v>
          </cell>
          <cell r="D6757">
            <v>45265</v>
          </cell>
        </row>
        <row r="6758">
          <cell r="A6758" t="str">
            <v>Juliano Alves Pereira</v>
          </cell>
          <cell r="B6758">
            <v>37015493</v>
          </cell>
          <cell r="C6758">
            <v>20062744</v>
          </cell>
          <cell r="D6758">
            <v>45265</v>
          </cell>
        </row>
        <row r="6759">
          <cell r="A6759" t="str">
            <v>Eliseu Bueno de Paulo</v>
          </cell>
          <cell r="B6759">
            <v>37015497</v>
          </cell>
          <cell r="C6759">
            <v>20062748</v>
          </cell>
          <cell r="D6759">
            <v>45265</v>
          </cell>
        </row>
        <row r="6760">
          <cell r="A6760" t="str">
            <v>Gustavo Carreiro</v>
          </cell>
          <cell r="B6760">
            <v>37015488</v>
          </cell>
          <cell r="C6760">
            <v>20062739</v>
          </cell>
          <cell r="D6760">
            <v>45265</v>
          </cell>
        </row>
        <row r="6761">
          <cell r="A6761" t="str">
            <v>Lucas De Almeida Alves</v>
          </cell>
          <cell r="B6761">
            <v>37015489</v>
          </cell>
          <cell r="C6761">
            <v>20062740</v>
          </cell>
          <cell r="D6761">
            <v>45265</v>
          </cell>
        </row>
        <row r="6762">
          <cell r="A6762" t="str">
            <v>Jean Mota Santos</v>
          </cell>
          <cell r="B6762">
            <v>37015495</v>
          </cell>
          <cell r="C6762">
            <v>20062746</v>
          </cell>
          <cell r="D6762">
            <v>45265</v>
          </cell>
        </row>
        <row r="6763">
          <cell r="A6763" t="str">
            <v>Joao Wagner Pereira</v>
          </cell>
          <cell r="B6763">
            <v>37015505</v>
          </cell>
          <cell r="C6763">
            <v>20062756</v>
          </cell>
          <cell r="D6763">
            <v>45265</v>
          </cell>
        </row>
        <row r="6764">
          <cell r="A6764" t="str">
            <v>Valdiney da Silva Vicente</v>
          </cell>
          <cell r="B6764">
            <v>37015508</v>
          </cell>
          <cell r="C6764">
            <v>20062759</v>
          </cell>
          <cell r="D6764">
            <v>45265</v>
          </cell>
        </row>
        <row r="6765">
          <cell r="A6765" t="str">
            <v>Tiago Mantovani Delecrode</v>
          </cell>
          <cell r="B6765">
            <v>37004050</v>
          </cell>
          <cell r="C6765">
            <v>20009969</v>
          </cell>
          <cell r="D6765">
            <v>43808</v>
          </cell>
        </row>
        <row r="6766">
          <cell r="A6766" t="str">
            <v>Mariani Carrion Ximendes</v>
          </cell>
          <cell r="B6766">
            <v>37007969</v>
          </cell>
          <cell r="C6766">
            <v>20025994</v>
          </cell>
          <cell r="D6766">
            <v>44713</v>
          </cell>
        </row>
        <row r="6767">
          <cell r="A6767" t="str">
            <v>Carla Riovane Chiles</v>
          </cell>
          <cell r="B6767">
            <v>37005401</v>
          </cell>
          <cell r="C6767">
            <v>20013519</v>
          </cell>
          <cell r="D6767">
            <v>44256</v>
          </cell>
        </row>
        <row r="6768">
          <cell r="A6768" t="str">
            <v>Joao Paulo De Assis</v>
          </cell>
          <cell r="B6768">
            <v>37009219</v>
          </cell>
          <cell r="C6768">
            <v>20031938</v>
          </cell>
          <cell r="D6768">
            <v>44795</v>
          </cell>
        </row>
        <row r="6769">
          <cell r="A6769" t="str">
            <v>Izabela Carvalho Domingues dos Santos</v>
          </cell>
          <cell r="B6769">
            <v>37012255</v>
          </cell>
          <cell r="C6769">
            <v>20049153</v>
          </cell>
          <cell r="D6769">
            <v>45048</v>
          </cell>
        </row>
        <row r="6770">
          <cell r="A6770" t="str">
            <v>Ueverton Francisco Silva Oliveira</v>
          </cell>
          <cell r="B6770">
            <v>37012307</v>
          </cell>
          <cell r="C6770">
            <v>20049265</v>
          </cell>
          <cell r="D6770">
            <v>45048</v>
          </cell>
        </row>
        <row r="6771">
          <cell r="A6771" t="str">
            <v>Luiz Roberto Rodrigues Filho</v>
          </cell>
          <cell r="B6771">
            <v>37007424</v>
          </cell>
          <cell r="C6771">
            <v>20025464</v>
          </cell>
          <cell r="D6771">
            <v>44662</v>
          </cell>
        </row>
        <row r="6772">
          <cell r="A6772" t="str">
            <v>Fabio Rodrigues Dos Santos</v>
          </cell>
          <cell r="B6772">
            <v>37015512</v>
          </cell>
          <cell r="C6772">
            <v>20062768</v>
          </cell>
          <cell r="D6772">
            <v>45265</v>
          </cell>
        </row>
        <row r="6773">
          <cell r="A6773" t="str">
            <v>Alex Sandro Jose Rossi</v>
          </cell>
          <cell r="B6773">
            <v>37015521</v>
          </cell>
          <cell r="C6773">
            <v>20062786</v>
          </cell>
          <cell r="D6773">
            <v>45264</v>
          </cell>
        </row>
        <row r="6774">
          <cell r="A6774" t="str">
            <v>Genival Luiz De Assis</v>
          </cell>
          <cell r="B6774">
            <v>37015522</v>
          </cell>
          <cell r="C6774">
            <v>20062787</v>
          </cell>
          <cell r="D6774">
            <v>45264</v>
          </cell>
        </row>
        <row r="6775">
          <cell r="A6775" t="str">
            <v>Claudinei Aparecido Da Silva</v>
          </cell>
          <cell r="B6775">
            <v>37015523</v>
          </cell>
          <cell r="C6775">
            <v>20062788</v>
          </cell>
          <cell r="D6775">
            <v>45264</v>
          </cell>
        </row>
        <row r="6776">
          <cell r="A6776" t="str">
            <v>Jane Milla Donato</v>
          </cell>
          <cell r="B6776">
            <v>37015529</v>
          </cell>
          <cell r="C6776">
            <v>20062808</v>
          </cell>
          <cell r="D6776">
            <v>45272</v>
          </cell>
        </row>
        <row r="6777">
          <cell r="A6777" t="str">
            <v>Fabio Jose Pantoja</v>
          </cell>
          <cell r="B6777">
            <v>37015533</v>
          </cell>
          <cell r="C6777">
            <v>20062812</v>
          </cell>
          <cell r="D6777">
            <v>45272</v>
          </cell>
        </row>
        <row r="6778">
          <cell r="A6778" t="str">
            <v>Mauro Sergio De Oliveira</v>
          </cell>
          <cell r="B6778">
            <v>37015538</v>
          </cell>
          <cell r="C6778">
            <v>20062817</v>
          </cell>
          <cell r="D6778">
            <v>45272</v>
          </cell>
        </row>
        <row r="6779">
          <cell r="A6779" t="str">
            <v>Ana Paula Fonseca Kupper</v>
          </cell>
          <cell r="B6779">
            <v>37003643</v>
          </cell>
          <cell r="C6779">
            <v>20002849</v>
          </cell>
          <cell r="D6779">
            <v>43711</v>
          </cell>
        </row>
        <row r="6780">
          <cell r="A6780" t="str">
            <v>Edmilton Lima De Jesus</v>
          </cell>
          <cell r="B6780">
            <v>37010775</v>
          </cell>
          <cell r="C6780">
            <v>20041157</v>
          </cell>
          <cell r="D6780">
            <v>44944</v>
          </cell>
        </row>
        <row r="6781">
          <cell r="A6781" t="str">
            <v>Claudio Jose De Palma</v>
          </cell>
          <cell r="B6781">
            <v>37005240</v>
          </cell>
          <cell r="C6781">
            <v>20011061</v>
          </cell>
          <cell r="D6781">
            <v>44138</v>
          </cell>
        </row>
        <row r="6782">
          <cell r="A6782" t="str">
            <v>Liniker De Oliveira Martins</v>
          </cell>
          <cell r="B6782">
            <v>37008040</v>
          </cell>
          <cell r="C6782">
            <v>20026068</v>
          </cell>
          <cell r="D6782">
            <v>44713</v>
          </cell>
        </row>
        <row r="6783">
          <cell r="A6783" t="str">
            <v>Leandro Rodrigues Nunes</v>
          </cell>
          <cell r="B6783">
            <v>37015623</v>
          </cell>
          <cell r="C6783">
            <v>20062930</v>
          </cell>
          <cell r="D6783">
            <v>45272</v>
          </cell>
        </row>
        <row r="6784">
          <cell r="A6784" t="str">
            <v>Josiane Aparecida Rodrigues</v>
          </cell>
          <cell r="B6784">
            <v>37015545</v>
          </cell>
          <cell r="C6784">
            <v>20062931</v>
          </cell>
          <cell r="D6784">
            <v>45272</v>
          </cell>
        </row>
        <row r="6785">
          <cell r="A6785" t="str">
            <v>Joao Carlos Da Silva</v>
          </cell>
          <cell r="B6785">
            <v>37015547</v>
          </cell>
          <cell r="C6785">
            <v>20062933</v>
          </cell>
          <cell r="D6785">
            <v>45272</v>
          </cell>
        </row>
        <row r="6786">
          <cell r="A6786" t="str">
            <v>Matheus Vinicios Dos Santos</v>
          </cell>
          <cell r="B6786">
            <v>37015540</v>
          </cell>
          <cell r="C6786">
            <v>20062926</v>
          </cell>
          <cell r="D6786">
            <v>45272</v>
          </cell>
        </row>
        <row r="6787">
          <cell r="A6787" t="str">
            <v>Hemerson Robison Clemente</v>
          </cell>
          <cell r="B6787">
            <v>37015549</v>
          </cell>
          <cell r="C6787">
            <v>20062935</v>
          </cell>
          <cell r="D6787">
            <v>45272</v>
          </cell>
        </row>
        <row r="6788">
          <cell r="A6788" t="str">
            <v>Debora Gercilia Dos Santos</v>
          </cell>
          <cell r="B6788">
            <v>37015552</v>
          </cell>
          <cell r="C6788">
            <v>20062938</v>
          </cell>
          <cell r="D6788">
            <v>45272</v>
          </cell>
        </row>
        <row r="6789">
          <cell r="A6789" t="str">
            <v>Paulo Henrique Barbosa Dos Santos</v>
          </cell>
          <cell r="B6789">
            <v>37015557</v>
          </cell>
          <cell r="C6789">
            <v>20062943</v>
          </cell>
          <cell r="D6789">
            <v>45272</v>
          </cell>
        </row>
        <row r="6790">
          <cell r="A6790" t="str">
            <v>Eric Dos Santos Silva</v>
          </cell>
          <cell r="B6790">
            <v>37015566</v>
          </cell>
          <cell r="C6790">
            <v>20062952</v>
          </cell>
          <cell r="D6790">
            <v>45272</v>
          </cell>
        </row>
        <row r="6791">
          <cell r="A6791" t="str">
            <v>Matheus dos Santos de Sousa</v>
          </cell>
          <cell r="B6791">
            <v>37015568</v>
          </cell>
          <cell r="C6791">
            <v>20062954</v>
          </cell>
          <cell r="D6791">
            <v>45272</v>
          </cell>
        </row>
        <row r="6792">
          <cell r="A6792" t="str">
            <v>Jaudimilson Medina da Silva</v>
          </cell>
          <cell r="B6792">
            <v>37015571</v>
          </cell>
          <cell r="C6792">
            <v>20062957</v>
          </cell>
          <cell r="D6792">
            <v>45272</v>
          </cell>
        </row>
        <row r="6793">
          <cell r="A6793" t="str">
            <v>Ademilson Dias</v>
          </cell>
          <cell r="B6793">
            <v>37015562</v>
          </cell>
          <cell r="C6793">
            <v>20062948</v>
          </cell>
          <cell r="D6793">
            <v>45272</v>
          </cell>
        </row>
        <row r="6794">
          <cell r="A6794" t="str">
            <v>Cleyton Moreira Colares</v>
          </cell>
          <cell r="B6794">
            <v>37015567</v>
          </cell>
          <cell r="C6794">
            <v>20062953</v>
          </cell>
          <cell r="D6794">
            <v>45272</v>
          </cell>
        </row>
        <row r="6795">
          <cell r="A6795" t="str">
            <v>Adriano Severino Da Silva</v>
          </cell>
          <cell r="B6795">
            <v>37015573</v>
          </cell>
          <cell r="C6795">
            <v>20062961</v>
          </cell>
          <cell r="D6795">
            <v>45272</v>
          </cell>
        </row>
        <row r="6796">
          <cell r="A6796" t="str">
            <v>Carlos Jose Correia Gomes</v>
          </cell>
          <cell r="B6796">
            <v>37015574</v>
          </cell>
          <cell r="C6796">
            <v>20062962</v>
          </cell>
          <cell r="D6796">
            <v>45272</v>
          </cell>
        </row>
        <row r="6797">
          <cell r="A6797" t="str">
            <v>Robson Lucio De Souza Santos</v>
          </cell>
          <cell r="B6797">
            <v>37015580</v>
          </cell>
          <cell r="C6797">
            <v>20062968</v>
          </cell>
          <cell r="D6797">
            <v>45272</v>
          </cell>
        </row>
        <row r="6798">
          <cell r="A6798" t="str">
            <v>Jeferson Coelho Da Silva Vieira</v>
          </cell>
          <cell r="B6798">
            <v>37015584</v>
          </cell>
          <cell r="C6798">
            <v>20062972</v>
          </cell>
          <cell r="D6798">
            <v>45272</v>
          </cell>
        </row>
        <row r="6799">
          <cell r="A6799" t="str">
            <v>Vanclei Dias De Souza</v>
          </cell>
          <cell r="B6799">
            <v>37015586</v>
          </cell>
          <cell r="C6799">
            <v>20062974</v>
          </cell>
          <cell r="D6799">
            <v>45272</v>
          </cell>
        </row>
        <row r="6800">
          <cell r="A6800" t="str">
            <v>Reginaldo Rocha De Jesus Santos</v>
          </cell>
          <cell r="B6800">
            <v>37015591</v>
          </cell>
          <cell r="C6800">
            <v>20062979</v>
          </cell>
          <cell r="D6800">
            <v>45272</v>
          </cell>
        </row>
        <row r="6801">
          <cell r="A6801" t="str">
            <v>Renato Pereira Dos Santos</v>
          </cell>
          <cell r="B6801">
            <v>37015585</v>
          </cell>
          <cell r="C6801">
            <v>20062973</v>
          </cell>
          <cell r="D6801">
            <v>45272</v>
          </cell>
        </row>
        <row r="6802">
          <cell r="A6802" t="str">
            <v>Jose Carlos Mesacio</v>
          </cell>
          <cell r="B6802">
            <v>37015587</v>
          </cell>
          <cell r="C6802">
            <v>20062975</v>
          </cell>
          <cell r="D6802">
            <v>45272</v>
          </cell>
        </row>
        <row r="6803">
          <cell r="A6803" t="str">
            <v>Eduardo Rosanova</v>
          </cell>
          <cell r="B6803">
            <v>37015592</v>
          </cell>
          <cell r="C6803">
            <v>20062980</v>
          </cell>
          <cell r="D6803">
            <v>45272</v>
          </cell>
        </row>
        <row r="6804">
          <cell r="A6804" t="str">
            <v>Marcos Elias Rodrigues Dos Santos</v>
          </cell>
          <cell r="B6804">
            <v>37015593</v>
          </cell>
          <cell r="C6804">
            <v>20062981</v>
          </cell>
          <cell r="D6804">
            <v>45272</v>
          </cell>
        </row>
        <row r="6805">
          <cell r="A6805" t="str">
            <v>Sebastiao Adicio Ramos De Moraes</v>
          </cell>
          <cell r="B6805">
            <v>37015601</v>
          </cell>
          <cell r="C6805">
            <v>20062999</v>
          </cell>
          <cell r="D6805">
            <v>45272</v>
          </cell>
        </row>
        <row r="6806">
          <cell r="A6806" t="str">
            <v>Adenilson Teixeira Xavier</v>
          </cell>
          <cell r="B6806">
            <v>37015602</v>
          </cell>
          <cell r="C6806">
            <v>20063000</v>
          </cell>
          <cell r="D6806">
            <v>45272</v>
          </cell>
        </row>
        <row r="6807">
          <cell r="A6807" t="str">
            <v>Felipe Aparecido Guandalin</v>
          </cell>
          <cell r="B6807">
            <v>37015606</v>
          </cell>
          <cell r="C6807">
            <v>20063004</v>
          </cell>
          <cell r="D6807">
            <v>45272</v>
          </cell>
        </row>
        <row r="6808">
          <cell r="A6808" t="str">
            <v>Donizete Aparecido Henrique</v>
          </cell>
          <cell r="B6808">
            <v>37015607</v>
          </cell>
          <cell r="C6808">
            <v>20063005</v>
          </cell>
          <cell r="D6808">
            <v>45272</v>
          </cell>
        </row>
        <row r="6809">
          <cell r="A6809" t="str">
            <v>Renato Fernando Pereira</v>
          </cell>
          <cell r="B6809">
            <v>37015610</v>
          </cell>
          <cell r="C6809">
            <v>20063008</v>
          </cell>
          <cell r="D6809">
            <v>45272</v>
          </cell>
        </row>
        <row r="6810">
          <cell r="A6810" t="str">
            <v>Andre Luiz De Melo Tavares</v>
          </cell>
          <cell r="B6810">
            <v>37015611</v>
          </cell>
          <cell r="C6810">
            <v>20063009</v>
          </cell>
          <cell r="D6810">
            <v>45272</v>
          </cell>
        </row>
        <row r="6811">
          <cell r="A6811" t="str">
            <v>Silvio Cezar Marcato</v>
          </cell>
          <cell r="B6811">
            <v>37015613</v>
          </cell>
          <cell r="C6811">
            <v>20063011</v>
          </cell>
          <cell r="D6811">
            <v>45272</v>
          </cell>
        </row>
        <row r="6812">
          <cell r="A6812" t="str">
            <v>Aldemar Pereira De Jesus</v>
          </cell>
          <cell r="B6812">
            <v>37015615</v>
          </cell>
          <cell r="C6812">
            <v>20063013</v>
          </cell>
          <cell r="D6812">
            <v>45272</v>
          </cell>
        </row>
        <row r="6813">
          <cell r="A6813" t="str">
            <v>Anderson Aparecido Da Silva</v>
          </cell>
          <cell r="B6813">
            <v>37015616</v>
          </cell>
          <cell r="C6813">
            <v>20063014</v>
          </cell>
          <cell r="D6813">
            <v>45272</v>
          </cell>
        </row>
        <row r="6814">
          <cell r="A6814" t="str">
            <v>Tcharles de Oliveira Queiros</v>
          </cell>
          <cell r="B6814">
            <v>37015617</v>
          </cell>
          <cell r="C6814">
            <v>20063015</v>
          </cell>
          <cell r="D6814">
            <v>45272</v>
          </cell>
        </row>
        <row r="6815">
          <cell r="A6815" t="str">
            <v>Ademir Luiz Gomes</v>
          </cell>
          <cell r="B6815">
            <v>37015629</v>
          </cell>
          <cell r="C6815">
            <v>20063036</v>
          </cell>
          <cell r="D6815">
            <v>45272</v>
          </cell>
        </row>
        <row r="6816">
          <cell r="A6816" t="str">
            <v>Guilherme Afonso da Silva</v>
          </cell>
          <cell r="B6816">
            <v>37013482</v>
          </cell>
          <cell r="C6816">
            <v>20055378</v>
          </cell>
          <cell r="D6816">
            <v>45125</v>
          </cell>
        </row>
        <row r="6817">
          <cell r="A6817" t="str">
            <v>Jose Roberto Alves dos Santos</v>
          </cell>
          <cell r="B6817">
            <v>37012310</v>
          </cell>
          <cell r="C6817">
            <v>20049268</v>
          </cell>
          <cell r="D6817">
            <v>45048</v>
          </cell>
        </row>
        <row r="6818">
          <cell r="A6818" t="str">
            <v>Alison Beltramin</v>
          </cell>
          <cell r="B6818">
            <v>37012236</v>
          </cell>
          <cell r="C6818">
            <v>20048947</v>
          </cell>
          <cell r="D6818">
            <v>45048</v>
          </cell>
        </row>
        <row r="6819">
          <cell r="A6819" t="str">
            <v>Jonatas Francisco Rodrigues</v>
          </cell>
          <cell r="B6819">
            <v>37012250</v>
          </cell>
          <cell r="C6819">
            <v>20049074</v>
          </cell>
          <cell r="D6819">
            <v>45048</v>
          </cell>
        </row>
        <row r="6820">
          <cell r="A6820" t="str">
            <v>Leonardo Ferraz Da Silva</v>
          </cell>
          <cell r="B6820">
            <v>37012233</v>
          </cell>
          <cell r="C6820">
            <v>20048944</v>
          </cell>
          <cell r="D6820">
            <v>45048</v>
          </cell>
        </row>
        <row r="6821">
          <cell r="A6821" t="str">
            <v>Renan Salgado Silva</v>
          </cell>
          <cell r="B6821">
            <v>37007103</v>
          </cell>
          <cell r="C6821">
            <v>20022913</v>
          </cell>
          <cell r="D6821">
            <v>44599</v>
          </cell>
        </row>
        <row r="6822">
          <cell r="A6822" t="str">
            <v>Mateus Antonio Prenhaca</v>
          </cell>
          <cell r="B6822">
            <v>37013514</v>
          </cell>
          <cell r="C6822">
            <v>20055410</v>
          </cell>
          <cell r="D6822">
            <v>45125</v>
          </cell>
        </row>
        <row r="6823">
          <cell r="A6823" t="str">
            <v>Aparecido Nunes De Moraes</v>
          </cell>
          <cell r="B6823">
            <v>37000387</v>
          </cell>
          <cell r="C6823">
            <v>20008677</v>
          </cell>
          <cell r="D6823">
            <v>38026</v>
          </cell>
        </row>
        <row r="6824">
          <cell r="A6824" t="str">
            <v>Eliel Oliveira De Jesus Santos</v>
          </cell>
          <cell r="B6824">
            <v>37010358</v>
          </cell>
          <cell r="C6824">
            <v>20039055</v>
          </cell>
          <cell r="D6824">
            <v>44900</v>
          </cell>
        </row>
        <row r="6825">
          <cell r="A6825" t="str">
            <v>Paulo Andre Domingues</v>
          </cell>
          <cell r="B6825">
            <v>37006821</v>
          </cell>
          <cell r="C6825">
            <v>20019998</v>
          </cell>
          <cell r="D6825">
            <v>44531</v>
          </cell>
        </row>
        <row r="6826">
          <cell r="A6826" t="str">
            <v>Marcos Roberto Garcia</v>
          </cell>
          <cell r="B6826">
            <v>37006903</v>
          </cell>
          <cell r="C6826">
            <v>20020988</v>
          </cell>
          <cell r="D6826">
            <v>44550</v>
          </cell>
        </row>
        <row r="6827">
          <cell r="A6827" t="str">
            <v>Everaldo Marin</v>
          </cell>
          <cell r="B6827">
            <v>37007727</v>
          </cell>
          <cell r="C6827">
            <v>20025807</v>
          </cell>
          <cell r="D6827">
            <v>44697</v>
          </cell>
        </row>
        <row r="6828">
          <cell r="A6828" t="str">
            <v>Eluizio Antonio Barbosa</v>
          </cell>
          <cell r="B6828">
            <v>37007711</v>
          </cell>
          <cell r="C6828">
            <v>20025790</v>
          </cell>
          <cell r="D6828">
            <v>44690</v>
          </cell>
        </row>
        <row r="6829">
          <cell r="A6829" t="str">
            <v>Anderson Junior Aparecido Da Silva</v>
          </cell>
          <cell r="B6829">
            <v>37006818</v>
          </cell>
          <cell r="C6829">
            <v>20019995</v>
          </cell>
          <cell r="D6829">
            <v>44531</v>
          </cell>
        </row>
        <row r="6830">
          <cell r="A6830" t="str">
            <v>Glauco Fernandes Sanches</v>
          </cell>
          <cell r="B6830">
            <v>37006193</v>
          </cell>
          <cell r="C6830">
            <v>20016951</v>
          </cell>
          <cell r="D6830">
            <v>44424</v>
          </cell>
        </row>
        <row r="6831">
          <cell r="A6831" t="str">
            <v>Elisangela Teixeira da Costa Pereira</v>
          </cell>
          <cell r="B6831">
            <v>37010641</v>
          </cell>
          <cell r="C6831">
            <v>20040595</v>
          </cell>
          <cell r="D6831">
            <v>44930</v>
          </cell>
        </row>
        <row r="6832">
          <cell r="A6832" t="str">
            <v>Domingos de Jesus Silva</v>
          </cell>
          <cell r="B6832">
            <v>37015632</v>
          </cell>
          <cell r="C6832">
            <v>20063043</v>
          </cell>
          <cell r="D6832">
            <v>45272</v>
          </cell>
        </row>
        <row r="6833">
          <cell r="A6833" t="str">
            <v>Ricardo Rocha Varreira</v>
          </cell>
          <cell r="B6833">
            <v>37015672</v>
          </cell>
          <cell r="C6833">
            <v>20063371</v>
          </cell>
          <cell r="D6833">
            <v>45300</v>
          </cell>
        </row>
        <row r="6834">
          <cell r="A6834" t="str">
            <v>Denilso de Melo</v>
          </cell>
          <cell r="B6834">
            <v>37015674</v>
          </cell>
          <cell r="C6834">
            <v>20063373</v>
          </cell>
          <cell r="D6834">
            <v>45307</v>
          </cell>
        </row>
        <row r="6835">
          <cell r="A6835" t="str">
            <v>Hugor Henrique De Oliveira Santos</v>
          </cell>
          <cell r="B6835">
            <v>37012238</v>
          </cell>
          <cell r="C6835">
            <v>20049062</v>
          </cell>
          <cell r="D6835">
            <v>45048</v>
          </cell>
        </row>
        <row r="6836">
          <cell r="A6836" t="str">
            <v>Reginaldo Leite Rodrigues</v>
          </cell>
          <cell r="B6836">
            <v>37015689</v>
          </cell>
          <cell r="C6836">
            <v>20063388</v>
          </cell>
          <cell r="D6836">
            <v>45300</v>
          </cell>
        </row>
        <row r="6837">
          <cell r="A6837" t="str">
            <v>Marcio Roberto De Paula</v>
          </cell>
          <cell r="B6837">
            <v>37015726</v>
          </cell>
          <cell r="C6837">
            <v>20063415</v>
          </cell>
          <cell r="D6837">
            <v>45300</v>
          </cell>
        </row>
        <row r="6838">
          <cell r="A6838" t="str">
            <v>Adilsom Aparecido Gomes Da Silva</v>
          </cell>
          <cell r="B6838">
            <v>37015728</v>
          </cell>
          <cell r="C6838">
            <v>20063417</v>
          </cell>
          <cell r="D6838">
            <v>45300</v>
          </cell>
        </row>
        <row r="6839">
          <cell r="A6839" t="str">
            <v>Lemuel Naum Cardoso</v>
          </cell>
          <cell r="B6839">
            <v>37015731</v>
          </cell>
          <cell r="C6839">
            <v>20063420</v>
          </cell>
          <cell r="D6839">
            <v>45300</v>
          </cell>
        </row>
        <row r="6840">
          <cell r="A6840" t="str">
            <v>Graziella da Silva Inacio Siqueira</v>
          </cell>
          <cell r="B6840">
            <v>37015734</v>
          </cell>
          <cell r="C6840">
            <v>20063423</v>
          </cell>
          <cell r="D6840">
            <v>45300</v>
          </cell>
        </row>
        <row r="6841">
          <cell r="A6841" t="str">
            <v>Marcos Aurelio Diniz Da Silva</v>
          </cell>
          <cell r="B6841">
            <v>37015749</v>
          </cell>
          <cell r="C6841">
            <v>20063434</v>
          </cell>
          <cell r="D6841">
            <v>45300</v>
          </cell>
        </row>
        <row r="6842">
          <cell r="A6842" t="str">
            <v>Thiago Ferreira De Souza</v>
          </cell>
          <cell r="B6842">
            <v>37015750</v>
          </cell>
          <cell r="C6842">
            <v>20063435</v>
          </cell>
          <cell r="D6842">
            <v>45300</v>
          </cell>
        </row>
        <row r="6843">
          <cell r="A6843" t="str">
            <v>Jose Osmir Messias</v>
          </cell>
          <cell r="B6843">
            <v>37015748</v>
          </cell>
          <cell r="C6843">
            <v>20063433</v>
          </cell>
          <cell r="D6843">
            <v>45300</v>
          </cell>
        </row>
        <row r="6844">
          <cell r="A6844" t="str">
            <v>Maicon Rogerio Fayan</v>
          </cell>
          <cell r="B6844">
            <v>37015752</v>
          </cell>
          <cell r="C6844">
            <v>20063437</v>
          </cell>
          <cell r="D6844">
            <v>45300</v>
          </cell>
        </row>
        <row r="6845">
          <cell r="A6845" t="str">
            <v>Bianca Jesus de Oliveira</v>
          </cell>
          <cell r="B6845">
            <v>37015754</v>
          </cell>
          <cell r="C6845">
            <v>20063439</v>
          </cell>
          <cell r="D6845">
            <v>45300</v>
          </cell>
        </row>
        <row r="6846">
          <cell r="A6846" t="str">
            <v>Paulo Roberto Santana</v>
          </cell>
          <cell r="B6846">
            <v>37015751</v>
          </cell>
          <cell r="C6846">
            <v>20063436</v>
          </cell>
          <cell r="D6846">
            <v>45300</v>
          </cell>
        </row>
        <row r="6847">
          <cell r="A6847" t="str">
            <v>Claudenir Alencar Garcia</v>
          </cell>
          <cell r="B6847">
            <v>37015770</v>
          </cell>
          <cell r="C6847">
            <v>20063482</v>
          </cell>
          <cell r="D6847">
            <v>45300</v>
          </cell>
        </row>
        <row r="6848">
          <cell r="A6848" t="str">
            <v>Jhonatan Wilson Dias Oliveira</v>
          </cell>
          <cell r="B6848">
            <v>37015772</v>
          </cell>
          <cell r="C6848">
            <v>20063484</v>
          </cell>
          <cell r="D6848">
            <v>45300</v>
          </cell>
        </row>
        <row r="6849">
          <cell r="A6849" t="str">
            <v>Uedslei Luiz Da Cunha</v>
          </cell>
          <cell r="B6849">
            <v>37006015</v>
          </cell>
          <cell r="C6849">
            <v>20015657</v>
          </cell>
          <cell r="D6849">
            <v>44396</v>
          </cell>
        </row>
        <row r="6850">
          <cell r="A6850" t="str">
            <v>Douglas Felipe Ulian</v>
          </cell>
          <cell r="B6850">
            <v>37015796</v>
          </cell>
          <cell r="C6850">
            <v>20063519</v>
          </cell>
          <cell r="D6850">
            <v>45314</v>
          </cell>
        </row>
        <row r="6851">
          <cell r="A6851" t="str">
            <v>Vanderlei Suptil Silva</v>
          </cell>
          <cell r="B6851">
            <v>37015779</v>
          </cell>
          <cell r="C6851">
            <v>20063491</v>
          </cell>
          <cell r="D6851">
            <v>45314</v>
          </cell>
        </row>
        <row r="6852">
          <cell r="A6852" t="str">
            <v>Adailton Correa da Silva</v>
          </cell>
          <cell r="B6852">
            <v>37015803</v>
          </cell>
          <cell r="C6852">
            <v>20063526</v>
          </cell>
          <cell r="D6852">
            <v>45300</v>
          </cell>
        </row>
        <row r="6853">
          <cell r="A6853" t="str">
            <v>Claudir Martins Lopes</v>
          </cell>
          <cell r="B6853">
            <v>37015822</v>
          </cell>
          <cell r="C6853">
            <v>20063536</v>
          </cell>
          <cell r="D6853">
            <v>45300</v>
          </cell>
        </row>
        <row r="6854">
          <cell r="A6854" t="str">
            <v>Denni Carlos De Jesus</v>
          </cell>
          <cell r="B6854">
            <v>37015827</v>
          </cell>
          <cell r="C6854">
            <v>20063541</v>
          </cell>
          <cell r="D6854">
            <v>45300</v>
          </cell>
        </row>
        <row r="6855">
          <cell r="A6855" t="str">
            <v>Suzana Carvalho Ferreira Pinto</v>
          </cell>
          <cell r="B6855">
            <v>37015817</v>
          </cell>
          <cell r="C6855">
            <v>20063531</v>
          </cell>
          <cell r="D6855">
            <v>45300</v>
          </cell>
        </row>
        <row r="6856">
          <cell r="A6856" t="str">
            <v>Gabriella do Valle Cardozo</v>
          </cell>
          <cell r="B6856">
            <v>37015820</v>
          </cell>
          <cell r="C6856">
            <v>20063534</v>
          </cell>
          <cell r="D6856">
            <v>45300</v>
          </cell>
        </row>
        <row r="6857">
          <cell r="A6857" t="str">
            <v>Cleber Aparecido Valdevino</v>
          </cell>
          <cell r="B6857">
            <v>37015866</v>
          </cell>
          <cell r="C6857">
            <v>20063550</v>
          </cell>
          <cell r="D6857">
            <v>45300</v>
          </cell>
        </row>
        <row r="6858">
          <cell r="A6858" t="str">
            <v>Henrique Camelo Schettino De Castilho</v>
          </cell>
          <cell r="B6858">
            <v>37015867</v>
          </cell>
          <cell r="C6858">
            <v>20063551</v>
          </cell>
          <cell r="D6858">
            <v>45300</v>
          </cell>
        </row>
        <row r="6859">
          <cell r="A6859" t="str">
            <v>Joao Marcos Vieira Martins</v>
          </cell>
          <cell r="B6859">
            <v>37015892</v>
          </cell>
          <cell r="C6859">
            <v>20063570</v>
          </cell>
          <cell r="D6859">
            <v>45300</v>
          </cell>
        </row>
        <row r="6860">
          <cell r="A6860" t="str">
            <v>Wesley Rodrigo Biancone</v>
          </cell>
          <cell r="B6860">
            <v>37015893</v>
          </cell>
          <cell r="C6860">
            <v>20063571</v>
          </cell>
          <cell r="D6860">
            <v>45314</v>
          </cell>
        </row>
        <row r="6861">
          <cell r="A6861" t="str">
            <v>Jefferson Rodrigo Mendes Pires</v>
          </cell>
          <cell r="B6861">
            <v>37015870</v>
          </cell>
          <cell r="C6861">
            <v>20063554</v>
          </cell>
          <cell r="D6861">
            <v>45300</v>
          </cell>
        </row>
        <row r="6862">
          <cell r="A6862" t="str">
            <v>Gelogiane Pereira de Sousa</v>
          </cell>
          <cell r="B6862">
            <v>37015895</v>
          </cell>
          <cell r="C6862">
            <v>20063573</v>
          </cell>
          <cell r="D6862">
            <v>45314</v>
          </cell>
        </row>
        <row r="6863">
          <cell r="A6863" t="str">
            <v>Roberto De Arcanjo Junior</v>
          </cell>
          <cell r="B6863">
            <v>37015898</v>
          </cell>
          <cell r="C6863">
            <v>20063576</v>
          </cell>
          <cell r="D6863">
            <v>45314</v>
          </cell>
        </row>
        <row r="6864">
          <cell r="A6864" t="str">
            <v>Rafael Rodrigues da Silva</v>
          </cell>
          <cell r="B6864">
            <v>37012229</v>
          </cell>
          <cell r="C6864">
            <v>20048940</v>
          </cell>
          <cell r="D6864">
            <v>45048</v>
          </cell>
        </row>
        <row r="6865">
          <cell r="A6865" t="str">
            <v>Sueli Moreira Leal</v>
          </cell>
          <cell r="B6865">
            <v>37016093</v>
          </cell>
          <cell r="C6865">
            <v>20063693</v>
          </cell>
          <cell r="D6865">
            <v>45300</v>
          </cell>
        </row>
        <row r="6866">
          <cell r="A6866" t="str">
            <v>Leandro Rodrigues Da Silva</v>
          </cell>
          <cell r="B6866">
            <v>37016095</v>
          </cell>
          <cell r="C6866">
            <v>20063695</v>
          </cell>
          <cell r="D6866">
            <v>45300</v>
          </cell>
        </row>
        <row r="6867">
          <cell r="A6867" t="str">
            <v>Maria Santa Marinha Garcia</v>
          </cell>
          <cell r="B6867">
            <v>37016099</v>
          </cell>
          <cell r="C6867">
            <v>20063706</v>
          </cell>
          <cell r="D6867">
            <v>45300</v>
          </cell>
        </row>
        <row r="6868">
          <cell r="A6868" t="str">
            <v>Marco Aurelio De Oliveira Canola</v>
          </cell>
          <cell r="B6868">
            <v>37016103</v>
          </cell>
          <cell r="C6868">
            <v>20063711</v>
          </cell>
          <cell r="D6868">
            <v>45300</v>
          </cell>
        </row>
        <row r="6869">
          <cell r="A6869" t="str">
            <v>Nereide Dias De Freitas</v>
          </cell>
          <cell r="B6869">
            <v>37016096</v>
          </cell>
          <cell r="C6869">
            <v>20063696</v>
          </cell>
          <cell r="D6869">
            <v>45300</v>
          </cell>
        </row>
        <row r="6870">
          <cell r="A6870" t="str">
            <v>Jussimar Reis da Silva</v>
          </cell>
          <cell r="B6870">
            <v>37016097</v>
          </cell>
          <cell r="C6870">
            <v>20063703</v>
          </cell>
          <cell r="D6870">
            <v>45300</v>
          </cell>
        </row>
        <row r="6871">
          <cell r="A6871" t="str">
            <v>Higor Fernando De Lima</v>
          </cell>
          <cell r="B6871">
            <v>37016100</v>
          </cell>
          <cell r="C6871">
            <v>20063707</v>
          </cell>
          <cell r="D6871">
            <v>45300</v>
          </cell>
        </row>
        <row r="6872">
          <cell r="A6872" t="str">
            <v>Eduardo Barcelos</v>
          </cell>
          <cell r="B6872">
            <v>37016101</v>
          </cell>
          <cell r="C6872">
            <v>20063708</v>
          </cell>
          <cell r="D6872">
            <v>45300</v>
          </cell>
        </row>
        <row r="6873">
          <cell r="A6873" t="str">
            <v>Milton Balbino Luiz Filho</v>
          </cell>
          <cell r="B6873">
            <v>37016102</v>
          </cell>
          <cell r="C6873">
            <v>20063710</v>
          </cell>
          <cell r="D6873">
            <v>45300</v>
          </cell>
        </row>
        <row r="6874">
          <cell r="A6874" t="str">
            <v>Claudineia Moreira Garcia</v>
          </cell>
          <cell r="B6874">
            <v>37016105</v>
          </cell>
          <cell r="C6874">
            <v>20063715</v>
          </cell>
          <cell r="D6874">
            <v>45300</v>
          </cell>
        </row>
        <row r="6875">
          <cell r="A6875" t="str">
            <v>Joao de Jesus Sousa</v>
          </cell>
          <cell r="B6875">
            <v>37016108</v>
          </cell>
          <cell r="C6875">
            <v>20063725</v>
          </cell>
          <cell r="D6875">
            <v>45300</v>
          </cell>
        </row>
        <row r="6876">
          <cell r="A6876" t="str">
            <v>Carlos Alexandre De Albuquerque</v>
          </cell>
          <cell r="B6876">
            <v>37016114</v>
          </cell>
          <cell r="C6876">
            <v>20063732</v>
          </cell>
          <cell r="D6876">
            <v>45300</v>
          </cell>
        </row>
        <row r="6877">
          <cell r="A6877" t="str">
            <v>Jessica Maria Barbosa</v>
          </cell>
          <cell r="B6877">
            <v>37016120</v>
          </cell>
          <cell r="C6877">
            <v>20063739</v>
          </cell>
          <cell r="D6877">
            <v>45300</v>
          </cell>
        </row>
        <row r="6878">
          <cell r="A6878" t="str">
            <v>Elias das Neves Rocha</v>
          </cell>
          <cell r="B6878">
            <v>37016111</v>
          </cell>
          <cell r="C6878">
            <v>20063729</v>
          </cell>
          <cell r="D6878">
            <v>45300</v>
          </cell>
        </row>
        <row r="6879">
          <cell r="A6879" t="str">
            <v>Christofer Albertini Oliveira</v>
          </cell>
          <cell r="B6879">
            <v>37016117</v>
          </cell>
          <cell r="C6879">
            <v>20063735</v>
          </cell>
          <cell r="D6879">
            <v>45300</v>
          </cell>
        </row>
        <row r="6880">
          <cell r="A6880" t="str">
            <v>Ademir Moreira Santos</v>
          </cell>
          <cell r="B6880">
            <v>37016121</v>
          </cell>
          <cell r="C6880">
            <v>20063740</v>
          </cell>
          <cell r="D6880">
            <v>45300</v>
          </cell>
        </row>
        <row r="6881">
          <cell r="A6881" t="str">
            <v>Eduardo Marciano</v>
          </cell>
          <cell r="B6881">
            <v>37016122</v>
          </cell>
          <cell r="C6881">
            <v>20063741</v>
          </cell>
          <cell r="D6881">
            <v>45300</v>
          </cell>
        </row>
        <row r="6882">
          <cell r="A6882" t="str">
            <v>Reginaldo Donizete Dos Santos</v>
          </cell>
          <cell r="B6882">
            <v>37016130</v>
          </cell>
          <cell r="C6882">
            <v>20063756</v>
          </cell>
          <cell r="D6882">
            <v>45300</v>
          </cell>
        </row>
        <row r="6883">
          <cell r="A6883" t="str">
            <v>Alexandre Daniel Ferreira</v>
          </cell>
          <cell r="B6883">
            <v>37016128</v>
          </cell>
          <cell r="C6883">
            <v>20063751</v>
          </cell>
          <cell r="D6883">
            <v>45300</v>
          </cell>
        </row>
        <row r="6884">
          <cell r="A6884" t="str">
            <v>Jose Aparecido da Paixao</v>
          </cell>
          <cell r="B6884">
            <v>37016129</v>
          </cell>
          <cell r="C6884">
            <v>20063752</v>
          </cell>
          <cell r="D6884">
            <v>45300</v>
          </cell>
        </row>
        <row r="6885">
          <cell r="A6885" t="str">
            <v>Irineu Antonio</v>
          </cell>
          <cell r="B6885">
            <v>37016131</v>
          </cell>
          <cell r="C6885">
            <v>20063758</v>
          </cell>
          <cell r="D6885">
            <v>45300</v>
          </cell>
        </row>
        <row r="6886">
          <cell r="A6886" t="str">
            <v>Joel Teixeira Dos Santos</v>
          </cell>
          <cell r="B6886">
            <v>37016134</v>
          </cell>
          <cell r="C6886">
            <v>20063792</v>
          </cell>
          <cell r="D6886">
            <v>45300</v>
          </cell>
        </row>
        <row r="6887">
          <cell r="A6887" t="str">
            <v>Jose Antonio Guimaraes Coutinho</v>
          </cell>
          <cell r="B6887">
            <v>37016136</v>
          </cell>
          <cell r="C6887">
            <v>20063794</v>
          </cell>
          <cell r="D6887">
            <v>45300</v>
          </cell>
        </row>
        <row r="6888">
          <cell r="A6888" t="str">
            <v>Laudicelia Dos Santos</v>
          </cell>
          <cell r="B6888">
            <v>37016139</v>
          </cell>
          <cell r="C6888">
            <v>20063797</v>
          </cell>
          <cell r="D6888">
            <v>45300</v>
          </cell>
        </row>
        <row r="6889">
          <cell r="A6889" t="str">
            <v>Claudemir Ribeiro De Franca</v>
          </cell>
          <cell r="B6889">
            <v>37016141</v>
          </cell>
          <cell r="C6889">
            <v>20063799</v>
          </cell>
          <cell r="D6889">
            <v>45300</v>
          </cell>
        </row>
        <row r="6890">
          <cell r="A6890" t="str">
            <v>Janderson Guimaraes Rosilho</v>
          </cell>
          <cell r="B6890">
            <v>37016142</v>
          </cell>
          <cell r="C6890">
            <v>20063800</v>
          </cell>
          <cell r="D6890">
            <v>45300</v>
          </cell>
        </row>
        <row r="6891">
          <cell r="A6891" t="str">
            <v>Geremias Paiva da Silva</v>
          </cell>
          <cell r="B6891">
            <v>37016081</v>
          </cell>
          <cell r="C6891">
            <v>20063001</v>
          </cell>
          <cell r="D6891">
            <v>45300</v>
          </cell>
        </row>
        <row r="6892">
          <cell r="A6892" t="str">
            <v>Murilo Julio Cachoni</v>
          </cell>
          <cell r="B6892">
            <v>37016138</v>
          </cell>
          <cell r="C6892">
            <v>20063796</v>
          </cell>
          <cell r="D6892">
            <v>45300</v>
          </cell>
        </row>
        <row r="6893">
          <cell r="A6893" t="str">
            <v>Gustavo Richard Duarte De Oliveira</v>
          </cell>
          <cell r="B6893">
            <v>37016143</v>
          </cell>
          <cell r="C6893">
            <v>20063801</v>
          </cell>
          <cell r="D6893">
            <v>45300</v>
          </cell>
        </row>
        <row r="6894">
          <cell r="A6894" t="str">
            <v>Nelson Arthur Amancio Rosa Soares</v>
          </cell>
          <cell r="B6894">
            <v>37016157</v>
          </cell>
          <cell r="C6894">
            <v>20063811</v>
          </cell>
          <cell r="D6894">
            <v>45307</v>
          </cell>
        </row>
        <row r="6895">
          <cell r="A6895" t="str">
            <v>Joao Eduardo Arantes</v>
          </cell>
          <cell r="B6895">
            <v>37016213</v>
          </cell>
          <cell r="C6895">
            <v>20063892</v>
          </cell>
          <cell r="D6895">
            <v>45307</v>
          </cell>
        </row>
        <row r="6896">
          <cell r="A6896" t="str">
            <v>Rogerio Ferraz Tomasetti</v>
          </cell>
          <cell r="B6896">
            <v>37016236</v>
          </cell>
          <cell r="C6896">
            <v>20063920</v>
          </cell>
          <cell r="D6896">
            <v>45307</v>
          </cell>
        </row>
        <row r="6897">
          <cell r="A6897" t="str">
            <v>Diego Aparecido Costa Ribeiro</v>
          </cell>
          <cell r="B6897">
            <v>37016238</v>
          </cell>
          <cell r="C6897">
            <v>20063922</v>
          </cell>
          <cell r="D6897">
            <v>45307</v>
          </cell>
        </row>
        <row r="6898">
          <cell r="A6898" t="str">
            <v>Francisco Da Silva Dos Santos</v>
          </cell>
          <cell r="B6898">
            <v>37016232</v>
          </cell>
          <cell r="C6898">
            <v>20063916</v>
          </cell>
          <cell r="D6898">
            <v>45307</v>
          </cell>
        </row>
        <row r="6899">
          <cell r="A6899" t="str">
            <v>Claudemir Shimith</v>
          </cell>
          <cell r="B6899">
            <v>37016255</v>
          </cell>
          <cell r="C6899">
            <v>20063937</v>
          </cell>
          <cell r="D6899">
            <v>45307</v>
          </cell>
        </row>
        <row r="6900">
          <cell r="A6900" t="str">
            <v>Bruno Alberto Hortela</v>
          </cell>
          <cell r="B6900">
            <v>37016312</v>
          </cell>
          <cell r="C6900">
            <v>20063976</v>
          </cell>
          <cell r="D6900">
            <v>45314</v>
          </cell>
        </row>
        <row r="6901">
          <cell r="A6901" t="str">
            <v>Eduarda Rodrigues Alves</v>
          </cell>
          <cell r="B6901">
            <v>37016429</v>
          </cell>
          <cell r="C6901">
            <v>20064048</v>
          </cell>
          <cell r="D6901">
            <v>45314</v>
          </cell>
        </row>
        <row r="6902">
          <cell r="A6902" t="str">
            <v>Marli de Oliveira da Silva</v>
          </cell>
          <cell r="B6902">
            <v>37016339</v>
          </cell>
          <cell r="C6902">
            <v>20064085</v>
          </cell>
          <cell r="D6902">
            <v>45314</v>
          </cell>
        </row>
        <row r="6903">
          <cell r="A6903" t="str">
            <v>Patricia Oliveira Correa</v>
          </cell>
          <cell r="B6903">
            <v>37016342</v>
          </cell>
          <cell r="C6903">
            <v>20064088</v>
          </cell>
          <cell r="D6903">
            <v>45314</v>
          </cell>
        </row>
        <row r="6904">
          <cell r="A6904" t="str">
            <v>Ivani Regina Lopes Ribeiro</v>
          </cell>
          <cell r="B6904">
            <v>37016347</v>
          </cell>
          <cell r="C6904">
            <v>20064093</v>
          </cell>
          <cell r="D6904">
            <v>45314</v>
          </cell>
        </row>
        <row r="6905">
          <cell r="A6905" t="str">
            <v>Joselito de Jesus Santos</v>
          </cell>
          <cell r="B6905">
            <v>37016340</v>
          </cell>
          <cell r="C6905">
            <v>20064086</v>
          </cell>
          <cell r="D6905">
            <v>45314</v>
          </cell>
        </row>
        <row r="6906">
          <cell r="A6906" t="str">
            <v>Rosemara Nogueira Dos Reis</v>
          </cell>
          <cell r="B6906">
            <v>37016345</v>
          </cell>
          <cell r="C6906">
            <v>20064091</v>
          </cell>
          <cell r="D6906">
            <v>45314</v>
          </cell>
        </row>
        <row r="6907">
          <cell r="A6907" t="str">
            <v>Andrieli Vitoria Danubia Dos Santos</v>
          </cell>
          <cell r="B6907">
            <v>37016346</v>
          </cell>
          <cell r="C6907">
            <v>20064092</v>
          </cell>
          <cell r="D6907">
            <v>45314</v>
          </cell>
        </row>
        <row r="6908">
          <cell r="A6908" t="str">
            <v>Celia Regina Ribeiro</v>
          </cell>
          <cell r="B6908">
            <v>37016349</v>
          </cell>
          <cell r="C6908">
            <v>20064095</v>
          </cell>
          <cell r="D6908">
            <v>45314</v>
          </cell>
        </row>
        <row r="6909">
          <cell r="A6909" t="str">
            <v>Ana Beatriz da Silva Barbado</v>
          </cell>
          <cell r="B6909">
            <v>37016351</v>
          </cell>
          <cell r="C6909">
            <v>20064097</v>
          </cell>
          <cell r="D6909">
            <v>45314</v>
          </cell>
        </row>
        <row r="6910">
          <cell r="A6910" t="str">
            <v>Isaias Jose Da Silva</v>
          </cell>
          <cell r="B6910">
            <v>37016350</v>
          </cell>
          <cell r="C6910">
            <v>20064096</v>
          </cell>
          <cell r="D6910">
            <v>45314</v>
          </cell>
        </row>
        <row r="6911">
          <cell r="A6911" t="str">
            <v>Marcos Leite</v>
          </cell>
          <cell r="B6911">
            <v>37016354</v>
          </cell>
          <cell r="C6911">
            <v>20064100</v>
          </cell>
          <cell r="D6911">
            <v>45314</v>
          </cell>
        </row>
        <row r="6912">
          <cell r="A6912" t="str">
            <v>Elini Frias Pinheiro</v>
          </cell>
          <cell r="B6912">
            <v>37016359</v>
          </cell>
          <cell r="C6912">
            <v>20064106</v>
          </cell>
          <cell r="D6912">
            <v>45314</v>
          </cell>
        </row>
        <row r="6913">
          <cell r="A6913" t="str">
            <v>Isabel Cristina Chalo Olimpio</v>
          </cell>
          <cell r="B6913">
            <v>37016360</v>
          </cell>
          <cell r="C6913">
            <v>20064107</v>
          </cell>
          <cell r="D6913">
            <v>45314</v>
          </cell>
        </row>
        <row r="6914">
          <cell r="A6914" t="str">
            <v>William de Araujo Silva</v>
          </cell>
          <cell r="B6914">
            <v>37016364</v>
          </cell>
          <cell r="C6914">
            <v>20064111</v>
          </cell>
          <cell r="D6914">
            <v>45314</v>
          </cell>
        </row>
        <row r="6915">
          <cell r="A6915" t="str">
            <v>Alexsandro Rodrigues da Silva</v>
          </cell>
          <cell r="B6915">
            <v>37016355</v>
          </cell>
          <cell r="C6915">
            <v>20064101</v>
          </cell>
          <cell r="D6915">
            <v>45314</v>
          </cell>
        </row>
        <row r="6916">
          <cell r="A6916" t="str">
            <v>Edinalva Roseli Dos Santos Baiano</v>
          </cell>
          <cell r="B6916">
            <v>37016356</v>
          </cell>
          <cell r="C6916">
            <v>20064102</v>
          </cell>
          <cell r="D6916">
            <v>45314</v>
          </cell>
        </row>
        <row r="6917">
          <cell r="A6917" t="str">
            <v>Carlos Fabiano Ruiz</v>
          </cell>
          <cell r="B6917">
            <v>37016357</v>
          </cell>
          <cell r="C6917">
            <v>20064103</v>
          </cell>
          <cell r="D6917">
            <v>45314</v>
          </cell>
        </row>
        <row r="6918">
          <cell r="A6918" t="str">
            <v>Janailza Anacleta De Souza</v>
          </cell>
          <cell r="B6918">
            <v>37016378</v>
          </cell>
          <cell r="C6918">
            <v>20064127</v>
          </cell>
          <cell r="D6918">
            <v>45314</v>
          </cell>
        </row>
        <row r="6919">
          <cell r="A6919" t="str">
            <v>Daiane Vitor Garcia</v>
          </cell>
          <cell r="B6919">
            <v>37016385</v>
          </cell>
          <cell r="C6919">
            <v>20064134</v>
          </cell>
          <cell r="D6919">
            <v>45314</v>
          </cell>
        </row>
        <row r="6920">
          <cell r="A6920" t="str">
            <v>Jose Macedo De Araujo</v>
          </cell>
          <cell r="B6920">
            <v>37016388</v>
          </cell>
          <cell r="C6920">
            <v>20064137</v>
          </cell>
          <cell r="D6920">
            <v>45314</v>
          </cell>
        </row>
        <row r="6921">
          <cell r="A6921" t="str">
            <v>Nayara dos Santos Borba</v>
          </cell>
          <cell r="B6921">
            <v>37016387</v>
          </cell>
          <cell r="C6921">
            <v>20064136</v>
          </cell>
          <cell r="D6921">
            <v>45314</v>
          </cell>
        </row>
        <row r="6922">
          <cell r="A6922" t="str">
            <v>Ana Carolina Barbosa</v>
          </cell>
          <cell r="B6922">
            <v>37016437</v>
          </cell>
          <cell r="C6922">
            <v>20064176</v>
          </cell>
          <cell r="D6922">
            <v>45314</v>
          </cell>
        </row>
        <row r="6923">
          <cell r="A6923" t="str">
            <v>Gabriela Tonini</v>
          </cell>
          <cell r="B6923">
            <v>37016432</v>
          </cell>
          <cell r="C6923">
            <v>20064171</v>
          </cell>
          <cell r="D6923">
            <v>45314</v>
          </cell>
        </row>
        <row r="6924">
          <cell r="A6924" t="str">
            <v>Carlos Henrique SIlva Nunes</v>
          </cell>
          <cell r="B6924">
            <v>37016439</v>
          </cell>
          <cell r="C6924">
            <v>20064183</v>
          </cell>
          <cell r="D6924">
            <v>45328</v>
          </cell>
        </row>
        <row r="6925">
          <cell r="A6925" t="str">
            <v>Samara Lima Bautz</v>
          </cell>
          <cell r="B6925">
            <v>37016444</v>
          </cell>
          <cell r="C6925">
            <v>20064188</v>
          </cell>
          <cell r="D6925">
            <v>45314</v>
          </cell>
        </row>
        <row r="6926">
          <cell r="A6926" t="str">
            <v>Samara Cristina De Carvalho</v>
          </cell>
          <cell r="B6926">
            <v>37016446</v>
          </cell>
          <cell r="C6926">
            <v>20064190</v>
          </cell>
          <cell r="D6926">
            <v>45314</v>
          </cell>
        </row>
        <row r="6927">
          <cell r="A6927" t="str">
            <v>Priscila Moura Ribeiro</v>
          </cell>
          <cell r="B6927">
            <v>37016447</v>
          </cell>
          <cell r="C6927">
            <v>20064191</v>
          </cell>
          <cell r="D6927">
            <v>45314</v>
          </cell>
        </row>
        <row r="6928">
          <cell r="A6928" t="str">
            <v>Tiago Cesar da Silva</v>
          </cell>
          <cell r="B6928">
            <v>37016440</v>
          </cell>
          <cell r="C6928">
            <v>20064184</v>
          </cell>
          <cell r="D6928">
            <v>45328</v>
          </cell>
        </row>
        <row r="6929">
          <cell r="A6929" t="str">
            <v>Gislaine Lipu Flores Cezar</v>
          </cell>
          <cell r="B6929">
            <v>37016445</v>
          </cell>
          <cell r="C6929">
            <v>20064189</v>
          </cell>
          <cell r="D6929">
            <v>45314</v>
          </cell>
        </row>
        <row r="6930">
          <cell r="A6930" t="str">
            <v>Meire Helen Rodrigues Dos Santos</v>
          </cell>
          <cell r="B6930">
            <v>37016448</v>
          </cell>
          <cell r="C6930">
            <v>20064299</v>
          </cell>
          <cell r="D6930">
            <v>45314</v>
          </cell>
        </row>
        <row r="6931">
          <cell r="A6931" t="str">
            <v>Rayane Custodio Ricci</v>
          </cell>
          <cell r="B6931">
            <v>37016449</v>
          </cell>
          <cell r="C6931">
            <v>20064300</v>
          </cell>
          <cell r="D6931">
            <v>45314</v>
          </cell>
        </row>
        <row r="6932">
          <cell r="A6932" t="str">
            <v>Helton Fernando Rodrigues</v>
          </cell>
          <cell r="B6932">
            <v>37016457</v>
          </cell>
          <cell r="C6932">
            <v>20064330</v>
          </cell>
          <cell r="D6932">
            <v>45328</v>
          </cell>
        </row>
        <row r="6933">
          <cell r="A6933" t="str">
            <v>Luiz Carlos Francisco Henriques</v>
          </cell>
          <cell r="B6933">
            <v>37016463</v>
          </cell>
          <cell r="C6933">
            <v>20064444</v>
          </cell>
          <cell r="D6933">
            <v>45328</v>
          </cell>
        </row>
        <row r="6934">
          <cell r="A6934" t="str">
            <v>Iasmin Cristina Ferraz Da Silva</v>
          </cell>
          <cell r="B6934">
            <v>37016464</v>
          </cell>
          <cell r="C6934">
            <v>20064445</v>
          </cell>
          <cell r="D6934">
            <v>45328</v>
          </cell>
        </row>
        <row r="6935">
          <cell r="A6935" t="str">
            <v>Aleandra Oliveira Dos Santos</v>
          </cell>
          <cell r="B6935">
            <v>37016465</v>
          </cell>
          <cell r="C6935">
            <v>20064446</v>
          </cell>
          <cell r="D6935">
            <v>45328</v>
          </cell>
        </row>
        <row r="6936">
          <cell r="A6936" t="str">
            <v>Isaias Xavier</v>
          </cell>
          <cell r="B6936">
            <v>37016468</v>
          </cell>
          <cell r="C6936">
            <v>20064449</v>
          </cell>
          <cell r="D6936">
            <v>45328</v>
          </cell>
        </row>
        <row r="6937">
          <cell r="A6937" t="str">
            <v>Valdineia Fernanda Barbosa Davila</v>
          </cell>
          <cell r="B6937" t="e">
            <v>#N/A</v>
          </cell>
          <cell r="C6937">
            <v>20064454</v>
          </cell>
          <cell r="D6937" t="e">
            <v>#N/A</v>
          </cell>
        </row>
        <row r="6938">
          <cell r="A6938" t="str">
            <v>Raylson Lucas de Souza Ramos</v>
          </cell>
          <cell r="B6938">
            <v>37016475</v>
          </cell>
          <cell r="C6938">
            <v>20064457</v>
          </cell>
          <cell r="D6938">
            <v>45328</v>
          </cell>
        </row>
        <row r="6939">
          <cell r="A6939" t="str">
            <v>Gabriel Crispim Dos Santos</v>
          </cell>
          <cell r="B6939">
            <v>37016461</v>
          </cell>
          <cell r="C6939">
            <v>20064442</v>
          </cell>
          <cell r="D6939">
            <v>45328</v>
          </cell>
        </row>
        <row r="6940">
          <cell r="A6940" t="str">
            <v>David Samuel Tosadori</v>
          </cell>
          <cell r="B6940">
            <v>37016466</v>
          </cell>
          <cell r="C6940">
            <v>20064447</v>
          </cell>
          <cell r="D6940">
            <v>45328</v>
          </cell>
        </row>
        <row r="6941">
          <cell r="A6941" t="str">
            <v>Cristiane Cassia De Oliveira</v>
          </cell>
          <cell r="B6941">
            <v>37016470</v>
          </cell>
          <cell r="C6941">
            <v>20064452</v>
          </cell>
          <cell r="D6941">
            <v>45328</v>
          </cell>
        </row>
        <row r="6942">
          <cell r="A6942" t="str">
            <v>Janio Cesar Ferreira Lima</v>
          </cell>
          <cell r="B6942">
            <v>37016473</v>
          </cell>
          <cell r="C6942">
            <v>20064455</v>
          </cell>
          <cell r="D6942">
            <v>45328</v>
          </cell>
        </row>
        <row r="6943">
          <cell r="A6943" t="str">
            <v>Alex Antonio Da Silva</v>
          </cell>
          <cell r="B6943">
            <v>37016476</v>
          </cell>
          <cell r="C6943">
            <v>20064458</v>
          </cell>
          <cell r="D6943">
            <v>45328</v>
          </cell>
        </row>
        <row r="6944">
          <cell r="A6944" t="str">
            <v>Lucimara Marcelina Rodrigues Nunes</v>
          </cell>
          <cell r="B6944">
            <v>37016491</v>
          </cell>
          <cell r="C6944">
            <v>20064473</v>
          </cell>
          <cell r="D6944">
            <v>45328</v>
          </cell>
        </row>
        <row r="6945">
          <cell r="A6945" t="str">
            <v>Maria Eunice Sábio De Souza</v>
          </cell>
          <cell r="B6945">
            <v>37016493</v>
          </cell>
          <cell r="C6945">
            <v>20064475</v>
          </cell>
          <cell r="D6945">
            <v>45328</v>
          </cell>
        </row>
        <row r="6946">
          <cell r="A6946" t="str">
            <v>Telma Batista</v>
          </cell>
          <cell r="B6946">
            <v>37016496</v>
          </cell>
          <cell r="C6946">
            <v>20064478</v>
          </cell>
          <cell r="D6946">
            <v>45328</v>
          </cell>
        </row>
        <row r="6947">
          <cell r="A6947" t="str">
            <v>Elaine Cristina Arruda Pereira Alves De Almeida</v>
          </cell>
          <cell r="B6947">
            <v>37016482</v>
          </cell>
          <cell r="C6947">
            <v>20064464</v>
          </cell>
          <cell r="D6947">
            <v>45328</v>
          </cell>
        </row>
        <row r="6948">
          <cell r="A6948" t="str">
            <v>Eduardo Dos Santos Romancini</v>
          </cell>
          <cell r="B6948">
            <v>37016483</v>
          </cell>
          <cell r="C6948">
            <v>20064465</v>
          </cell>
          <cell r="D6948">
            <v>45328</v>
          </cell>
        </row>
        <row r="6949">
          <cell r="A6949" t="str">
            <v>Tamiris Roberta de Andrade Correia De Mello</v>
          </cell>
          <cell r="B6949">
            <v>37016497</v>
          </cell>
          <cell r="C6949">
            <v>20064479</v>
          </cell>
          <cell r="D6949">
            <v>45328</v>
          </cell>
        </row>
        <row r="6950">
          <cell r="A6950" t="str">
            <v>Maria Aparecida Freitas Da Silva</v>
          </cell>
          <cell r="B6950">
            <v>37016498</v>
          </cell>
          <cell r="C6950">
            <v>20064480</v>
          </cell>
          <cell r="D6950">
            <v>45328</v>
          </cell>
        </row>
        <row r="6951">
          <cell r="A6951" t="str">
            <v>Ana Claudia Tavares</v>
          </cell>
          <cell r="B6951">
            <v>37016503</v>
          </cell>
          <cell r="C6951">
            <v>20064485</v>
          </cell>
          <cell r="D6951">
            <v>45328</v>
          </cell>
        </row>
        <row r="6952">
          <cell r="A6952" t="str">
            <v>Angelo Valdemir Pivato</v>
          </cell>
          <cell r="B6952">
            <v>37016505</v>
          </cell>
          <cell r="C6952">
            <v>20064487</v>
          </cell>
          <cell r="D6952">
            <v>45328</v>
          </cell>
        </row>
        <row r="6953">
          <cell r="A6953" t="str">
            <v>Luciana Moises Zamonelli</v>
          </cell>
          <cell r="B6953">
            <v>37016510</v>
          </cell>
          <cell r="C6953">
            <v>20064492</v>
          </cell>
          <cell r="D6953">
            <v>45328</v>
          </cell>
        </row>
        <row r="6954">
          <cell r="A6954" t="str">
            <v>Maria Cleusa Marques</v>
          </cell>
          <cell r="B6954">
            <v>37016509</v>
          </cell>
          <cell r="C6954">
            <v>20064491</v>
          </cell>
          <cell r="D6954">
            <v>45328</v>
          </cell>
        </row>
        <row r="6955">
          <cell r="A6955" t="str">
            <v>Joao Eduardo Barbosa Pinheiro Lima</v>
          </cell>
          <cell r="B6955">
            <v>37016515</v>
          </cell>
          <cell r="C6955">
            <v>20064497</v>
          </cell>
          <cell r="D6955">
            <v>45328</v>
          </cell>
        </row>
        <row r="6956">
          <cell r="A6956" t="str">
            <v>Jeisy Ursula Da Silva</v>
          </cell>
          <cell r="B6956">
            <v>37016514</v>
          </cell>
          <cell r="C6956">
            <v>20064496</v>
          </cell>
          <cell r="D6956">
            <v>45328</v>
          </cell>
        </row>
        <row r="6957">
          <cell r="A6957" t="str">
            <v>Adriano Elisario</v>
          </cell>
          <cell r="B6957">
            <v>37016521</v>
          </cell>
          <cell r="C6957">
            <v>20064503</v>
          </cell>
          <cell r="D6957">
            <v>45328</v>
          </cell>
        </row>
        <row r="6958">
          <cell r="A6958" t="str">
            <v>Angelica Evaristo Marciano</v>
          </cell>
          <cell r="B6958">
            <v>37016522</v>
          </cell>
          <cell r="C6958">
            <v>20064504</v>
          </cell>
          <cell r="D6958">
            <v>45328</v>
          </cell>
        </row>
        <row r="6959">
          <cell r="A6959" t="str">
            <v>Aline Cristina Martins</v>
          </cell>
          <cell r="B6959">
            <v>37016523</v>
          </cell>
          <cell r="C6959">
            <v>20064505</v>
          </cell>
          <cell r="D6959">
            <v>45328</v>
          </cell>
        </row>
        <row r="6960">
          <cell r="A6960" t="str">
            <v>Diego Leonardo Joaquim Tiozzo</v>
          </cell>
          <cell r="B6960" t="e">
            <v>#N/A</v>
          </cell>
          <cell r="C6960">
            <v>20064507</v>
          </cell>
          <cell r="D6960" t="e">
            <v>#N/A</v>
          </cell>
        </row>
        <row r="6961">
          <cell r="A6961" t="str">
            <v>Ezequias Alves de Santana</v>
          </cell>
          <cell r="B6961">
            <v>37016529</v>
          </cell>
          <cell r="C6961">
            <v>20064519</v>
          </cell>
          <cell r="D6961">
            <v>45328</v>
          </cell>
        </row>
        <row r="6962">
          <cell r="A6962" t="str">
            <v>Renato Deodata dos Santos</v>
          </cell>
          <cell r="B6962">
            <v>37016528</v>
          </cell>
          <cell r="C6962">
            <v>20064518</v>
          </cell>
          <cell r="D6962">
            <v>45328</v>
          </cell>
        </row>
        <row r="6963">
          <cell r="A6963" t="str">
            <v>Marcelo Pereira De Souza</v>
          </cell>
          <cell r="B6963">
            <v>37016531</v>
          </cell>
          <cell r="C6963">
            <v>20064521</v>
          </cell>
          <cell r="D6963">
            <v>45328</v>
          </cell>
        </row>
        <row r="6964">
          <cell r="A6964" t="str">
            <v>Roberto Figueiredo Cavalcante</v>
          </cell>
          <cell r="B6964">
            <v>37015249</v>
          </cell>
          <cell r="C6964">
            <v>20013560</v>
          </cell>
          <cell r="D6964">
            <v>45237</v>
          </cell>
        </row>
        <row r="6965">
          <cell r="A6965" t="str">
            <v>Robson Santos Rodrigues</v>
          </cell>
          <cell r="B6965">
            <v>37016539</v>
          </cell>
          <cell r="C6965">
            <v>20064533</v>
          </cell>
          <cell r="D6965">
            <v>45328</v>
          </cell>
        </row>
        <row r="6966">
          <cell r="A6966" t="str">
            <v>Livian Das Gracas Ferreira De Oliveira</v>
          </cell>
          <cell r="B6966">
            <v>37016547</v>
          </cell>
          <cell r="C6966">
            <v>20064541</v>
          </cell>
          <cell r="D6966">
            <v>45328</v>
          </cell>
        </row>
        <row r="6967">
          <cell r="A6967" t="str">
            <v>Oscar Aparecido De Carvalho</v>
          </cell>
          <cell r="B6967">
            <v>37016548</v>
          </cell>
          <cell r="C6967">
            <v>20064542</v>
          </cell>
          <cell r="D6967">
            <v>45328</v>
          </cell>
        </row>
        <row r="6968">
          <cell r="A6968" t="str">
            <v>Ivanise Aparecida Pereira de Souza Silva</v>
          </cell>
          <cell r="B6968">
            <v>37016554</v>
          </cell>
          <cell r="C6968">
            <v>20064548</v>
          </cell>
          <cell r="D6968">
            <v>45328</v>
          </cell>
        </row>
        <row r="6969">
          <cell r="A6969" t="str">
            <v>Vagner Aparecido de Oliveira</v>
          </cell>
          <cell r="B6969">
            <v>37016574</v>
          </cell>
          <cell r="C6969">
            <v>20064586</v>
          </cell>
          <cell r="D6969">
            <v>45328</v>
          </cell>
        </row>
        <row r="6970">
          <cell r="A6970" t="str">
            <v>Murilo Henrique Carvalho Pereira</v>
          </cell>
          <cell r="B6970">
            <v>37006951</v>
          </cell>
          <cell r="C6970">
            <v>20021006</v>
          </cell>
          <cell r="D6970">
            <v>44571</v>
          </cell>
        </row>
        <row r="6971">
          <cell r="A6971" t="str">
            <v>Guilherme Zaghi Borges Batistuzzo</v>
          </cell>
          <cell r="B6971">
            <v>37003159</v>
          </cell>
          <cell r="C6971">
            <v>20009216</v>
          </cell>
          <cell r="D6971">
            <v>43591</v>
          </cell>
        </row>
        <row r="6972">
          <cell r="A6972" t="str">
            <v>Ana Carolina Veloso De Freitas</v>
          </cell>
          <cell r="B6972">
            <v>37004894</v>
          </cell>
          <cell r="C6972">
            <v>20008137</v>
          </cell>
          <cell r="D6972">
            <v>44095</v>
          </cell>
        </row>
        <row r="6973">
          <cell r="A6973" t="str">
            <v>Ana Julia Santos Melo</v>
          </cell>
          <cell r="B6973">
            <v>37005227</v>
          </cell>
          <cell r="C6973">
            <v>20011050</v>
          </cell>
          <cell r="D6973">
            <v>44123</v>
          </cell>
        </row>
        <row r="6974">
          <cell r="A6974" t="str">
            <v>Denilson Ricardo Bautz Sales</v>
          </cell>
          <cell r="B6974">
            <v>37011646</v>
          </cell>
          <cell r="C6974">
            <v>20044817</v>
          </cell>
          <cell r="D6974">
            <v>44998</v>
          </cell>
        </row>
        <row r="6975">
          <cell r="A6975" t="str">
            <v>Robson Aparecido De Oliveira</v>
          </cell>
          <cell r="B6975">
            <v>37007071</v>
          </cell>
          <cell r="C6975">
            <v>20022883</v>
          </cell>
          <cell r="D6975">
            <v>44593</v>
          </cell>
        </row>
        <row r="6976">
          <cell r="A6976" t="str">
            <v>Elivelton Pedro Da Cruz Cunha</v>
          </cell>
          <cell r="B6976">
            <v>37004831</v>
          </cell>
          <cell r="C6976">
            <v>20008114</v>
          </cell>
          <cell r="D6976">
            <v>44082</v>
          </cell>
        </row>
        <row r="6977">
          <cell r="A6977" t="str">
            <v>Emanuelly Rizzatto Bento</v>
          </cell>
          <cell r="B6977">
            <v>37016622</v>
          </cell>
          <cell r="C6977">
            <v>20064717</v>
          </cell>
          <cell r="D6977">
            <v>45342</v>
          </cell>
        </row>
        <row r="6978">
          <cell r="A6978" t="str">
            <v>Juracilda da Silva Antonio</v>
          </cell>
          <cell r="B6978">
            <v>37016612</v>
          </cell>
          <cell r="C6978">
            <v>20064707</v>
          </cell>
          <cell r="D6978">
            <v>45342</v>
          </cell>
        </row>
        <row r="6979">
          <cell r="A6979" t="str">
            <v>Debora Cristina Souza Dos Santos</v>
          </cell>
          <cell r="B6979">
            <v>37016613</v>
          </cell>
          <cell r="C6979">
            <v>20064708</v>
          </cell>
          <cell r="D6979">
            <v>45342</v>
          </cell>
        </row>
        <row r="6980">
          <cell r="A6980" t="str">
            <v>Ana Lucia Oliveira Da Silva</v>
          </cell>
          <cell r="B6980">
            <v>37016618</v>
          </cell>
          <cell r="C6980">
            <v>20064713</v>
          </cell>
          <cell r="D6980">
            <v>45342</v>
          </cell>
        </row>
        <row r="6981">
          <cell r="A6981" t="str">
            <v>Douglas Leonardo Da Silva</v>
          </cell>
          <cell r="B6981">
            <v>37016620</v>
          </cell>
          <cell r="C6981">
            <v>20064715</v>
          </cell>
          <cell r="D6981">
            <v>45342</v>
          </cell>
        </row>
        <row r="6982">
          <cell r="A6982" t="str">
            <v>Izael Paulino Da Silva</v>
          </cell>
          <cell r="B6982">
            <v>37016624</v>
          </cell>
          <cell r="C6982">
            <v>20064719</v>
          </cell>
          <cell r="D6982">
            <v>45342</v>
          </cell>
        </row>
        <row r="6983">
          <cell r="A6983" t="str">
            <v>Eduardo Dionizio Monteiro</v>
          </cell>
          <cell r="B6983">
            <v>37016630</v>
          </cell>
          <cell r="C6983">
            <v>20064725</v>
          </cell>
          <cell r="D6983">
            <v>45342</v>
          </cell>
        </row>
        <row r="6984">
          <cell r="A6984" t="str">
            <v>Ana Clara Geronimo Silva</v>
          </cell>
          <cell r="B6984">
            <v>37016632</v>
          </cell>
          <cell r="C6984">
            <v>20064727</v>
          </cell>
          <cell r="D6984">
            <v>45342</v>
          </cell>
        </row>
        <row r="6985">
          <cell r="A6985" t="str">
            <v>Ezequiel Mercadante</v>
          </cell>
          <cell r="B6985">
            <v>37016626</v>
          </cell>
          <cell r="C6985">
            <v>20064721</v>
          </cell>
          <cell r="D6985">
            <v>45342</v>
          </cell>
        </row>
        <row r="6986">
          <cell r="A6986" t="str">
            <v>Evelyn da Silva Bueno Vera</v>
          </cell>
          <cell r="B6986">
            <v>37016629</v>
          </cell>
          <cell r="C6986">
            <v>20064724</v>
          </cell>
          <cell r="D6986">
            <v>45342</v>
          </cell>
        </row>
        <row r="6987">
          <cell r="A6987" t="str">
            <v>Marilene dos Santos Silva Godoy</v>
          </cell>
          <cell r="B6987">
            <v>37016631</v>
          </cell>
          <cell r="C6987">
            <v>20064726</v>
          </cell>
          <cell r="D6987">
            <v>45342</v>
          </cell>
        </row>
        <row r="6988">
          <cell r="A6988" t="str">
            <v>Amaury Mendes De Assis</v>
          </cell>
          <cell r="B6988">
            <v>37016633</v>
          </cell>
          <cell r="C6988">
            <v>20064728</v>
          </cell>
          <cell r="D6988">
            <v>45342</v>
          </cell>
        </row>
        <row r="6989">
          <cell r="A6989" t="str">
            <v>Aparecido Donizete Feliciano</v>
          </cell>
          <cell r="B6989">
            <v>37016648</v>
          </cell>
          <cell r="C6989">
            <v>20064749</v>
          </cell>
          <cell r="D6989">
            <v>45342</v>
          </cell>
        </row>
        <row r="6990">
          <cell r="A6990" t="str">
            <v>Joao Claudio Ferreira Garcia</v>
          </cell>
          <cell r="B6990">
            <v>37016641</v>
          </cell>
          <cell r="C6990">
            <v>20064742</v>
          </cell>
          <cell r="D6990">
            <v>45356</v>
          </cell>
        </row>
        <row r="6991">
          <cell r="A6991" t="str">
            <v>Valdemi Pereira Dos Santos</v>
          </cell>
          <cell r="B6991">
            <v>37016662</v>
          </cell>
          <cell r="C6991">
            <v>20064763</v>
          </cell>
          <cell r="D6991">
            <v>45342</v>
          </cell>
        </row>
        <row r="6992">
          <cell r="A6992" t="str">
            <v>Luana Beatriz Rodrigues Silva</v>
          </cell>
          <cell r="B6992">
            <v>37016668</v>
          </cell>
          <cell r="C6992">
            <v>20064769</v>
          </cell>
          <cell r="D6992">
            <v>45342</v>
          </cell>
        </row>
        <row r="6993">
          <cell r="A6993" t="str">
            <v>Luzia Aparecida Pereira Da Luz</v>
          </cell>
          <cell r="B6993">
            <v>37016654</v>
          </cell>
          <cell r="C6993">
            <v>20064755</v>
          </cell>
          <cell r="D6993">
            <v>45342</v>
          </cell>
        </row>
        <row r="6994">
          <cell r="A6994" t="str">
            <v>Leonardo Dutra Zardo</v>
          </cell>
          <cell r="B6994">
            <v>37016656</v>
          </cell>
          <cell r="C6994">
            <v>20064757</v>
          </cell>
          <cell r="D6994">
            <v>45342</v>
          </cell>
        </row>
        <row r="6995">
          <cell r="A6995" t="str">
            <v>Igor Giovani Cordioli</v>
          </cell>
          <cell r="B6995">
            <v>37009728</v>
          </cell>
          <cell r="C6995">
            <v>20036003</v>
          </cell>
          <cell r="D6995">
            <v>44851</v>
          </cell>
        </row>
        <row r="6996">
          <cell r="A6996" t="str">
            <v>ALEXANDRE FERREIRA DA SILVA</v>
          </cell>
          <cell r="B6996">
            <v>37010328</v>
          </cell>
          <cell r="C6996">
            <v>20038993</v>
          </cell>
          <cell r="D6996">
            <v>44900</v>
          </cell>
        </row>
        <row r="6997">
          <cell r="A6997" t="str">
            <v>Luiz Alexandre Leme</v>
          </cell>
          <cell r="B6997">
            <v>37003162</v>
          </cell>
          <cell r="C6997">
            <v>20009549</v>
          </cell>
          <cell r="D6997">
            <v>43591</v>
          </cell>
        </row>
        <row r="6998">
          <cell r="A6998" t="str">
            <v>Yann Navarro de Lima Santana</v>
          </cell>
          <cell r="B6998">
            <v>37011906</v>
          </cell>
          <cell r="C6998">
            <v>20046490</v>
          </cell>
          <cell r="D6998">
            <v>45019</v>
          </cell>
        </row>
        <row r="6999">
          <cell r="A6999" t="str">
            <v>Gustavo Henrique Sousa Rodrigues</v>
          </cell>
          <cell r="B6999">
            <v>37009055</v>
          </cell>
          <cell r="C6999">
            <v>20035264</v>
          </cell>
          <cell r="D6999">
            <v>44781</v>
          </cell>
        </row>
        <row r="7000">
          <cell r="A7000" t="str">
            <v>Arthur Birais Goncalves</v>
          </cell>
          <cell r="B7000">
            <v>37009404</v>
          </cell>
          <cell r="C7000">
            <v>20033724</v>
          </cell>
          <cell r="D7000">
            <v>44816</v>
          </cell>
        </row>
        <row r="7001">
          <cell r="A7001" t="str">
            <v>Willian Kisiel De Matos</v>
          </cell>
          <cell r="B7001">
            <v>37009167</v>
          </cell>
          <cell r="C7001">
            <v>20032236</v>
          </cell>
          <cell r="D7001">
            <v>44795</v>
          </cell>
        </row>
        <row r="7002">
          <cell r="A7002" t="str">
            <v>Hellyson Rafael Morais De Lima</v>
          </cell>
          <cell r="B7002">
            <v>37010319</v>
          </cell>
          <cell r="C7002">
            <v>20038980</v>
          </cell>
          <cell r="D7002">
            <v>44900</v>
          </cell>
        </row>
        <row r="7003">
          <cell r="A7003" t="str">
            <v>William Alves De Oliveira</v>
          </cell>
          <cell r="B7003">
            <v>37012216</v>
          </cell>
          <cell r="C7003">
            <v>20048554</v>
          </cell>
          <cell r="D7003">
            <v>45034</v>
          </cell>
        </row>
        <row r="7004">
          <cell r="A7004" t="str">
            <v>Abimael Souza Oliveira</v>
          </cell>
          <cell r="B7004">
            <v>37005168</v>
          </cell>
          <cell r="C7004">
            <v>20011603</v>
          </cell>
          <cell r="D7004">
            <v>44214</v>
          </cell>
        </row>
        <row r="7005">
          <cell r="A7005" t="str">
            <v>Felipe Jesus Paulino Sobrinho</v>
          </cell>
          <cell r="B7005">
            <v>37007224</v>
          </cell>
          <cell r="C7005">
            <v>20023023</v>
          </cell>
          <cell r="D7005">
            <v>44622</v>
          </cell>
        </row>
        <row r="7006">
          <cell r="A7006" t="str">
            <v>Bruna Damacena De Souza</v>
          </cell>
          <cell r="B7006">
            <v>37003220</v>
          </cell>
          <cell r="C7006">
            <v>20008709</v>
          </cell>
          <cell r="D7006">
            <v>43619</v>
          </cell>
        </row>
        <row r="7007">
          <cell r="A7007" t="str">
            <v>Jose Renato Drago</v>
          </cell>
          <cell r="B7007">
            <v>37007673</v>
          </cell>
          <cell r="C7007">
            <v>20026196</v>
          </cell>
          <cell r="D7007">
            <v>44690</v>
          </cell>
        </row>
        <row r="7008">
          <cell r="A7008" t="str">
            <v>Rafael Aparecido Rodrigues Junior</v>
          </cell>
          <cell r="B7008">
            <v>37003478</v>
          </cell>
          <cell r="C7008">
            <v>20009792</v>
          </cell>
          <cell r="D7008">
            <v>43668</v>
          </cell>
        </row>
        <row r="7009">
          <cell r="A7009" t="str">
            <v>Eliana Aparecida Dos Santos</v>
          </cell>
          <cell r="B7009">
            <v>37003264</v>
          </cell>
          <cell r="C7009">
            <v>20008978</v>
          </cell>
          <cell r="D7009">
            <v>43626</v>
          </cell>
        </row>
        <row r="7010">
          <cell r="A7010" t="str">
            <v>Jaqueline Pereira De Oliveira</v>
          </cell>
          <cell r="B7010">
            <v>37004838</v>
          </cell>
          <cell r="C7010">
            <v>20008108</v>
          </cell>
          <cell r="D7010">
            <v>44082</v>
          </cell>
        </row>
        <row r="7011">
          <cell r="A7011" t="str">
            <v>Agnaldo Benedito Romano</v>
          </cell>
          <cell r="B7011">
            <v>37003940</v>
          </cell>
          <cell r="C7011">
            <v>20008512</v>
          </cell>
          <cell r="D7011">
            <v>43780</v>
          </cell>
        </row>
        <row r="7012">
          <cell r="A7012" t="str">
            <v>Vinicius Da Silva</v>
          </cell>
          <cell r="B7012">
            <v>37009947</v>
          </cell>
          <cell r="C7012">
            <v>20037446</v>
          </cell>
          <cell r="D7012">
            <v>44872</v>
          </cell>
        </row>
        <row r="7013">
          <cell r="A7013" t="str">
            <v>Edgar Rocha Lara</v>
          </cell>
          <cell r="B7013">
            <v>37016708</v>
          </cell>
          <cell r="C7013">
            <v>20064902</v>
          </cell>
          <cell r="D7013">
            <v>45356</v>
          </cell>
        </row>
        <row r="7014">
          <cell r="A7014" t="str">
            <v>Fabiana Barbosa Oliveira</v>
          </cell>
          <cell r="B7014">
            <v>37016703</v>
          </cell>
          <cell r="C7014">
            <v>20064897</v>
          </cell>
          <cell r="D7014">
            <v>45356</v>
          </cell>
        </row>
        <row r="7015">
          <cell r="A7015" t="str">
            <v>Joao Paulo Fonseca Da Silva</v>
          </cell>
          <cell r="B7015">
            <v>37016704</v>
          </cell>
          <cell r="C7015">
            <v>20064898</v>
          </cell>
          <cell r="D7015">
            <v>45356</v>
          </cell>
        </row>
        <row r="7016">
          <cell r="A7016" t="str">
            <v>Edmilson Pereira Da Silva</v>
          </cell>
          <cell r="B7016">
            <v>37016707</v>
          </cell>
          <cell r="C7016">
            <v>20064901</v>
          </cell>
          <cell r="D7016">
            <v>45356</v>
          </cell>
        </row>
        <row r="7017">
          <cell r="A7017" t="str">
            <v>Fabio Dias Coelho</v>
          </cell>
          <cell r="B7017">
            <v>37016711</v>
          </cell>
          <cell r="C7017">
            <v>20064905</v>
          </cell>
          <cell r="D7017">
            <v>45356</v>
          </cell>
        </row>
        <row r="7018">
          <cell r="A7018" t="str">
            <v>John Vitor Souza Da SIlva</v>
          </cell>
          <cell r="B7018">
            <v>37016710</v>
          </cell>
          <cell r="C7018">
            <v>20064904</v>
          </cell>
          <cell r="D7018">
            <v>45356</v>
          </cell>
        </row>
        <row r="7019">
          <cell r="A7019" t="str">
            <v>Tiago Aparecido Vaz</v>
          </cell>
          <cell r="B7019">
            <v>37016725</v>
          </cell>
          <cell r="C7019">
            <v>20064919</v>
          </cell>
          <cell r="D7019">
            <v>45356</v>
          </cell>
        </row>
        <row r="7020">
          <cell r="A7020" t="str">
            <v>Vandeni Felix Dos Santos</v>
          </cell>
          <cell r="B7020">
            <v>37016740</v>
          </cell>
          <cell r="C7020">
            <v>20065186</v>
          </cell>
          <cell r="D7020">
            <v>45356</v>
          </cell>
        </row>
        <row r="7021">
          <cell r="A7021" t="str">
            <v>Marcelio Soares De Souza</v>
          </cell>
          <cell r="B7021">
            <v>37016739</v>
          </cell>
          <cell r="C7021">
            <v>20065185</v>
          </cell>
          <cell r="D7021">
            <v>45356</v>
          </cell>
        </row>
        <row r="7022">
          <cell r="A7022" t="str">
            <v>Renato Ferreira Benedito</v>
          </cell>
          <cell r="B7022">
            <v>37016741</v>
          </cell>
          <cell r="C7022">
            <v>20065187</v>
          </cell>
          <cell r="D7022">
            <v>45356</v>
          </cell>
        </row>
        <row r="7023">
          <cell r="A7023" t="str">
            <v>Rian Leonardo Alves</v>
          </cell>
          <cell r="B7023">
            <v>37016744</v>
          </cell>
          <cell r="C7023">
            <v>20065190</v>
          </cell>
          <cell r="D7023">
            <v>45356</v>
          </cell>
        </row>
        <row r="7024">
          <cell r="A7024" t="str">
            <v>Luciana Aparecida Schela</v>
          </cell>
          <cell r="B7024">
            <v>37016750</v>
          </cell>
          <cell r="C7024">
            <v>20065196</v>
          </cell>
          <cell r="D7024">
            <v>45356</v>
          </cell>
        </row>
        <row r="7025">
          <cell r="A7025" t="str">
            <v>Oelton Lourenco Estanca</v>
          </cell>
          <cell r="B7025">
            <v>37016753</v>
          </cell>
          <cell r="C7025">
            <v>20065199</v>
          </cell>
          <cell r="D7025">
            <v>45356</v>
          </cell>
        </row>
        <row r="7026">
          <cell r="A7026" t="str">
            <v>Dhionatan Martimiano</v>
          </cell>
          <cell r="B7026">
            <v>37016752</v>
          </cell>
          <cell r="C7026">
            <v>20065198</v>
          </cell>
          <cell r="D7026">
            <v>45356</v>
          </cell>
        </row>
        <row r="7027">
          <cell r="A7027" t="str">
            <v>Fabio Luiz Da Silva</v>
          </cell>
          <cell r="B7027">
            <v>37016755</v>
          </cell>
          <cell r="C7027">
            <v>20065201</v>
          </cell>
          <cell r="D7027">
            <v>45356</v>
          </cell>
        </row>
        <row r="7028">
          <cell r="A7028" t="str">
            <v>Luciano Virginio de Souza</v>
          </cell>
          <cell r="B7028">
            <v>37016757</v>
          </cell>
          <cell r="C7028">
            <v>20065203</v>
          </cell>
          <cell r="D7028">
            <v>45356</v>
          </cell>
        </row>
        <row r="7029">
          <cell r="A7029" t="str">
            <v>Ademar Antonio De Lima</v>
          </cell>
          <cell r="B7029">
            <v>37016761</v>
          </cell>
          <cell r="C7029">
            <v>20065255</v>
          </cell>
          <cell r="D7029">
            <v>45356</v>
          </cell>
        </row>
        <row r="7030">
          <cell r="A7030" t="str">
            <v>Michel Diego De Bortoli Mendonça</v>
          </cell>
          <cell r="B7030">
            <v>37016759</v>
          </cell>
          <cell r="C7030">
            <v>20065253</v>
          </cell>
          <cell r="D7030">
            <v>45356</v>
          </cell>
        </row>
        <row r="7031">
          <cell r="A7031" t="str">
            <v>Wesley Espinola Nogueira</v>
          </cell>
          <cell r="B7031">
            <v>37016764</v>
          </cell>
          <cell r="C7031">
            <v>20065258</v>
          </cell>
          <cell r="D7031">
            <v>45356</v>
          </cell>
        </row>
        <row r="7032">
          <cell r="A7032" t="str">
            <v>Felipe Camargo de Moraes</v>
          </cell>
          <cell r="B7032">
            <v>37016790</v>
          </cell>
          <cell r="C7032">
            <v>20065289</v>
          </cell>
          <cell r="D7032">
            <v>45356</v>
          </cell>
        </row>
        <row r="7033">
          <cell r="A7033" t="str">
            <v>Marcio Muricy Carletti</v>
          </cell>
          <cell r="B7033">
            <v>37016781</v>
          </cell>
          <cell r="C7033">
            <v>20065280</v>
          </cell>
          <cell r="D7033">
            <v>45356</v>
          </cell>
        </row>
        <row r="7034">
          <cell r="A7034" t="str">
            <v>Jose Nivaldo De Oliveira</v>
          </cell>
          <cell r="B7034">
            <v>37016772</v>
          </cell>
          <cell r="C7034">
            <v>20060083</v>
          </cell>
          <cell r="D7034">
            <v>45356</v>
          </cell>
        </row>
        <row r="7035">
          <cell r="A7035" t="str">
            <v>Talisson Matos Rodrigues</v>
          </cell>
          <cell r="B7035">
            <v>37016795</v>
          </cell>
          <cell r="C7035">
            <v>20065294</v>
          </cell>
          <cell r="D7035">
            <v>45356</v>
          </cell>
        </row>
        <row r="7036">
          <cell r="A7036" t="str">
            <v>Maique Mendes dos Santos Junior</v>
          </cell>
          <cell r="B7036">
            <v>37016793</v>
          </cell>
          <cell r="C7036">
            <v>20065292</v>
          </cell>
          <cell r="D7036">
            <v>45356</v>
          </cell>
        </row>
        <row r="7037">
          <cell r="A7037" t="str">
            <v>Jose Rodrigues de Almeida</v>
          </cell>
          <cell r="B7037">
            <v>37016799</v>
          </cell>
          <cell r="C7037">
            <v>20065298</v>
          </cell>
          <cell r="D7037">
            <v>45356</v>
          </cell>
        </row>
        <row r="7038">
          <cell r="A7038" t="str">
            <v>Mateus Dos Santos Marques</v>
          </cell>
          <cell r="B7038">
            <v>37016804</v>
          </cell>
          <cell r="C7038">
            <v>20065303</v>
          </cell>
          <cell r="D7038">
            <v>45356</v>
          </cell>
        </row>
        <row r="7039">
          <cell r="A7039" t="str">
            <v>Daniel Rodrigues Fogaca</v>
          </cell>
          <cell r="B7039">
            <v>37016808</v>
          </cell>
          <cell r="C7039">
            <v>20065307</v>
          </cell>
          <cell r="D7039">
            <v>45356</v>
          </cell>
        </row>
        <row r="7040">
          <cell r="A7040" t="str">
            <v>Pedro Paulo Silva Souza</v>
          </cell>
          <cell r="B7040">
            <v>37016813</v>
          </cell>
          <cell r="C7040">
            <v>20065312</v>
          </cell>
          <cell r="D7040">
            <v>45356</v>
          </cell>
        </row>
        <row r="7041">
          <cell r="A7041" t="str">
            <v>Gabriel Quessada Gimenes</v>
          </cell>
          <cell r="B7041">
            <v>37016801</v>
          </cell>
          <cell r="C7041">
            <v>20065300</v>
          </cell>
          <cell r="D7041">
            <v>45356</v>
          </cell>
        </row>
        <row r="7042">
          <cell r="A7042" t="str">
            <v>Marcel Oliveira dos Santos</v>
          </cell>
          <cell r="B7042">
            <v>37016806</v>
          </cell>
          <cell r="C7042">
            <v>20065305</v>
          </cell>
          <cell r="D7042">
            <v>45356</v>
          </cell>
        </row>
        <row r="7043">
          <cell r="A7043" t="str">
            <v>Alan Da Cruz Goncalves</v>
          </cell>
          <cell r="B7043">
            <v>37016809</v>
          </cell>
          <cell r="C7043">
            <v>20065308</v>
          </cell>
          <cell r="D7043">
            <v>45356</v>
          </cell>
        </row>
        <row r="7044">
          <cell r="A7044" t="str">
            <v>Matheus Neves Magalhães Ramos</v>
          </cell>
          <cell r="B7044">
            <v>37016817</v>
          </cell>
          <cell r="C7044">
            <v>20065316</v>
          </cell>
          <cell r="D7044">
            <v>45356</v>
          </cell>
        </row>
        <row r="7045">
          <cell r="A7045" t="str">
            <v>Alexandre Daniel</v>
          </cell>
          <cell r="B7045">
            <v>37012934</v>
          </cell>
          <cell r="C7045">
            <v>20052044</v>
          </cell>
          <cell r="D7045">
            <v>45090</v>
          </cell>
        </row>
        <row r="7046">
          <cell r="A7046" t="str">
            <v>Eduardo Luiz Placca</v>
          </cell>
          <cell r="B7046">
            <v>37007462</v>
          </cell>
          <cell r="C7046">
            <v>20025524</v>
          </cell>
          <cell r="D7046">
            <v>44669</v>
          </cell>
        </row>
        <row r="7047">
          <cell r="A7047" t="str">
            <v>Allysson Henrique Santos Da Silva</v>
          </cell>
          <cell r="B7047">
            <v>37012628</v>
          </cell>
          <cell r="C7047">
            <v>20051114</v>
          </cell>
          <cell r="D7047">
            <v>45083</v>
          </cell>
        </row>
        <row r="7048">
          <cell r="A7048" t="str">
            <v>Marcos Silva De Menezes</v>
          </cell>
          <cell r="B7048">
            <v>37007639</v>
          </cell>
          <cell r="C7048">
            <v>20026194</v>
          </cell>
          <cell r="D7048">
            <v>44683</v>
          </cell>
        </row>
        <row r="7049">
          <cell r="A7049" t="str">
            <v>Julia Vaz Tostes Miluzzi De Oliveira</v>
          </cell>
          <cell r="B7049">
            <v>37016827</v>
          </cell>
          <cell r="C7049">
            <v>20065390</v>
          </cell>
          <cell r="D7049">
            <v>45370</v>
          </cell>
        </row>
        <row r="7050">
          <cell r="A7050" t="str">
            <v>Jader Gabriel Teixeira Lima Pedro</v>
          </cell>
          <cell r="B7050">
            <v>37006194</v>
          </cell>
          <cell r="C7050">
            <v>20016952</v>
          </cell>
          <cell r="D7050">
            <v>44424</v>
          </cell>
        </row>
        <row r="7051">
          <cell r="A7051" t="str">
            <v>Sidilei Aparecido Oliveira Baiano</v>
          </cell>
          <cell r="B7051">
            <v>37016832</v>
          </cell>
          <cell r="C7051">
            <v>20065395</v>
          </cell>
          <cell r="D7051">
            <v>45363</v>
          </cell>
        </row>
        <row r="7052">
          <cell r="A7052" t="str">
            <v>Aurilio Martins Pereira</v>
          </cell>
          <cell r="B7052">
            <v>37000372</v>
          </cell>
          <cell r="C7052">
            <v>20008692</v>
          </cell>
          <cell r="D7052">
            <v>37690</v>
          </cell>
        </row>
        <row r="7053">
          <cell r="A7053" t="str">
            <v>Higor Egea Gonçalves</v>
          </cell>
          <cell r="B7053">
            <v>37016833</v>
          </cell>
          <cell r="C7053">
            <v>20065396</v>
          </cell>
          <cell r="D7053">
            <v>45363</v>
          </cell>
        </row>
        <row r="7054">
          <cell r="A7054" t="str">
            <v>Felipe Paiva Dias</v>
          </cell>
          <cell r="B7054">
            <v>37009222</v>
          </cell>
          <cell r="C7054">
            <v>20032301</v>
          </cell>
          <cell r="D7054">
            <v>44795</v>
          </cell>
        </row>
        <row r="7055">
          <cell r="A7055" t="str">
            <v>Evandenilson Santos e Santos</v>
          </cell>
          <cell r="B7055">
            <v>37016835</v>
          </cell>
          <cell r="C7055">
            <v>20065414</v>
          </cell>
          <cell r="D7055">
            <v>45363</v>
          </cell>
        </row>
        <row r="7056">
          <cell r="A7056" t="str">
            <v>Bruno Eduardo Santos Nascimento</v>
          </cell>
          <cell r="B7056">
            <v>37005117</v>
          </cell>
          <cell r="C7056">
            <v>20011585</v>
          </cell>
          <cell r="D7056">
            <v>44200</v>
          </cell>
        </row>
        <row r="7057">
          <cell r="A7057" t="str">
            <v>Rafael Machado Da Silva</v>
          </cell>
          <cell r="B7057">
            <v>37008940</v>
          </cell>
          <cell r="C7057">
            <v>20034651</v>
          </cell>
          <cell r="D7057">
            <v>44777</v>
          </cell>
        </row>
        <row r="7058">
          <cell r="A7058" t="str">
            <v>Anderson Augusto Tereza</v>
          </cell>
          <cell r="B7058">
            <v>37012245</v>
          </cell>
          <cell r="C7058">
            <v>20049069</v>
          </cell>
          <cell r="D7058">
            <v>45048</v>
          </cell>
        </row>
        <row r="7059">
          <cell r="A7059" t="str">
            <v>Marllon Rhavel Barbosa Silva</v>
          </cell>
          <cell r="B7059">
            <v>37006396</v>
          </cell>
          <cell r="C7059">
            <v>20018087</v>
          </cell>
          <cell r="D7059">
            <v>44452</v>
          </cell>
        </row>
        <row r="7060">
          <cell r="A7060" t="str">
            <v>Antonio Eduardo Goncalves Costa</v>
          </cell>
          <cell r="B7060">
            <v>37009306</v>
          </cell>
          <cell r="C7060">
            <v>20032433</v>
          </cell>
          <cell r="D7060">
            <v>44809</v>
          </cell>
        </row>
        <row r="7061">
          <cell r="A7061" t="str">
            <v>Renato Antonio Da Silva</v>
          </cell>
          <cell r="B7061">
            <v>37016836</v>
          </cell>
          <cell r="C7061">
            <v>20065415</v>
          </cell>
          <cell r="D7061">
            <v>45363</v>
          </cell>
        </row>
        <row r="7062">
          <cell r="A7062" t="str">
            <v>Rafael fernandes baccas</v>
          </cell>
          <cell r="B7062">
            <v>37012794</v>
          </cell>
          <cell r="C7062">
            <v>20051699</v>
          </cell>
          <cell r="D7062">
            <v>45083</v>
          </cell>
        </row>
        <row r="7063">
          <cell r="A7063" t="str">
            <v>Edison Francisco Leite</v>
          </cell>
          <cell r="B7063">
            <v>37006648</v>
          </cell>
          <cell r="C7063">
            <v>20018205</v>
          </cell>
          <cell r="D7063">
            <v>44490</v>
          </cell>
        </row>
        <row r="7064">
          <cell r="A7064" t="str">
            <v>Nilton Carlos Santos Araújo</v>
          </cell>
          <cell r="B7064">
            <v>37016839</v>
          </cell>
          <cell r="C7064">
            <v>20065418</v>
          </cell>
          <cell r="D7064">
            <v>45370</v>
          </cell>
        </row>
        <row r="7065">
          <cell r="A7065" t="str">
            <v>Mariana Cristina Gonsales Nogueira</v>
          </cell>
          <cell r="B7065">
            <v>37004132</v>
          </cell>
          <cell r="C7065">
            <v>20008240</v>
          </cell>
          <cell r="D7065">
            <v>43843</v>
          </cell>
        </row>
        <row r="7066">
          <cell r="A7066" t="str">
            <v>Jeferson Cleiton Tereza</v>
          </cell>
          <cell r="B7066">
            <v>37004384</v>
          </cell>
          <cell r="C7066">
            <v>20009305</v>
          </cell>
          <cell r="D7066">
            <v>43878</v>
          </cell>
        </row>
        <row r="7067">
          <cell r="A7067" t="str">
            <v>David Joel Rordrigues De Azevedo</v>
          </cell>
          <cell r="B7067">
            <v>37016840</v>
          </cell>
          <cell r="C7067">
            <v>20065419</v>
          </cell>
          <cell r="D7067">
            <v>45363</v>
          </cell>
        </row>
        <row r="7068">
          <cell r="A7068" t="str">
            <v>Joeberson de Oliveira Correa</v>
          </cell>
          <cell r="B7068">
            <v>37016843</v>
          </cell>
          <cell r="C7068">
            <v>20065422</v>
          </cell>
          <cell r="D7068">
            <v>45363</v>
          </cell>
        </row>
        <row r="7069">
          <cell r="A7069" t="str">
            <v>Josué Alves Pereira dos Santos</v>
          </cell>
          <cell r="B7069">
            <v>37016846</v>
          </cell>
          <cell r="C7069">
            <v>20065425</v>
          </cell>
          <cell r="D7069">
            <v>45363</v>
          </cell>
        </row>
        <row r="7070">
          <cell r="A7070" t="str">
            <v>Rafael de Araujo Barbosa</v>
          </cell>
          <cell r="B7070">
            <v>37016847</v>
          </cell>
          <cell r="C7070">
            <v>20065426</v>
          </cell>
          <cell r="D7070">
            <v>45363</v>
          </cell>
        </row>
        <row r="7071">
          <cell r="A7071" t="str">
            <v>Murillo Augusto Pereira</v>
          </cell>
          <cell r="B7071">
            <v>37016851</v>
          </cell>
          <cell r="C7071">
            <v>20065430</v>
          </cell>
          <cell r="D7071">
            <v>45363</v>
          </cell>
        </row>
        <row r="7072">
          <cell r="A7072" t="str">
            <v>Anacleto De Paulo Maciel</v>
          </cell>
          <cell r="B7072">
            <v>37016858</v>
          </cell>
          <cell r="C7072">
            <v>20065437</v>
          </cell>
          <cell r="D7072">
            <v>45363</v>
          </cell>
        </row>
        <row r="7073">
          <cell r="A7073" t="str">
            <v>Genivaldo da Silva Oliveira</v>
          </cell>
          <cell r="B7073">
            <v>37016849</v>
          </cell>
          <cell r="C7073">
            <v>20065428</v>
          </cell>
          <cell r="D7073">
            <v>45363</v>
          </cell>
        </row>
        <row r="7074">
          <cell r="A7074" t="str">
            <v>Maria Aparecida Gomes Ferreira</v>
          </cell>
          <cell r="B7074">
            <v>37016855</v>
          </cell>
          <cell r="C7074">
            <v>20065434</v>
          </cell>
          <cell r="D7074">
            <v>45363</v>
          </cell>
        </row>
        <row r="7075">
          <cell r="A7075" t="str">
            <v>Thabata Palma Vieira</v>
          </cell>
          <cell r="B7075">
            <v>37016860</v>
          </cell>
          <cell r="C7075">
            <v>20065439</v>
          </cell>
          <cell r="D7075">
            <v>45363</v>
          </cell>
        </row>
        <row r="7076">
          <cell r="A7076" t="str">
            <v>Marcos Roberto De Rezende</v>
          </cell>
          <cell r="B7076">
            <v>37016864</v>
          </cell>
          <cell r="C7076">
            <v>20065443</v>
          </cell>
          <cell r="D7076">
            <v>45363</v>
          </cell>
        </row>
        <row r="7077">
          <cell r="A7077" t="str">
            <v>Mariana Aparecida Barbosa</v>
          </cell>
          <cell r="B7077">
            <v>37016868</v>
          </cell>
          <cell r="C7077">
            <v>20065464</v>
          </cell>
          <cell r="D7077">
            <v>45363</v>
          </cell>
        </row>
        <row r="7078">
          <cell r="A7078" t="str">
            <v>Rodrigo Alves De Mello</v>
          </cell>
          <cell r="B7078">
            <v>37016869</v>
          </cell>
          <cell r="C7078">
            <v>20065465</v>
          </cell>
          <cell r="D7078">
            <v>45363</v>
          </cell>
        </row>
        <row r="7079">
          <cell r="A7079" t="str">
            <v>Rita de Cassia Leandro Pereira</v>
          </cell>
          <cell r="B7079">
            <v>37016871</v>
          </cell>
          <cell r="C7079">
            <v>20065467</v>
          </cell>
          <cell r="D7079">
            <v>45363</v>
          </cell>
        </row>
        <row r="7080">
          <cell r="A7080" t="str">
            <v>Joao Victor Mamud Franco Calaco</v>
          </cell>
          <cell r="B7080">
            <v>37016873</v>
          </cell>
          <cell r="C7080">
            <v>20065469</v>
          </cell>
          <cell r="D7080">
            <v>45363</v>
          </cell>
        </row>
        <row r="7081">
          <cell r="A7081" t="str">
            <v>Claudio Mendes Costa</v>
          </cell>
          <cell r="B7081">
            <v>37016884</v>
          </cell>
          <cell r="C7081">
            <v>20065480</v>
          </cell>
          <cell r="D7081">
            <v>45363</v>
          </cell>
        </row>
        <row r="7082">
          <cell r="A7082" t="str">
            <v>Thalia Rocha Ramos</v>
          </cell>
          <cell r="B7082">
            <v>37016886</v>
          </cell>
          <cell r="C7082">
            <v>20065482</v>
          </cell>
          <cell r="D7082">
            <v>45363</v>
          </cell>
        </row>
        <row r="7083">
          <cell r="A7083" t="str">
            <v>Denilson Paulo Amaral</v>
          </cell>
          <cell r="B7083">
            <v>37016876</v>
          </cell>
          <cell r="C7083">
            <v>20065472</v>
          </cell>
          <cell r="D7083">
            <v>45363</v>
          </cell>
        </row>
        <row r="7084">
          <cell r="A7084" t="str">
            <v>Diego Burim Macieira</v>
          </cell>
          <cell r="B7084">
            <v>37016878</v>
          </cell>
          <cell r="C7084">
            <v>20065474</v>
          </cell>
          <cell r="D7084">
            <v>45363</v>
          </cell>
        </row>
        <row r="7085">
          <cell r="A7085" t="str">
            <v>Gisele Aparecida De Sales</v>
          </cell>
          <cell r="B7085">
            <v>37016880</v>
          </cell>
          <cell r="C7085">
            <v>20065476</v>
          </cell>
          <cell r="D7085">
            <v>45363</v>
          </cell>
        </row>
        <row r="7086">
          <cell r="A7086" t="str">
            <v>Wellinton Fermino Gomes</v>
          </cell>
          <cell r="B7086">
            <v>37016882</v>
          </cell>
          <cell r="C7086">
            <v>20065478</v>
          </cell>
          <cell r="D7086">
            <v>45363</v>
          </cell>
        </row>
        <row r="7087">
          <cell r="A7087" t="str">
            <v>Adilson Jose Dias Dos Santos</v>
          </cell>
          <cell r="B7087">
            <v>37016887</v>
          </cell>
          <cell r="C7087">
            <v>20065483</v>
          </cell>
          <cell r="D7087">
            <v>45363</v>
          </cell>
        </row>
        <row r="7088">
          <cell r="A7088" t="str">
            <v>Flavia Aparecida Eduardo</v>
          </cell>
          <cell r="B7088">
            <v>37016889</v>
          </cell>
          <cell r="C7088">
            <v>20065485</v>
          </cell>
          <cell r="D7088">
            <v>45363</v>
          </cell>
        </row>
        <row r="7089">
          <cell r="A7089" t="str">
            <v>Hudson Garcia de Souza</v>
          </cell>
          <cell r="B7089">
            <v>37016890</v>
          </cell>
          <cell r="C7089">
            <v>20065486</v>
          </cell>
          <cell r="D7089">
            <v>45363</v>
          </cell>
        </row>
        <row r="7090">
          <cell r="A7090" t="str">
            <v>Rafaela Freitas Pavani</v>
          </cell>
          <cell r="B7090">
            <v>37009510</v>
          </cell>
          <cell r="C7090">
            <v>20034654</v>
          </cell>
          <cell r="D7090">
            <v>44837</v>
          </cell>
        </row>
        <row r="7091">
          <cell r="A7091" t="str">
            <v>Douglas Vicente Nascimento</v>
          </cell>
          <cell r="B7091">
            <v>37013022</v>
          </cell>
          <cell r="C7091">
            <v>20052316</v>
          </cell>
          <cell r="D7091">
            <v>45097</v>
          </cell>
        </row>
        <row r="7092">
          <cell r="A7092" t="str">
            <v>Elder Paulo Dos Santos</v>
          </cell>
          <cell r="B7092">
            <v>37007400</v>
          </cell>
          <cell r="C7092">
            <v>20025430</v>
          </cell>
          <cell r="D7092">
            <v>44655</v>
          </cell>
        </row>
        <row r="7093">
          <cell r="A7093" t="str">
            <v>Samuel Xavier Nogueira</v>
          </cell>
          <cell r="B7093">
            <v>37003699</v>
          </cell>
          <cell r="C7093">
            <v>20009906</v>
          </cell>
          <cell r="D7093">
            <v>43731</v>
          </cell>
        </row>
        <row r="7094">
          <cell r="A7094" t="str">
            <v>Mauricio Aparecido De Padua</v>
          </cell>
          <cell r="B7094">
            <v>37010997</v>
          </cell>
          <cell r="C7094">
            <v>20041812</v>
          </cell>
          <cell r="D7094">
            <v>44958</v>
          </cell>
        </row>
        <row r="7095">
          <cell r="A7095" t="str">
            <v>Raquel Maria Benedito Bacellar</v>
          </cell>
          <cell r="B7095">
            <v>37002431</v>
          </cell>
          <cell r="C7095">
            <v>20009813</v>
          </cell>
          <cell r="D7095">
            <v>43346</v>
          </cell>
        </row>
        <row r="7096">
          <cell r="A7096" t="str">
            <v>Joao Paulo Grepe</v>
          </cell>
          <cell r="B7096">
            <v>37010988</v>
          </cell>
          <cell r="C7096">
            <v>20041787</v>
          </cell>
          <cell r="D7096">
            <v>44958</v>
          </cell>
        </row>
        <row r="7097">
          <cell r="A7097" t="str">
            <v>Carlos Alexandre Fabiano Jorge</v>
          </cell>
          <cell r="B7097">
            <v>37003194</v>
          </cell>
          <cell r="C7097">
            <v>20008751</v>
          </cell>
          <cell r="D7097">
            <v>43605</v>
          </cell>
        </row>
        <row r="7098">
          <cell r="A7098" t="str">
            <v>Andre Ryuji Narimatu Nosse</v>
          </cell>
          <cell r="B7098">
            <v>37006095</v>
          </cell>
          <cell r="C7098">
            <v>20016868</v>
          </cell>
          <cell r="D7098">
            <v>44410</v>
          </cell>
        </row>
        <row r="7099">
          <cell r="A7099" t="str">
            <v>Rayara Barros Silva</v>
          </cell>
          <cell r="B7099">
            <v>37007287</v>
          </cell>
          <cell r="C7099">
            <v>20023660</v>
          </cell>
          <cell r="D7099">
            <v>44634</v>
          </cell>
        </row>
        <row r="7100">
          <cell r="A7100" t="str">
            <v>Aparecida Tavares De Oliveira Alexandre</v>
          </cell>
          <cell r="B7100">
            <v>37001236</v>
          </cell>
          <cell r="C7100">
            <v>20008672</v>
          </cell>
          <cell r="D7100">
            <v>41554</v>
          </cell>
        </row>
        <row r="7101">
          <cell r="A7101" t="str">
            <v>Reginaldo Arthur Gloria Marcelino</v>
          </cell>
          <cell r="B7101">
            <v>37012296</v>
          </cell>
          <cell r="C7101">
            <v>20049238</v>
          </cell>
          <cell r="D7101">
            <v>45048</v>
          </cell>
        </row>
        <row r="7102">
          <cell r="A7102" t="str">
            <v>Roger Gustavo Moreno Rosalino</v>
          </cell>
          <cell r="B7102">
            <v>37016916</v>
          </cell>
          <cell r="C7102">
            <v>20065866</v>
          </cell>
          <cell r="D7102">
            <v>45370</v>
          </cell>
        </row>
        <row r="7103">
          <cell r="A7103" t="str">
            <v>Edson Martins</v>
          </cell>
          <cell r="B7103">
            <v>37016917</v>
          </cell>
          <cell r="C7103">
            <v>20065867</v>
          </cell>
          <cell r="D7103">
            <v>45370</v>
          </cell>
        </row>
        <row r="7104">
          <cell r="A7104" t="str">
            <v>Dourival da Cruz Souza</v>
          </cell>
          <cell r="B7104">
            <v>37016915</v>
          </cell>
          <cell r="C7104">
            <v>20065865</v>
          </cell>
          <cell r="D7104">
            <v>45370</v>
          </cell>
        </row>
        <row r="7105">
          <cell r="A7105" t="str">
            <v>Ana Paula Lucas Gomes</v>
          </cell>
          <cell r="B7105">
            <v>37016932</v>
          </cell>
          <cell r="C7105">
            <v>20065883</v>
          </cell>
          <cell r="D7105">
            <v>45370</v>
          </cell>
        </row>
        <row r="7106">
          <cell r="A7106" t="str">
            <v>Lorena Paulina Dos Santos</v>
          </cell>
          <cell r="B7106">
            <v>37016930</v>
          </cell>
          <cell r="C7106">
            <v>20065881</v>
          </cell>
          <cell r="D7106">
            <v>45370</v>
          </cell>
        </row>
        <row r="7107">
          <cell r="A7107" t="str">
            <v>Marcos Vinicius Dontal Bertochi</v>
          </cell>
          <cell r="B7107">
            <v>37016946</v>
          </cell>
          <cell r="C7107">
            <v>20065897</v>
          </cell>
          <cell r="D7107">
            <v>45370</v>
          </cell>
        </row>
        <row r="7108">
          <cell r="A7108" t="str">
            <v>Edson Jose De Souza</v>
          </cell>
          <cell r="B7108">
            <v>37016936</v>
          </cell>
          <cell r="C7108">
            <v>20065887</v>
          </cell>
          <cell r="D7108">
            <v>45370</v>
          </cell>
        </row>
        <row r="7109">
          <cell r="A7109" t="str">
            <v>Davi Antunes Silva</v>
          </cell>
          <cell r="B7109">
            <v>37016947</v>
          </cell>
          <cell r="C7109">
            <v>20065898</v>
          </cell>
          <cell r="D7109">
            <v>45370</v>
          </cell>
        </row>
        <row r="7110">
          <cell r="A7110" t="str">
            <v>Jose Micaellyson Marques de Medeiros</v>
          </cell>
          <cell r="B7110">
            <v>37016952</v>
          </cell>
          <cell r="C7110">
            <v>20065903</v>
          </cell>
          <cell r="D7110">
            <v>45370</v>
          </cell>
        </row>
        <row r="7111">
          <cell r="A7111" t="str">
            <v>Jonas Thomas de Jesus Filho</v>
          </cell>
          <cell r="B7111">
            <v>37016954</v>
          </cell>
          <cell r="C7111">
            <v>20065905</v>
          </cell>
          <cell r="D7111">
            <v>45370</v>
          </cell>
        </row>
        <row r="7112">
          <cell r="A7112" t="str">
            <v>Leonardo De Melo Arf</v>
          </cell>
          <cell r="B7112">
            <v>37016956</v>
          </cell>
          <cell r="C7112">
            <v>20065907</v>
          </cell>
          <cell r="D7112">
            <v>45370</v>
          </cell>
        </row>
        <row r="7113">
          <cell r="A7113" t="str">
            <v>Gustavo Victor Rocha Lebron</v>
          </cell>
          <cell r="B7113">
            <v>37016970</v>
          </cell>
          <cell r="C7113">
            <v>20049651</v>
          </cell>
          <cell r="D7113">
            <v>45370</v>
          </cell>
        </row>
        <row r="7114">
          <cell r="A7114" t="str">
            <v>Felipe Manuel Valesi</v>
          </cell>
          <cell r="B7114">
            <v>37009576</v>
          </cell>
          <cell r="C7114">
            <v>20035375</v>
          </cell>
          <cell r="D7114">
            <v>44837</v>
          </cell>
        </row>
        <row r="7115">
          <cell r="A7115" t="str">
            <v>Welder Fernando de Oliveira Alvares</v>
          </cell>
          <cell r="B7115">
            <v>37016983</v>
          </cell>
          <cell r="C7115">
            <v>20065934</v>
          </cell>
          <cell r="D7115">
            <v>45370</v>
          </cell>
        </row>
        <row r="7116">
          <cell r="A7116" t="str">
            <v>Osmar Bertolucci</v>
          </cell>
          <cell r="B7116">
            <v>37016985</v>
          </cell>
          <cell r="C7116">
            <v>20065936</v>
          </cell>
          <cell r="D7116">
            <v>45370</v>
          </cell>
        </row>
        <row r="7117">
          <cell r="A7117" t="str">
            <v>Manoel Jesus de Oliveira</v>
          </cell>
          <cell r="B7117">
            <v>37016990</v>
          </cell>
          <cell r="C7117">
            <v>20065941</v>
          </cell>
          <cell r="D7117">
            <v>45370</v>
          </cell>
        </row>
        <row r="7118">
          <cell r="A7118" t="str">
            <v>Nivaldo Ribeiro Da Silva Junior</v>
          </cell>
          <cell r="B7118">
            <v>37017010</v>
          </cell>
          <cell r="C7118">
            <v>20065961</v>
          </cell>
          <cell r="D7118">
            <v>45370</v>
          </cell>
        </row>
        <row r="7119">
          <cell r="A7119" t="str">
            <v>Lilian Fabiana da Silva</v>
          </cell>
          <cell r="B7119">
            <v>37017006</v>
          </cell>
          <cell r="C7119">
            <v>20065957</v>
          </cell>
          <cell r="D7119">
            <v>45370</v>
          </cell>
        </row>
        <row r="7120">
          <cell r="A7120" t="str">
            <v>Fabio Roberto Da Costa</v>
          </cell>
          <cell r="B7120">
            <v>37017012</v>
          </cell>
          <cell r="C7120">
            <v>20065963</v>
          </cell>
          <cell r="D7120">
            <v>45370</v>
          </cell>
        </row>
        <row r="7121">
          <cell r="A7121" t="str">
            <v>Vinícius Luis Parizotto Monchelato</v>
          </cell>
          <cell r="B7121">
            <v>37017014</v>
          </cell>
          <cell r="C7121">
            <v>20065965</v>
          </cell>
          <cell r="D7121">
            <v>45370</v>
          </cell>
        </row>
        <row r="7122">
          <cell r="A7122" t="str">
            <v>Paulo Henrique Oliveira Santos</v>
          </cell>
          <cell r="B7122">
            <v>37011378</v>
          </cell>
          <cell r="C7122">
            <v>20043860</v>
          </cell>
          <cell r="D7122">
            <v>44986</v>
          </cell>
        </row>
        <row r="7123">
          <cell r="A7123" t="str">
            <v>Renan Azambuja Dos Santos</v>
          </cell>
          <cell r="B7123">
            <v>37009631</v>
          </cell>
          <cell r="C7123">
            <v>20035257</v>
          </cell>
          <cell r="D7123">
            <v>44844</v>
          </cell>
        </row>
        <row r="7124">
          <cell r="A7124" t="str">
            <v>Rafaela Cruz Rodrigues</v>
          </cell>
          <cell r="B7124">
            <v>37011516</v>
          </cell>
          <cell r="C7124">
            <v>20044203</v>
          </cell>
          <cell r="D7124">
            <v>44991</v>
          </cell>
        </row>
        <row r="7125">
          <cell r="A7125" t="str">
            <v>Fernando De Oliveira</v>
          </cell>
          <cell r="B7125">
            <v>37000709</v>
          </cell>
          <cell r="C7125">
            <v>20009090</v>
          </cell>
          <cell r="D7125">
            <v>39818</v>
          </cell>
        </row>
        <row r="7126">
          <cell r="A7126" t="str">
            <v>Lais Larissa Da Conceicao Goncalves</v>
          </cell>
          <cell r="B7126">
            <v>37017031</v>
          </cell>
          <cell r="C7126">
            <v>20066234</v>
          </cell>
          <cell r="D7126">
            <v>45384</v>
          </cell>
        </row>
        <row r="7127">
          <cell r="A7127" t="str">
            <v>Giovani Aparecido Cipriano</v>
          </cell>
          <cell r="B7127">
            <v>37017032</v>
          </cell>
          <cell r="C7127">
            <v>20066235</v>
          </cell>
          <cell r="D7127">
            <v>45384</v>
          </cell>
        </row>
        <row r="7128">
          <cell r="A7128" t="str">
            <v>Beatriz Ukan Goll</v>
          </cell>
          <cell r="B7128">
            <v>37017030</v>
          </cell>
          <cell r="C7128">
            <v>20050171</v>
          </cell>
          <cell r="D7128">
            <v>45370</v>
          </cell>
        </row>
        <row r="7129">
          <cell r="A7129" t="str">
            <v>Fabiano Vieira</v>
          </cell>
          <cell r="B7129">
            <v>37017042</v>
          </cell>
          <cell r="C7129">
            <v>20066642</v>
          </cell>
          <cell r="D7129">
            <v>45384</v>
          </cell>
        </row>
        <row r="7130">
          <cell r="A7130" t="str">
            <v>Edervandson Brito Ferreira</v>
          </cell>
          <cell r="B7130">
            <v>37017036</v>
          </cell>
          <cell r="C7130">
            <v>20066635</v>
          </cell>
          <cell r="D7130">
            <v>45384</v>
          </cell>
        </row>
        <row r="7131">
          <cell r="A7131" t="str">
            <v>Janini Adrieli Dos Santos Nelli</v>
          </cell>
          <cell r="B7131">
            <v>37005245</v>
          </cell>
          <cell r="C7131">
            <v>20011083</v>
          </cell>
          <cell r="D7131">
            <v>44138</v>
          </cell>
        </row>
        <row r="7132">
          <cell r="A7132" t="str">
            <v>Jefferson Lima Campos</v>
          </cell>
          <cell r="B7132">
            <v>37014798</v>
          </cell>
          <cell r="C7132">
            <v>20060015</v>
          </cell>
          <cell r="D7132">
            <v>45202</v>
          </cell>
        </row>
        <row r="7133">
          <cell r="A7133" t="str">
            <v>Gabriela Ribeiro Hencklein</v>
          </cell>
          <cell r="B7133">
            <v>37009008</v>
          </cell>
          <cell r="C7133">
            <v>20030990</v>
          </cell>
          <cell r="D7133">
            <v>44781</v>
          </cell>
        </row>
        <row r="7134">
          <cell r="A7134" t="str">
            <v>Marcos Matheus Lima Sales</v>
          </cell>
          <cell r="B7134">
            <v>37017048</v>
          </cell>
          <cell r="C7134">
            <v>20066791</v>
          </cell>
          <cell r="D7134">
            <v>45384</v>
          </cell>
        </row>
        <row r="7135">
          <cell r="A7135" t="str">
            <v>Igor Barcellos Pantuza</v>
          </cell>
          <cell r="B7135">
            <v>37006028</v>
          </cell>
          <cell r="C7135">
            <v>20015664</v>
          </cell>
          <cell r="D7135">
            <v>44396</v>
          </cell>
        </row>
        <row r="7136">
          <cell r="A7136" t="str">
            <v>Felipe Neckel Goulart</v>
          </cell>
          <cell r="B7136">
            <v>37003016</v>
          </cell>
          <cell r="C7136">
            <v>20009075</v>
          </cell>
          <cell r="D7136">
            <v>43537</v>
          </cell>
        </row>
        <row r="7137">
          <cell r="A7137" t="str">
            <v>Camila Diegoli Vieira Bernardes</v>
          </cell>
          <cell r="B7137">
            <v>37000448</v>
          </cell>
          <cell r="C7137">
            <v>20008743</v>
          </cell>
          <cell r="D7137">
            <v>38509</v>
          </cell>
        </row>
        <row r="7138">
          <cell r="A7138" t="str">
            <v>Eder Bernardes Da Silva</v>
          </cell>
          <cell r="B7138">
            <v>37014499</v>
          </cell>
          <cell r="C7138">
            <v>20059011</v>
          </cell>
          <cell r="D7138">
            <v>45181</v>
          </cell>
        </row>
        <row r="7139">
          <cell r="A7139" t="str">
            <v>Savio Augusto Da Silva</v>
          </cell>
          <cell r="B7139">
            <v>37013499</v>
          </cell>
          <cell r="C7139">
            <v>20055395</v>
          </cell>
          <cell r="D7139">
            <v>45125</v>
          </cell>
        </row>
        <row r="7140">
          <cell r="A7140" t="str">
            <v>Alex Sousa Dos Santos</v>
          </cell>
          <cell r="B7140">
            <v>37007675</v>
          </cell>
          <cell r="C7140">
            <v>20025716</v>
          </cell>
          <cell r="D7140">
            <v>44690</v>
          </cell>
        </row>
        <row r="7141">
          <cell r="A7141" t="str">
            <v>Fernando Jose Rodrigues</v>
          </cell>
          <cell r="B7141">
            <v>37017060</v>
          </cell>
          <cell r="C7141">
            <v>20066828</v>
          </cell>
          <cell r="D7141">
            <v>45384</v>
          </cell>
        </row>
        <row r="7142">
          <cell r="A7142" t="str">
            <v>Bruno Baptistella Guigem</v>
          </cell>
          <cell r="B7142">
            <v>37017058</v>
          </cell>
          <cell r="C7142">
            <v>20066826</v>
          </cell>
          <cell r="D7142">
            <v>45384</v>
          </cell>
        </row>
        <row r="7143">
          <cell r="A7143" t="str">
            <v>Yogo Henrique da Silva</v>
          </cell>
          <cell r="B7143">
            <v>37017069</v>
          </cell>
          <cell r="C7143">
            <v>20067063</v>
          </cell>
          <cell r="D7143">
            <v>45384</v>
          </cell>
        </row>
        <row r="7144">
          <cell r="A7144" t="str">
            <v>Pablo Ruiz Colombo Ortiz</v>
          </cell>
          <cell r="B7144">
            <v>37017070</v>
          </cell>
          <cell r="C7144">
            <v>20067064</v>
          </cell>
          <cell r="D7144">
            <v>45384</v>
          </cell>
        </row>
        <row r="7145">
          <cell r="A7145" t="str">
            <v>Eder De Paula Alves</v>
          </cell>
          <cell r="B7145">
            <v>37017071</v>
          </cell>
          <cell r="C7145">
            <v>20067065</v>
          </cell>
          <cell r="D7145">
            <v>45384</v>
          </cell>
        </row>
        <row r="7146">
          <cell r="A7146" t="str">
            <v>Leandro Ricardo De Freitas</v>
          </cell>
          <cell r="B7146">
            <v>37017064</v>
          </cell>
          <cell r="C7146">
            <v>20064918</v>
          </cell>
          <cell r="D7146">
            <v>45384</v>
          </cell>
        </row>
        <row r="7147">
          <cell r="A7147" t="str">
            <v>Devanir Martins Valerio</v>
          </cell>
          <cell r="B7147">
            <v>37017080</v>
          </cell>
          <cell r="C7147">
            <v>20067074</v>
          </cell>
          <cell r="D7147">
            <v>45384</v>
          </cell>
        </row>
        <row r="7148">
          <cell r="A7148" t="str">
            <v>Edson Edvaldo Camillo</v>
          </cell>
          <cell r="B7148">
            <v>37017084</v>
          </cell>
          <cell r="C7148">
            <v>20067078</v>
          </cell>
          <cell r="D7148">
            <v>45384</v>
          </cell>
        </row>
        <row r="7149">
          <cell r="A7149" t="str">
            <v>Antonio Benedito Rodrigues</v>
          </cell>
          <cell r="B7149">
            <v>37017079</v>
          </cell>
          <cell r="C7149">
            <v>20067073</v>
          </cell>
          <cell r="D7149">
            <v>45384</v>
          </cell>
        </row>
        <row r="7150">
          <cell r="A7150" t="str">
            <v>Ismael Sanchez</v>
          </cell>
          <cell r="B7150">
            <v>37017091</v>
          </cell>
          <cell r="C7150">
            <v>20067085</v>
          </cell>
          <cell r="D7150">
            <v>45384</v>
          </cell>
        </row>
        <row r="7151">
          <cell r="A7151" t="str">
            <v>Vitor Rafael dos Santos</v>
          </cell>
          <cell r="B7151">
            <v>37017096</v>
          </cell>
          <cell r="C7151">
            <v>20067410</v>
          </cell>
          <cell r="D7151">
            <v>45384</v>
          </cell>
        </row>
        <row r="7152">
          <cell r="A7152" t="str">
            <v>Mauro Sergio Dos Santos Ferreira</v>
          </cell>
          <cell r="B7152">
            <v>37014111</v>
          </cell>
          <cell r="C7152">
            <v>20057875</v>
          </cell>
          <cell r="D7152">
            <v>45160</v>
          </cell>
        </row>
        <row r="7153">
          <cell r="A7153" t="str">
            <v>Marina Freitas Norkus</v>
          </cell>
          <cell r="B7153">
            <v>37005355</v>
          </cell>
          <cell r="C7153">
            <v>20014466</v>
          </cell>
          <cell r="D7153">
            <v>44235</v>
          </cell>
        </row>
        <row r="7154">
          <cell r="A7154" t="str">
            <v>Gabriela Felix</v>
          </cell>
          <cell r="B7154">
            <v>37017092</v>
          </cell>
          <cell r="C7154">
            <v>20045745</v>
          </cell>
          <cell r="D7154">
            <v>45384</v>
          </cell>
        </row>
        <row r="7155">
          <cell r="A7155" t="str">
            <v>Marciano de Amorim Arguelho</v>
          </cell>
          <cell r="B7155">
            <v>37017100</v>
          </cell>
          <cell r="C7155">
            <v>20067414</v>
          </cell>
          <cell r="D7155">
            <v>45384</v>
          </cell>
        </row>
        <row r="7156">
          <cell r="A7156" t="str">
            <v>Ismael Luiz dos Santos</v>
          </cell>
          <cell r="B7156">
            <v>37017103</v>
          </cell>
          <cell r="C7156">
            <v>20067417</v>
          </cell>
          <cell r="D7156">
            <v>45384</v>
          </cell>
        </row>
        <row r="7157">
          <cell r="A7157" t="str">
            <v>Joao Kleber Antonio Lopes</v>
          </cell>
          <cell r="B7157">
            <v>37017097</v>
          </cell>
          <cell r="C7157">
            <v>20067411</v>
          </cell>
          <cell r="D7157">
            <v>45384</v>
          </cell>
        </row>
        <row r="7158">
          <cell r="A7158" t="str">
            <v>Thaynara Andrade Lopes</v>
          </cell>
          <cell r="B7158">
            <v>37017098</v>
          </cell>
          <cell r="C7158">
            <v>20067412</v>
          </cell>
          <cell r="D7158">
            <v>45384</v>
          </cell>
        </row>
        <row r="7159">
          <cell r="A7159" t="str">
            <v>Jesus Fernando Ferreira De Oliveira</v>
          </cell>
          <cell r="B7159">
            <v>37017104</v>
          </cell>
          <cell r="C7159">
            <v>20067418</v>
          </cell>
          <cell r="D7159">
            <v>45384</v>
          </cell>
        </row>
        <row r="7160">
          <cell r="A7160" t="str">
            <v>Eduarda Timponi Duarte Barbosa</v>
          </cell>
          <cell r="B7160">
            <v>37017111</v>
          </cell>
          <cell r="C7160">
            <v>20067425</v>
          </cell>
          <cell r="D7160">
            <v>45384</v>
          </cell>
        </row>
        <row r="7161">
          <cell r="A7161" t="str">
            <v>Diego Alencar Ferreira</v>
          </cell>
          <cell r="B7161">
            <v>37017119</v>
          </cell>
          <cell r="C7161">
            <v>20067433</v>
          </cell>
          <cell r="D7161">
            <v>45384</v>
          </cell>
        </row>
        <row r="7162">
          <cell r="A7162" t="str">
            <v>Ivan Ferreira Da Silva</v>
          </cell>
          <cell r="B7162">
            <v>37017120</v>
          </cell>
          <cell r="C7162">
            <v>20067434</v>
          </cell>
          <cell r="D7162">
            <v>45384</v>
          </cell>
        </row>
        <row r="7163">
          <cell r="A7163" t="str">
            <v>Clayton Mena de Araujo</v>
          </cell>
          <cell r="B7163">
            <v>37017124</v>
          </cell>
          <cell r="C7163">
            <v>20067438</v>
          </cell>
          <cell r="D7163">
            <v>45384</v>
          </cell>
        </row>
        <row r="7164">
          <cell r="A7164" t="str">
            <v>Gabriel Cristopher Valerio</v>
          </cell>
          <cell r="B7164">
            <v>37008769</v>
          </cell>
          <cell r="C7164">
            <v>20032416</v>
          </cell>
          <cell r="D7164">
            <v>44774</v>
          </cell>
        </row>
        <row r="7165">
          <cell r="A7165" t="str">
            <v>Bruno De Oliveira Vila Nova</v>
          </cell>
          <cell r="B7165">
            <v>37006191</v>
          </cell>
          <cell r="C7165">
            <v>20017909</v>
          </cell>
          <cell r="D7165">
            <v>44424</v>
          </cell>
        </row>
        <row r="7166">
          <cell r="A7166" t="str">
            <v>Valmir Gomes de Oliveira</v>
          </cell>
          <cell r="B7166">
            <v>37014519</v>
          </cell>
          <cell r="C7166">
            <v>20059045</v>
          </cell>
          <cell r="D7166">
            <v>45181</v>
          </cell>
        </row>
        <row r="7167">
          <cell r="A7167" t="str">
            <v>Vilmo Cardoso Pereira</v>
          </cell>
          <cell r="B7167">
            <v>37014686</v>
          </cell>
          <cell r="C7167">
            <v>20059445</v>
          </cell>
          <cell r="D7167">
            <v>45188</v>
          </cell>
        </row>
        <row r="7168">
          <cell r="A7168" t="str">
            <v>Taina Curralo Scarano</v>
          </cell>
          <cell r="B7168">
            <v>37004497</v>
          </cell>
          <cell r="C7168">
            <v>20008317</v>
          </cell>
          <cell r="D7168">
            <v>43906</v>
          </cell>
        </row>
        <row r="7169">
          <cell r="A7169" t="str">
            <v>Nilson Ferreira Camilo</v>
          </cell>
          <cell r="B7169">
            <v>37004881</v>
          </cell>
          <cell r="C7169">
            <v>20008130</v>
          </cell>
          <cell r="D7169">
            <v>44090</v>
          </cell>
        </row>
        <row r="7170">
          <cell r="A7170" t="str">
            <v>Deivis Luis Rodrigues</v>
          </cell>
          <cell r="B7170">
            <v>37013231</v>
          </cell>
          <cell r="C7170">
            <v>20053570</v>
          </cell>
          <cell r="D7170">
            <v>45111</v>
          </cell>
        </row>
        <row r="7171">
          <cell r="A7171" t="str">
            <v>Marieli Sabrina Ruza</v>
          </cell>
          <cell r="B7171">
            <v>37009015</v>
          </cell>
          <cell r="C7171">
            <v>20030982</v>
          </cell>
          <cell r="D7171">
            <v>44781</v>
          </cell>
        </row>
        <row r="7172">
          <cell r="A7172" t="str">
            <v>Alessandro Garcia</v>
          </cell>
          <cell r="B7172">
            <v>37013670</v>
          </cell>
          <cell r="C7172">
            <v>20055947</v>
          </cell>
          <cell r="D7172">
            <v>45139</v>
          </cell>
        </row>
        <row r="7173">
          <cell r="A7173" t="str">
            <v>Maina Ferreira Souza</v>
          </cell>
          <cell r="B7173">
            <v>37010522</v>
          </cell>
          <cell r="C7173">
            <v>20040255</v>
          </cell>
          <cell r="D7173">
            <v>44914</v>
          </cell>
        </row>
        <row r="7174">
          <cell r="A7174" t="str">
            <v>Joaquim Rodrigues Cordeiro Netto</v>
          </cell>
          <cell r="B7174">
            <v>37014581</v>
          </cell>
          <cell r="C7174">
            <v>20059169</v>
          </cell>
          <cell r="D7174">
            <v>45188</v>
          </cell>
        </row>
        <row r="7175">
          <cell r="A7175" t="str">
            <v>Walter Luiz Peral</v>
          </cell>
          <cell r="B7175">
            <v>37006853</v>
          </cell>
          <cell r="C7175">
            <v>20020029</v>
          </cell>
          <cell r="D7175">
            <v>44536</v>
          </cell>
        </row>
        <row r="7176">
          <cell r="A7176" t="str">
            <v>Pedro Augusto Chagas</v>
          </cell>
          <cell r="B7176">
            <v>37005550</v>
          </cell>
          <cell r="C7176">
            <v>20015592</v>
          </cell>
          <cell r="D7176">
            <v>44291</v>
          </cell>
        </row>
        <row r="7177">
          <cell r="A7177" t="str">
            <v>Luiz Henrique Gomes De Souza</v>
          </cell>
          <cell r="B7177">
            <v>37014607</v>
          </cell>
          <cell r="C7177">
            <v>20059195</v>
          </cell>
          <cell r="D7177">
            <v>45188</v>
          </cell>
        </row>
        <row r="7178">
          <cell r="A7178" t="str">
            <v>Mario Fraiz Coelho Maia De Andrade</v>
          </cell>
          <cell r="B7178">
            <v>37009708</v>
          </cell>
          <cell r="C7178">
            <v>20036000</v>
          </cell>
          <cell r="D7178">
            <v>44851</v>
          </cell>
        </row>
        <row r="7179">
          <cell r="A7179" t="str">
            <v>Sebastiao Alexandre Neris Cardoso</v>
          </cell>
          <cell r="B7179">
            <v>37007721</v>
          </cell>
          <cell r="C7179">
            <v>20025802</v>
          </cell>
          <cell r="D7179">
            <v>44690</v>
          </cell>
        </row>
        <row r="7180">
          <cell r="A7180" t="str">
            <v>Matheus Meira Charme</v>
          </cell>
          <cell r="B7180">
            <v>37011994</v>
          </cell>
          <cell r="C7180">
            <v>20047068</v>
          </cell>
          <cell r="D7180">
            <v>45019</v>
          </cell>
        </row>
        <row r="7181">
          <cell r="A7181" t="str">
            <v>Daniel Menezes Afonso</v>
          </cell>
          <cell r="B7181">
            <v>37010009</v>
          </cell>
          <cell r="C7181">
            <v>20037068</v>
          </cell>
          <cell r="D7181">
            <v>44872</v>
          </cell>
        </row>
        <row r="7182">
          <cell r="A7182" t="str">
            <v>Davi Martins Pereira</v>
          </cell>
          <cell r="B7182">
            <v>37009574</v>
          </cell>
          <cell r="C7182">
            <v>20035369</v>
          </cell>
          <cell r="D7182">
            <v>44837</v>
          </cell>
        </row>
        <row r="7183">
          <cell r="A7183" t="str">
            <v>Daniel Leal De Carvalho</v>
          </cell>
          <cell r="B7183">
            <v>37009628</v>
          </cell>
          <cell r="C7183">
            <v>20035695</v>
          </cell>
          <cell r="D7183">
            <v>44851</v>
          </cell>
        </row>
        <row r="7184">
          <cell r="A7184" t="str">
            <v>Joao Paulo Da Silva Domingos</v>
          </cell>
          <cell r="B7184">
            <v>37014682</v>
          </cell>
          <cell r="C7184">
            <v>20059441</v>
          </cell>
          <cell r="D7184">
            <v>45188</v>
          </cell>
        </row>
        <row r="7185">
          <cell r="A7185" t="str">
            <v>Gilberto Tomaz Siviero Junior</v>
          </cell>
          <cell r="B7185">
            <v>37017137</v>
          </cell>
          <cell r="C7185">
            <v>20067698</v>
          </cell>
          <cell r="D7185">
            <v>45391</v>
          </cell>
        </row>
        <row r="7186">
          <cell r="A7186" t="str">
            <v>Oscar De Melo Neto</v>
          </cell>
          <cell r="B7186">
            <v>37012522</v>
          </cell>
          <cell r="C7186">
            <v>20050317</v>
          </cell>
          <cell r="D7186">
            <v>45062</v>
          </cell>
        </row>
        <row r="7187">
          <cell r="A7187" t="str">
            <v>Jean Carlos Antunes</v>
          </cell>
          <cell r="B7187">
            <v>37017145</v>
          </cell>
          <cell r="C7187">
            <v>20067708</v>
          </cell>
          <cell r="D7187">
            <v>45391</v>
          </cell>
        </row>
        <row r="7188">
          <cell r="A7188" t="str">
            <v>Lucas Oliva Bacas</v>
          </cell>
          <cell r="B7188">
            <v>37017153</v>
          </cell>
          <cell r="C7188">
            <v>20067717</v>
          </cell>
          <cell r="D7188">
            <v>45391</v>
          </cell>
        </row>
        <row r="7189">
          <cell r="A7189" t="str">
            <v>Ricardo Arlindo Bento da Rocha</v>
          </cell>
          <cell r="B7189">
            <v>37017159</v>
          </cell>
          <cell r="C7189">
            <v>20067960</v>
          </cell>
          <cell r="D7189">
            <v>45391</v>
          </cell>
        </row>
        <row r="7190">
          <cell r="A7190" t="str">
            <v>Luciano Aparecido Marques da Silva</v>
          </cell>
          <cell r="B7190">
            <v>37017146</v>
          </cell>
          <cell r="C7190">
            <v>20067709</v>
          </cell>
          <cell r="D7190">
            <v>45391</v>
          </cell>
        </row>
        <row r="7191">
          <cell r="A7191" t="str">
            <v>EDSON CELESTINO</v>
          </cell>
          <cell r="B7191">
            <v>37017147</v>
          </cell>
          <cell r="C7191">
            <v>20067711</v>
          </cell>
          <cell r="D7191">
            <v>45391</v>
          </cell>
        </row>
        <row r="7192">
          <cell r="A7192" t="str">
            <v>Robison Joao de Lima</v>
          </cell>
          <cell r="B7192">
            <v>37015476</v>
          </cell>
          <cell r="C7192">
            <v>20063123</v>
          </cell>
          <cell r="D7192">
            <v>43395</v>
          </cell>
        </row>
        <row r="7193">
          <cell r="A7193" t="str">
            <v>Jonathas Silva Sales Rosa</v>
          </cell>
          <cell r="B7193">
            <v>37017170</v>
          </cell>
          <cell r="C7193">
            <v>20067978</v>
          </cell>
          <cell r="D7193">
            <v>45391</v>
          </cell>
        </row>
        <row r="7194">
          <cell r="A7194" t="str">
            <v>Andre Manoel da Silva</v>
          </cell>
          <cell r="B7194">
            <v>37017173</v>
          </cell>
          <cell r="C7194">
            <v>20067988</v>
          </cell>
          <cell r="D7194">
            <v>45391</v>
          </cell>
        </row>
        <row r="7195">
          <cell r="A7195" t="str">
            <v>Edson Nunes da Silva Filho</v>
          </cell>
          <cell r="B7195">
            <v>37017174</v>
          </cell>
          <cell r="C7195">
            <v>20067997</v>
          </cell>
          <cell r="D7195">
            <v>45391</v>
          </cell>
        </row>
        <row r="7196">
          <cell r="A7196" t="str">
            <v>Luiz Silva Correia</v>
          </cell>
          <cell r="B7196">
            <v>37017178</v>
          </cell>
          <cell r="C7196">
            <v>20068029</v>
          </cell>
          <cell r="D7196">
            <v>45391</v>
          </cell>
        </row>
        <row r="7197">
          <cell r="A7197" t="str">
            <v>Carlos Henrique Silva Araujo</v>
          </cell>
          <cell r="B7197">
            <v>37017182</v>
          </cell>
          <cell r="C7197">
            <v>20068269</v>
          </cell>
          <cell r="D7197">
            <v>45391</v>
          </cell>
        </row>
        <row r="7198">
          <cell r="A7198" t="str">
            <v>Leandro José Andrade</v>
          </cell>
          <cell r="B7198">
            <v>37017184</v>
          </cell>
          <cell r="C7198">
            <v>20068281</v>
          </cell>
          <cell r="D7198">
            <v>45391</v>
          </cell>
        </row>
        <row r="7199">
          <cell r="A7199" t="str">
            <v>Marcelo Alex Antonio</v>
          </cell>
          <cell r="B7199">
            <v>37017185</v>
          </cell>
          <cell r="C7199">
            <v>20068294</v>
          </cell>
          <cell r="D7199">
            <v>45391</v>
          </cell>
        </row>
        <row r="7200">
          <cell r="A7200" t="str">
            <v>Mellory Zampronho Ferronato</v>
          </cell>
          <cell r="B7200">
            <v>37017197</v>
          </cell>
          <cell r="C7200">
            <v>20014616</v>
          </cell>
          <cell r="D7200">
            <v>45391</v>
          </cell>
        </row>
        <row r="7201">
          <cell r="A7201" t="str">
            <v>Vagner de Oliveira Cintra</v>
          </cell>
          <cell r="B7201">
            <v>37017201</v>
          </cell>
          <cell r="C7201">
            <v>20068360</v>
          </cell>
          <cell r="D7201">
            <v>45391</v>
          </cell>
        </row>
        <row r="7202">
          <cell r="A7202" t="str">
            <v>Murilo Caires Ferraz</v>
          </cell>
          <cell r="B7202">
            <v>37008091</v>
          </cell>
          <cell r="C7202">
            <v>20026793</v>
          </cell>
          <cell r="D7202">
            <v>44713</v>
          </cell>
        </row>
        <row r="7203">
          <cell r="A7203" t="str">
            <v>Patricia Aparecida Libanori</v>
          </cell>
          <cell r="B7203">
            <v>37012230</v>
          </cell>
          <cell r="C7203">
            <v>20048941</v>
          </cell>
          <cell r="D7203">
            <v>45048</v>
          </cell>
        </row>
        <row r="7204">
          <cell r="A7204" t="str">
            <v>Paloma da Silva Neves</v>
          </cell>
          <cell r="B7204">
            <v>37017212</v>
          </cell>
          <cell r="C7204">
            <v>20068433</v>
          </cell>
          <cell r="D7204">
            <v>45398</v>
          </cell>
        </row>
        <row r="7205">
          <cell r="A7205" t="str">
            <v>Ana Carolina De Souza</v>
          </cell>
          <cell r="B7205">
            <v>37017219</v>
          </cell>
          <cell r="C7205">
            <v>20068440</v>
          </cell>
          <cell r="D7205">
            <v>45398</v>
          </cell>
        </row>
        <row r="7206">
          <cell r="A7206" t="str">
            <v>Bruna Fernanda Sousa Da Silva</v>
          </cell>
          <cell r="B7206">
            <v>37017220</v>
          </cell>
          <cell r="C7206">
            <v>20068441</v>
          </cell>
          <cell r="D7206">
            <v>45398</v>
          </cell>
        </row>
        <row r="7207">
          <cell r="A7207" t="str">
            <v>Adriano Claudinei de Oliveira</v>
          </cell>
          <cell r="B7207">
            <v>37017213</v>
          </cell>
          <cell r="C7207">
            <v>20068434</v>
          </cell>
          <cell r="D7207">
            <v>45398</v>
          </cell>
        </row>
        <row r="7208">
          <cell r="A7208" t="str">
            <v>Pedro Henrique Jordao</v>
          </cell>
          <cell r="B7208">
            <v>37017214</v>
          </cell>
          <cell r="C7208">
            <v>20068435</v>
          </cell>
          <cell r="D7208">
            <v>45398</v>
          </cell>
        </row>
        <row r="7209">
          <cell r="A7209" t="str">
            <v>Fernando Gedioni De Oliveira</v>
          </cell>
          <cell r="B7209">
            <v>37012742</v>
          </cell>
          <cell r="C7209">
            <v>20051336</v>
          </cell>
          <cell r="D7209">
            <v>45083</v>
          </cell>
        </row>
        <row r="7210">
          <cell r="A7210" t="str">
            <v>Josilmar Amarildo Camilo</v>
          </cell>
          <cell r="B7210">
            <v>37017224</v>
          </cell>
          <cell r="C7210">
            <v>20068460</v>
          </cell>
          <cell r="D7210">
            <v>45398</v>
          </cell>
        </row>
        <row r="7211">
          <cell r="A7211" t="str">
            <v>ALESSANDRA CRISTINA DA SILVA</v>
          </cell>
          <cell r="B7211">
            <v>37017225</v>
          </cell>
          <cell r="C7211">
            <v>20068461</v>
          </cell>
          <cell r="D7211">
            <v>45398</v>
          </cell>
        </row>
        <row r="7212">
          <cell r="A7212" t="str">
            <v>Andressa Rosa Martins</v>
          </cell>
          <cell r="B7212">
            <v>37017227</v>
          </cell>
          <cell r="C7212">
            <v>20068463</v>
          </cell>
          <cell r="D7212">
            <v>45398</v>
          </cell>
        </row>
        <row r="7213">
          <cell r="A7213" t="str">
            <v>Amanda Gabriele De Oliveira</v>
          </cell>
          <cell r="B7213">
            <v>37017229</v>
          </cell>
          <cell r="C7213">
            <v>20068466</v>
          </cell>
          <cell r="D7213">
            <v>45398</v>
          </cell>
        </row>
        <row r="7214">
          <cell r="A7214" t="str">
            <v>Flavio Andre Amorim Santiago</v>
          </cell>
          <cell r="B7214">
            <v>37017232</v>
          </cell>
          <cell r="C7214">
            <v>20068469</v>
          </cell>
          <cell r="D7214">
            <v>45398</v>
          </cell>
        </row>
        <row r="7215">
          <cell r="A7215" t="str">
            <v>Jose Carlos Osti Junior</v>
          </cell>
          <cell r="B7215">
            <v>37017230</v>
          </cell>
          <cell r="C7215">
            <v>20068467</v>
          </cell>
          <cell r="D7215">
            <v>45398</v>
          </cell>
        </row>
        <row r="7216">
          <cell r="A7216" t="str">
            <v>Maria Aparecida Domingues</v>
          </cell>
          <cell r="B7216">
            <v>37017231</v>
          </cell>
          <cell r="C7216">
            <v>20068468</v>
          </cell>
          <cell r="D7216">
            <v>45398</v>
          </cell>
        </row>
        <row r="7217">
          <cell r="A7217" t="str">
            <v>Alex Almeida Barbosa</v>
          </cell>
          <cell r="B7217">
            <v>37017239</v>
          </cell>
          <cell r="C7217">
            <v>20068476</v>
          </cell>
          <cell r="D7217">
            <v>45398</v>
          </cell>
        </row>
        <row r="7218">
          <cell r="A7218" t="str">
            <v>Sidney Dos Santos</v>
          </cell>
          <cell r="B7218">
            <v>37017234</v>
          </cell>
          <cell r="C7218">
            <v>20068471</v>
          </cell>
          <cell r="D7218">
            <v>45398</v>
          </cell>
        </row>
        <row r="7219">
          <cell r="A7219" t="str">
            <v>Paulo Alberto Atilio</v>
          </cell>
          <cell r="B7219">
            <v>37017235</v>
          </cell>
          <cell r="C7219">
            <v>20068472</v>
          </cell>
          <cell r="D7219">
            <v>45398</v>
          </cell>
        </row>
        <row r="7220">
          <cell r="A7220" t="str">
            <v>Diego Domingues Doroteio</v>
          </cell>
          <cell r="B7220">
            <v>37017236</v>
          </cell>
          <cell r="C7220">
            <v>20068473</v>
          </cell>
          <cell r="D7220">
            <v>45398</v>
          </cell>
        </row>
        <row r="7221">
          <cell r="A7221" t="str">
            <v>Pamela Alves De Souza</v>
          </cell>
          <cell r="B7221">
            <v>37017241</v>
          </cell>
          <cell r="C7221">
            <v>20068478</v>
          </cell>
          <cell r="D7221">
            <v>45398</v>
          </cell>
        </row>
        <row r="7222">
          <cell r="A7222" t="str">
            <v>Monica Mariano</v>
          </cell>
          <cell r="B7222">
            <v>37017242</v>
          </cell>
          <cell r="C7222">
            <v>20068479</v>
          </cell>
          <cell r="D7222">
            <v>45398</v>
          </cell>
        </row>
        <row r="7223">
          <cell r="A7223" t="str">
            <v>Esdras Rodrigues Marques da Silva</v>
          </cell>
          <cell r="B7223">
            <v>37017246</v>
          </cell>
          <cell r="C7223">
            <v>20068483</v>
          </cell>
          <cell r="D7223">
            <v>45398</v>
          </cell>
        </row>
        <row r="7224">
          <cell r="A7224" t="str">
            <v>Thiago Hideki Maeda</v>
          </cell>
          <cell r="B7224">
            <v>37017249</v>
          </cell>
          <cell r="C7224">
            <v>20068486</v>
          </cell>
          <cell r="D7224">
            <v>45398</v>
          </cell>
        </row>
        <row r="7225">
          <cell r="A7225" t="str">
            <v>Douglas Fernando Betiol</v>
          </cell>
          <cell r="B7225">
            <v>37017240</v>
          </cell>
          <cell r="C7225">
            <v>20068477</v>
          </cell>
          <cell r="D7225">
            <v>45398</v>
          </cell>
        </row>
        <row r="7226">
          <cell r="A7226" t="str">
            <v>Paulo Sergio Anzolin</v>
          </cell>
          <cell r="B7226">
            <v>37017222</v>
          </cell>
          <cell r="C7226">
            <v>20052324</v>
          </cell>
          <cell r="D7226">
            <v>45398</v>
          </cell>
        </row>
        <row r="7227">
          <cell r="A7227" t="str">
            <v>Alan Rodrigues Vitor Martins</v>
          </cell>
          <cell r="B7227">
            <v>37017245</v>
          </cell>
          <cell r="C7227">
            <v>20068482</v>
          </cell>
          <cell r="D7227">
            <v>45398</v>
          </cell>
        </row>
        <row r="7228">
          <cell r="A7228" t="str">
            <v>Gabriel Marques Amaral</v>
          </cell>
          <cell r="B7228">
            <v>37007676</v>
          </cell>
          <cell r="C7228">
            <v>20025720</v>
          </cell>
          <cell r="D7228">
            <v>44690</v>
          </cell>
        </row>
        <row r="7229">
          <cell r="A7229" t="str">
            <v>Pedro Lucas Sanches Dos Santos</v>
          </cell>
          <cell r="B7229">
            <v>37017259</v>
          </cell>
          <cell r="C7229">
            <v>20068517</v>
          </cell>
          <cell r="D7229">
            <v>45398</v>
          </cell>
        </row>
        <row r="7230">
          <cell r="A7230" t="str">
            <v>Elias Santos Costa Junior</v>
          </cell>
          <cell r="B7230">
            <v>37017265</v>
          </cell>
          <cell r="C7230">
            <v>20068528</v>
          </cell>
          <cell r="D7230">
            <v>45398</v>
          </cell>
        </row>
        <row r="7231">
          <cell r="A7231" t="str">
            <v>Ricardo Luiz Prenhaça</v>
          </cell>
          <cell r="B7231">
            <v>37017271</v>
          </cell>
          <cell r="C7231">
            <v>20068577</v>
          </cell>
          <cell r="D7231">
            <v>45398</v>
          </cell>
        </row>
        <row r="7232">
          <cell r="A7232" t="str">
            <v>Silvio Roberto dos Santos</v>
          </cell>
          <cell r="B7232">
            <v>37017272</v>
          </cell>
          <cell r="C7232">
            <v>20068585</v>
          </cell>
          <cell r="D7232">
            <v>45398</v>
          </cell>
        </row>
        <row r="7233">
          <cell r="A7233" t="str">
            <v>Vinicius Belo Vespoli</v>
          </cell>
          <cell r="B7233">
            <v>37017286</v>
          </cell>
          <cell r="C7233">
            <v>20049667</v>
          </cell>
          <cell r="D7233">
            <v>45398</v>
          </cell>
        </row>
        <row r="7234">
          <cell r="A7234" t="str">
            <v>Ademilson Pires de Souza</v>
          </cell>
          <cell r="B7234">
            <v>37017281</v>
          </cell>
          <cell r="C7234">
            <v>20068667</v>
          </cell>
          <cell r="D7234">
            <v>45398</v>
          </cell>
        </row>
        <row r="7235">
          <cell r="A7235" t="str">
            <v>Luciano Disaro Faria</v>
          </cell>
          <cell r="B7235">
            <v>37017277</v>
          </cell>
          <cell r="C7235">
            <v>20068663</v>
          </cell>
          <cell r="D7235">
            <v>45398</v>
          </cell>
        </row>
        <row r="7236">
          <cell r="A7236" t="str">
            <v>Daniel Mendes Leal</v>
          </cell>
          <cell r="B7236">
            <v>37017278</v>
          </cell>
          <cell r="C7236">
            <v>20068664</v>
          </cell>
          <cell r="D7236">
            <v>45398</v>
          </cell>
        </row>
        <row r="7237">
          <cell r="A7237" t="str">
            <v>Joao Ferreira da Silva</v>
          </cell>
          <cell r="B7237">
            <v>37017280</v>
          </cell>
          <cell r="C7237">
            <v>20068666</v>
          </cell>
          <cell r="D7237">
            <v>45398</v>
          </cell>
        </row>
        <row r="7238">
          <cell r="A7238" t="str">
            <v>Andre Cristiano Fabris</v>
          </cell>
          <cell r="B7238">
            <v>37017282</v>
          </cell>
          <cell r="C7238">
            <v>20068668</v>
          </cell>
          <cell r="D7238">
            <v>45398</v>
          </cell>
        </row>
        <row r="7239">
          <cell r="A7239" t="str">
            <v>Roberto Leandro Do Prado</v>
          </cell>
          <cell r="B7239">
            <v>37017283</v>
          </cell>
          <cell r="C7239">
            <v>20068669</v>
          </cell>
          <cell r="D7239">
            <v>45398</v>
          </cell>
        </row>
        <row r="7240">
          <cell r="A7240" t="str">
            <v>Ana Lívia De Oliveira Freneda</v>
          </cell>
          <cell r="B7240">
            <v>37017288</v>
          </cell>
          <cell r="C7240">
            <v>20069134</v>
          </cell>
          <cell r="D7240">
            <v>45414</v>
          </cell>
        </row>
        <row r="7241">
          <cell r="A7241" t="str">
            <v>Adão Guimarães de Souza</v>
          </cell>
          <cell r="B7241">
            <v>37017291</v>
          </cell>
          <cell r="C7241">
            <v>20069137</v>
          </cell>
          <cell r="D7241">
            <v>45414</v>
          </cell>
        </row>
        <row r="7242">
          <cell r="A7242" t="str">
            <v>Danilo Luiz Carvalho de Oliveira Júnior</v>
          </cell>
          <cell r="B7242">
            <v>37017292</v>
          </cell>
          <cell r="C7242">
            <v>20069138</v>
          </cell>
          <cell r="D7242">
            <v>45414</v>
          </cell>
        </row>
        <row r="7243">
          <cell r="A7243" t="str">
            <v>Cezar Moises Lopes</v>
          </cell>
          <cell r="B7243">
            <v>37017289</v>
          </cell>
          <cell r="C7243">
            <v>20069135</v>
          </cell>
          <cell r="D7243">
            <v>45414</v>
          </cell>
        </row>
        <row r="7244">
          <cell r="A7244" t="str">
            <v>Julio Cesar Antonio</v>
          </cell>
          <cell r="B7244">
            <v>37017294</v>
          </cell>
          <cell r="C7244">
            <v>20069140</v>
          </cell>
          <cell r="D7244">
            <v>45414</v>
          </cell>
        </row>
        <row r="7245">
          <cell r="A7245" t="str">
            <v>Ester Alves Silvestre</v>
          </cell>
          <cell r="B7245">
            <v>37017298</v>
          </cell>
          <cell r="C7245">
            <v>20069144</v>
          </cell>
          <cell r="D7245">
            <v>45414</v>
          </cell>
        </row>
        <row r="7246">
          <cell r="A7246" t="str">
            <v>Leandro De Brito da Silva</v>
          </cell>
          <cell r="B7246">
            <v>37017295</v>
          </cell>
          <cell r="C7246">
            <v>20069141</v>
          </cell>
          <cell r="D7246">
            <v>45414</v>
          </cell>
        </row>
        <row r="7247">
          <cell r="A7247" t="str">
            <v>Kleber Jose de Souza de Deus</v>
          </cell>
          <cell r="B7247">
            <v>37017296</v>
          </cell>
          <cell r="C7247">
            <v>20069142</v>
          </cell>
          <cell r="D7247">
            <v>45414</v>
          </cell>
        </row>
        <row r="7248">
          <cell r="A7248" t="str">
            <v>Leandro Cavalcante Pereira</v>
          </cell>
          <cell r="B7248">
            <v>37017301</v>
          </cell>
          <cell r="C7248">
            <v>20069147</v>
          </cell>
          <cell r="D7248">
            <v>45414</v>
          </cell>
        </row>
        <row r="7249">
          <cell r="A7249" t="str">
            <v>Ronaldo Lima dos Santos</v>
          </cell>
          <cell r="B7249">
            <v>37017306</v>
          </cell>
          <cell r="C7249">
            <v>20069170</v>
          </cell>
          <cell r="D7249">
            <v>45414</v>
          </cell>
        </row>
        <row r="7250">
          <cell r="A7250" t="str">
            <v>Michele Fernandes Barbosa Pereira</v>
          </cell>
          <cell r="B7250">
            <v>37017307</v>
          </cell>
          <cell r="C7250">
            <v>20069171</v>
          </cell>
          <cell r="D7250">
            <v>45414</v>
          </cell>
        </row>
        <row r="7251">
          <cell r="A7251" t="str">
            <v>Joice Dos Martires Martins</v>
          </cell>
          <cell r="B7251">
            <v>37017302</v>
          </cell>
          <cell r="C7251">
            <v>20069166</v>
          </cell>
          <cell r="D7251">
            <v>45414</v>
          </cell>
        </row>
        <row r="7252">
          <cell r="A7252" t="str">
            <v>Braulio Alves Rodrigues Neto</v>
          </cell>
          <cell r="B7252">
            <v>37017304</v>
          </cell>
          <cell r="C7252">
            <v>20069168</v>
          </cell>
          <cell r="D7252">
            <v>45414</v>
          </cell>
        </row>
        <row r="7253">
          <cell r="A7253" t="str">
            <v>Metussa Maria Gomes</v>
          </cell>
          <cell r="B7253">
            <v>37017309</v>
          </cell>
          <cell r="C7253">
            <v>20069173</v>
          </cell>
          <cell r="D7253">
            <v>45414</v>
          </cell>
        </row>
        <row r="7254">
          <cell r="A7254" t="str">
            <v>Abimael Silva Rocha</v>
          </cell>
          <cell r="B7254">
            <v>37017313</v>
          </cell>
          <cell r="C7254">
            <v>20069177</v>
          </cell>
          <cell r="D7254">
            <v>45414</v>
          </cell>
        </row>
        <row r="7255">
          <cell r="A7255" t="str">
            <v>Roberta Ribeiro da Silva</v>
          </cell>
          <cell r="B7255">
            <v>37017316</v>
          </cell>
          <cell r="C7255">
            <v>20069180</v>
          </cell>
          <cell r="D7255">
            <v>45414</v>
          </cell>
        </row>
        <row r="7256">
          <cell r="A7256" t="str">
            <v>Jorge Jonathan Pereira Alves</v>
          </cell>
          <cell r="B7256">
            <v>37017319</v>
          </cell>
          <cell r="C7256">
            <v>20069183</v>
          </cell>
          <cell r="D7256">
            <v>45414</v>
          </cell>
        </row>
        <row r="7257">
          <cell r="A7257" t="str">
            <v>Wilson Ribeiro de Souza</v>
          </cell>
          <cell r="B7257">
            <v>37017314</v>
          </cell>
          <cell r="C7257">
            <v>20069178</v>
          </cell>
          <cell r="D7257">
            <v>45414</v>
          </cell>
        </row>
        <row r="7258">
          <cell r="A7258" t="str">
            <v>Roberson Carlos dos Santos Colasso</v>
          </cell>
          <cell r="B7258">
            <v>37017317</v>
          </cell>
          <cell r="C7258">
            <v>20069181</v>
          </cell>
          <cell r="D7258">
            <v>45414</v>
          </cell>
        </row>
        <row r="7259">
          <cell r="A7259" t="str">
            <v>Julio Cesar De Oliveira Bartolomeu</v>
          </cell>
          <cell r="B7259">
            <v>37017318</v>
          </cell>
          <cell r="C7259">
            <v>20069182</v>
          </cell>
          <cell r="D7259">
            <v>45414</v>
          </cell>
        </row>
        <row r="7260">
          <cell r="A7260" t="str">
            <v>Pablo Leonardo dos Santos Pinheiro</v>
          </cell>
          <cell r="B7260">
            <v>37017324</v>
          </cell>
          <cell r="C7260">
            <v>20069384</v>
          </cell>
          <cell r="D7260">
            <v>45414</v>
          </cell>
        </row>
        <row r="7261">
          <cell r="A7261" t="str">
            <v>Marcelo Rodrigues</v>
          </cell>
          <cell r="B7261">
            <v>37017320</v>
          </cell>
          <cell r="C7261">
            <v>20069380</v>
          </cell>
          <cell r="D7261">
            <v>45419</v>
          </cell>
        </row>
        <row r="7262">
          <cell r="A7262" t="str">
            <v>Amelia Alves</v>
          </cell>
          <cell r="B7262">
            <v>37017323</v>
          </cell>
          <cell r="C7262">
            <v>20069383</v>
          </cell>
          <cell r="D7262">
            <v>45414</v>
          </cell>
        </row>
        <row r="7263">
          <cell r="A7263" t="str">
            <v>Jefferson Fabio Cavalcante de Barros</v>
          </cell>
          <cell r="B7263">
            <v>37017327</v>
          </cell>
          <cell r="C7263">
            <v>20069387</v>
          </cell>
          <cell r="D7263">
            <v>45414</v>
          </cell>
        </row>
        <row r="7264">
          <cell r="A7264" t="str">
            <v>Meri Neusa Baena</v>
          </cell>
          <cell r="B7264">
            <v>37017334</v>
          </cell>
          <cell r="C7264">
            <v>20069394</v>
          </cell>
          <cell r="D7264">
            <v>45414</v>
          </cell>
        </row>
        <row r="7265">
          <cell r="A7265" t="str">
            <v>Marcus Vinicius Santos Ratti</v>
          </cell>
          <cell r="B7265">
            <v>37017335</v>
          </cell>
          <cell r="C7265">
            <v>20069395</v>
          </cell>
          <cell r="D7265">
            <v>45414</v>
          </cell>
        </row>
        <row r="7266">
          <cell r="A7266" t="str">
            <v>Juliano Pires de Oliveira</v>
          </cell>
          <cell r="B7266">
            <v>37017337</v>
          </cell>
          <cell r="C7266">
            <v>20069406</v>
          </cell>
          <cell r="D7266">
            <v>45419</v>
          </cell>
        </row>
        <row r="7267">
          <cell r="A7267" t="str">
            <v>Tarcisio Borges dos Santos Rodrigues</v>
          </cell>
          <cell r="B7267">
            <v>37017326</v>
          </cell>
          <cell r="C7267">
            <v>20069386</v>
          </cell>
          <cell r="D7267">
            <v>45414</v>
          </cell>
        </row>
        <row r="7268">
          <cell r="A7268" t="str">
            <v>Tainara Rodrigues da Silva</v>
          </cell>
          <cell r="B7268">
            <v>37017328</v>
          </cell>
          <cell r="C7268">
            <v>20069388</v>
          </cell>
          <cell r="D7268">
            <v>45414</v>
          </cell>
        </row>
        <row r="7269">
          <cell r="A7269" t="str">
            <v>Lucia Ferreira de Freitas</v>
          </cell>
          <cell r="B7269">
            <v>37017331</v>
          </cell>
          <cell r="C7269">
            <v>20069391</v>
          </cell>
          <cell r="D7269">
            <v>45414</v>
          </cell>
        </row>
        <row r="7270">
          <cell r="A7270" t="str">
            <v>Leandro Smith</v>
          </cell>
          <cell r="B7270">
            <v>37017332</v>
          </cell>
          <cell r="C7270">
            <v>20069392</v>
          </cell>
          <cell r="D7270">
            <v>45414</v>
          </cell>
        </row>
        <row r="7271">
          <cell r="A7271" t="str">
            <v>Caroline Laureano Antunes</v>
          </cell>
          <cell r="B7271">
            <v>37010171</v>
          </cell>
          <cell r="C7271">
            <v>20038232</v>
          </cell>
          <cell r="D7271">
            <v>44886</v>
          </cell>
        </row>
        <row r="7272">
          <cell r="A7272" t="str">
            <v>Mayara Fernanda De Camargo</v>
          </cell>
          <cell r="B7272">
            <v>37010517</v>
          </cell>
          <cell r="C7272">
            <v>20040250</v>
          </cell>
          <cell r="D7272">
            <v>44914</v>
          </cell>
        </row>
        <row r="7273">
          <cell r="A7273" t="str">
            <v>Talis Fernando Salgado</v>
          </cell>
          <cell r="B7273">
            <v>37004085</v>
          </cell>
          <cell r="C7273">
            <v>20009941</v>
          </cell>
          <cell r="D7273">
            <v>43836</v>
          </cell>
        </row>
        <row r="7274">
          <cell r="A7274" t="str">
            <v>Gerhard Valkinir Cabreira</v>
          </cell>
          <cell r="B7274">
            <v>37005437</v>
          </cell>
          <cell r="C7274">
            <v>20013538</v>
          </cell>
          <cell r="D7274">
            <v>44263</v>
          </cell>
        </row>
        <row r="7275">
          <cell r="A7275" t="str">
            <v>Rafael Henrique Bueno</v>
          </cell>
          <cell r="B7275">
            <v>37005820</v>
          </cell>
          <cell r="C7275">
            <v>20016051</v>
          </cell>
          <cell r="D7275">
            <v>44354</v>
          </cell>
        </row>
        <row r="7276">
          <cell r="A7276" t="str">
            <v>Joelson Lima Ferreira</v>
          </cell>
          <cell r="B7276">
            <v>37010489</v>
          </cell>
          <cell r="C7276">
            <v>20040222</v>
          </cell>
          <cell r="D7276">
            <v>44914</v>
          </cell>
        </row>
        <row r="7277">
          <cell r="A7277" t="str">
            <v>Barbara De Oliveira Sousa Castro</v>
          </cell>
          <cell r="B7277">
            <v>37009005</v>
          </cell>
          <cell r="C7277">
            <v>20030992</v>
          </cell>
          <cell r="D7277">
            <v>44781</v>
          </cell>
        </row>
        <row r="7278">
          <cell r="A7278" t="str">
            <v>Carla Padua Pereira</v>
          </cell>
          <cell r="B7278">
            <v>37007345</v>
          </cell>
          <cell r="C7278">
            <v>20023714</v>
          </cell>
          <cell r="D7278">
            <v>44634</v>
          </cell>
        </row>
        <row r="7279">
          <cell r="A7279" t="str">
            <v>Valdirene Alberto Jorgino</v>
          </cell>
          <cell r="B7279">
            <v>37002884</v>
          </cell>
          <cell r="C7279">
            <v>20009995</v>
          </cell>
          <cell r="D7279">
            <v>43500</v>
          </cell>
        </row>
        <row r="7280">
          <cell r="A7280" t="str">
            <v>Marcos Moreira De Abreu</v>
          </cell>
          <cell r="B7280">
            <v>37002853</v>
          </cell>
          <cell r="C7280">
            <v>20009636</v>
          </cell>
          <cell r="D7280">
            <v>43479</v>
          </cell>
        </row>
        <row r="7281">
          <cell r="A7281" t="str">
            <v>Silvone De Franca Correia</v>
          </cell>
          <cell r="B7281">
            <v>37003169</v>
          </cell>
          <cell r="C7281">
            <v>20009933</v>
          </cell>
          <cell r="D7281">
            <v>43591</v>
          </cell>
        </row>
        <row r="7282">
          <cell r="A7282" t="str">
            <v>Laura Espirito Santo Ramos Dionisio</v>
          </cell>
          <cell r="B7282">
            <v>37001638</v>
          </cell>
          <cell r="C7282">
            <v>20009467</v>
          </cell>
          <cell r="D7282">
            <v>42464</v>
          </cell>
        </row>
        <row r="7283">
          <cell r="A7283" t="str">
            <v>Rafael Eduardo Da Silva Carvalho</v>
          </cell>
          <cell r="B7283">
            <v>37004719</v>
          </cell>
          <cell r="C7283">
            <v>20010083</v>
          </cell>
          <cell r="D7283">
            <v>44053</v>
          </cell>
        </row>
        <row r="7284">
          <cell r="A7284" t="str">
            <v>Andre Vitor Da Costa Manso</v>
          </cell>
          <cell r="B7284">
            <v>37005857</v>
          </cell>
          <cell r="C7284">
            <v>20016071</v>
          </cell>
          <cell r="D7284">
            <v>44361</v>
          </cell>
        </row>
        <row r="7285">
          <cell r="A7285" t="str">
            <v>Evandro Soares Pizeti</v>
          </cell>
          <cell r="B7285">
            <v>37004832</v>
          </cell>
          <cell r="C7285">
            <v>20008094</v>
          </cell>
          <cell r="D7285">
            <v>44082</v>
          </cell>
        </row>
        <row r="7286">
          <cell r="A7286" t="str">
            <v>Andressa Goncalves Malcher Da Silva</v>
          </cell>
          <cell r="B7286">
            <v>37006184</v>
          </cell>
          <cell r="C7286">
            <v>20016943</v>
          </cell>
          <cell r="D7286">
            <v>44424</v>
          </cell>
        </row>
        <row r="7287">
          <cell r="A7287" t="str">
            <v>Adalmir Alex Colonhezi Ribeiro</v>
          </cell>
          <cell r="B7287">
            <v>37010656</v>
          </cell>
          <cell r="C7287">
            <v>20040610</v>
          </cell>
          <cell r="D7287">
            <v>44930</v>
          </cell>
        </row>
        <row r="7288">
          <cell r="A7288" t="str">
            <v>Beatriz Juste Contin Gomes</v>
          </cell>
          <cell r="B7288">
            <v>37010188</v>
          </cell>
          <cell r="C7288">
            <v>20038586</v>
          </cell>
          <cell r="D7288">
            <v>44886</v>
          </cell>
        </row>
        <row r="7289">
          <cell r="A7289" t="str">
            <v>Erico Mendes Domingues</v>
          </cell>
          <cell r="B7289">
            <v>37011420</v>
          </cell>
          <cell r="C7289">
            <v>20043934</v>
          </cell>
          <cell r="D7289">
            <v>44986</v>
          </cell>
        </row>
        <row r="7290">
          <cell r="A7290" t="str">
            <v>Marcela Fagundes Pereira</v>
          </cell>
          <cell r="B7290">
            <v>37007134</v>
          </cell>
          <cell r="C7290">
            <v>20021658</v>
          </cell>
          <cell r="D7290">
            <v>44606</v>
          </cell>
        </row>
        <row r="7291">
          <cell r="A7291" t="str">
            <v>Natalia Gemo Gallafassi</v>
          </cell>
          <cell r="B7291">
            <v>37009236</v>
          </cell>
          <cell r="C7291">
            <v>20032753</v>
          </cell>
          <cell r="D7291">
            <v>44809</v>
          </cell>
        </row>
        <row r="7292">
          <cell r="A7292" t="str">
            <v>Fernando Siqueira Campos</v>
          </cell>
          <cell r="B7292">
            <v>37003455</v>
          </cell>
          <cell r="C7292">
            <v>20009103</v>
          </cell>
          <cell r="D7292">
            <v>43656</v>
          </cell>
        </row>
        <row r="7293">
          <cell r="A7293" t="str">
            <v>Anderson Garbelini</v>
          </cell>
          <cell r="B7293">
            <v>37007352</v>
          </cell>
          <cell r="C7293">
            <v>20023720</v>
          </cell>
          <cell r="D7293">
            <v>44641</v>
          </cell>
        </row>
        <row r="7294">
          <cell r="A7294" t="str">
            <v>Lucas Antonio Da Silva Gomes</v>
          </cell>
          <cell r="B7294">
            <v>37003231</v>
          </cell>
          <cell r="C7294">
            <v>20009506</v>
          </cell>
          <cell r="D7294">
            <v>43619</v>
          </cell>
        </row>
        <row r="7295">
          <cell r="A7295" t="str">
            <v>Fabio Toscano De Lemos</v>
          </cell>
          <cell r="B7295">
            <v>37000638</v>
          </cell>
          <cell r="C7295">
            <v>20009060</v>
          </cell>
          <cell r="D7295">
            <v>39545</v>
          </cell>
        </row>
        <row r="7296">
          <cell r="A7296" t="str">
            <v>Josimar Galan Geraldo</v>
          </cell>
          <cell r="B7296">
            <v>37017347</v>
          </cell>
          <cell r="C7296">
            <v>20069471</v>
          </cell>
          <cell r="D7296">
            <v>45419</v>
          </cell>
        </row>
        <row r="7297">
          <cell r="A7297" t="str">
            <v>Thamiris Regina Dal Bom</v>
          </cell>
          <cell r="B7297">
            <v>37017352</v>
          </cell>
          <cell r="C7297">
            <v>20069476</v>
          </cell>
          <cell r="D7297">
            <v>45419</v>
          </cell>
        </row>
        <row r="7298">
          <cell r="A7298" t="str">
            <v>Ana Beatriz Delfino</v>
          </cell>
          <cell r="B7298">
            <v>37017360</v>
          </cell>
          <cell r="C7298">
            <v>20069484</v>
          </cell>
          <cell r="D7298">
            <v>45419</v>
          </cell>
        </row>
        <row r="7299">
          <cell r="A7299" t="str">
            <v>Kelvin Santana Ribeiro</v>
          </cell>
          <cell r="B7299">
            <v>37017348</v>
          </cell>
          <cell r="C7299">
            <v>20069472</v>
          </cell>
          <cell r="D7299">
            <v>45419</v>
          </cell>
        </row>
        <row r="7300">
          <cell r="A7300" t="str">
            <v>Regiane Campos De Araujo</v>
          </cell>
          <cell r="B7300">
            <v>37017355</v>
          </cell>
          <cell r="C7300">
            <v>20069479</v>
          </cell>
          <cell r="D7300">
            <v>45419</v>
          </cell>
        </row>
        <row r="7301">
          <cell r="A7301" t="str">
            <v>Andreia Cristina de Oliveira Avelino</v>
          </cell>
          <cell r="B7301">
            <v>37017356</v>
          </cell>
          <cell r="C7301">
            <v>20069480</v>
          </cell>
          <cell r="D7301">
            <v>45419</v>
          </cell>
        </row>
        <row r="7302">
          <cell r="A7302" t="str">
            <v>Geneci de Fatima Luiz Lulu</v>
          </cell>
          <cell r="B7302">
            <v>37017357</v>
          </cell>
          <cell r="C7302">
            <v>20069481</v>
          </cell>
          <cell r="D7302">
            <v>45419</v>
          </cell>
        </row>
        <row r="7303">
          <cell r="A7303" t="str">
            <v>Sabrina Cristina Rocha De Almeida</v>
          </cell>
          <cell r="B7303">
            <v>37017358</v>
          </cell>
          <cell r="C7303">
            <v>20069482</v>
          </cell>
          <cell r="D7303">
            <v>45419</v>
          </cell>
        </row>
        <row r="7304">
          <cell r="A7304" t="str">
            <v>Uiliamar Lopes da Silva</v>
          </cell>
          <cell r="B7304">
            <v>37017359</v>
          </cell>
          <cell r="C7304">
            <v>20069483</v>
          </cell>
          <cell r="D7304">
            <v>45433</v>
          </cell>
        </row>
        <row r="7305">
          <cell r="A7305" t="str">
            <v>Rogery Sousa do Nascimento</v>
          </cell>
          <cell r="B7305">
            <v>37017361</v>
          </cell>
          <cell r="C7305">
            <v>20069485</v>
          </cell>
          <cell r="D7305">
            <v>45419</v>
          </cell>
        </row>
        <row r="7306">
          <cell r="A7306" t="str">
            <v>Ana Julia Bueno Jose</v>
          </cell>
          <cell r="B7306">
            <v>37017363</v>
          </cell>
          <cell r="C7306">
            <v>20069487</v>
          </cell>
          <cell r="D7306">
            <v>45419</v>
          </cell>
        </row>
        <row r="7307">
          <cell r="A7307" t="str">
            <v>Angelica Ricardo Ribeiro</v>
          </cell>
          <cell r="B7307">
            <v>37017366</v>
          </cell>
          <cell r="C7307">
            <v>20069490</v>
          </cell>
          <cell r="D7307">
            <v>45419</v>
          </cell>
        </row>
        <row r="7308">
          <cell r="A7308" t="str">
            <v>Alan Jones Vicente</v>
          </cell>
          <cell r="B7308">
            <v>37017367</v>
          </cell>
          <cell r="C7308">
            <v>20069491</v>
          </cell>
          <cell r="D7308">
            <v>45419</v>
          </cell>
        </row>
        <row r="7309">
          <cell r="A7309" t="str">
            <v>Flavio Henrique Pedroso</v>
          </cell>
          <cell r="B7309">
            <v>37017369</v>
          </cell>
          <cell r="C7309">
            <v>20069493</v>
          </cell>
          <cell r="D7309">
            <v>45419</v>
          </cell>
        </row>
        <row r="7310">
          <cell r="A7310" t="str">
            <v>Rafael Cristiano de Jesus</v>
          </cell>
          <cell r="B7310">
            <v>37017340</v>
          </cell>
          <cell r="C7310">
            <v>20053234</v>
          </cell>
          <cell r="D7310">
            <v>45419</v>
          </cell>
        </row>
        <row r="7311">
          <cell r="A7311" t="str">
            <v>Emanuele Carla Hilgert</v>
          </cell>
          <cell r="B7311">
            <v>37017370</v>
          </cell>
          <cell r="C7311">
            <v>20069494</v>
          </cell>
          <cell r="D7311">
            <v>45419</v>
          </cell>
        </row>
        <row r="7312">
          <cell r="A7312" t="str">
            <v>Renilson Dos Santos Lúcio</v>
          </cell>
          <cell r="B7312">
            <v>37017371</v>
          </cell>
          <cell r="C7312">
            <v>20069495</v>
          </cell>
          <cell r="D7312">
            <v>45419</v>
          </cell>
        </row>
        <row r="7313">
          <cell r="A7313" t="str">
            <v>Nilton Magner Mariano</v>
          </cell>
          <cell r="B7313">
            <v>37017372</v>
          </cell>
          <cell r="C7313">
            <v>20069496</v>
          </cell>
          <cell r="D7313">
            <v>45419</v>
          </cell>
        </row>
        <row r="7314">
          <cell r="A7314" t="str">
            <v>Moises da Conceicao Rocha</v>
          </cell>
          <cell r="B7314">
            <v>37017373</v>
          </cell>
          <cell r="C7314">
            <v>20069497</v>
          </cell>
          <cell r="D7314">
            <v>45419</v>
          </cell>
        </row>
        <row r="7315">
          <cell r="A7315" t="str">
            <v>NICOLE CAMILE DA SILVA PORTO</v>
          </cell>
          <cell r="B7315">
            <v>37017374</v>
          </cell>
          <cell r="C7315">
            <v>20069498</v>
          </cell>
          <cell r="D7315">
            <v>45419</v>
          </cell>
        </row>
        <row r="7316">
          <cell r="A7316" t="str">
            <v>Leonidas Pereira da Rocha Junior</v>
          </cell>
          <cell r="B7316">
            <v>37017375</v>
          </cell>
          <cell r="C7316">
            <v>20069499</v>
          </cell>
          <cell r="D7316">
            <v>45419</v>
          </cell>
        </row>
        <row r="7317">
          <cell r="A7317" t="str">
            <v>Vitor Carlos Pacheco</v>
          </cell>
          <cell r="B7317">
            <v>37017378</v>
          </cell>
          <cell r="C7317">
            <v>20069523</v>
          </cell>
          <cell r="D7317">
            <v>45419</v>
          </cell>
        </row>
        <row r="7318">
          <cell r="A7318" t="str">
            <v>Renaldo Rodrigues</v>
          </cell>
          <cell r="B7318">
            <v>37017379</v>
          </cell>
          <cell r="C7318">
            <v>20069524</v>
          </cell>
          <cell r="D7318">
            <v>45419</v>
          </cell>
        </row>
        <row r="7319">
          <cell r="A7319" t="str">
            <v>Angela Cristina Anisio De Carvalho</v>
          </cell>
          <cell r="B7319">
            <v>37017382</v>
          </cell>
          <cell r="C7319">
            <v>20069527</v>
          </cell>
          <cell r="D7319">
            <v>45419</v>
          </cell>
        </row>
        <row r="7320">
          <cell r="A7320" t="str">
            <v>Deiler Carlos Mereu</v>
          </cell>
          <cell r="B7320">
            <v>37017376</v>
          </cell>
          <cell r="C7320">
            <v>20017915</v>
          </cell>
          <cell r="D7320">
            <v>45419</v>
          </cell>
        </row>
        <row r="7321">
          <cell r="A7321" t="str">
            <v>Luciano Martins</v>
          </cell>
          <cell r="B7321">
            <v>37017396</v>
          </cell>
          <cell r="C7321">
            <v>20069541</v>
          </cell>
          <cell r="D7321">
            <v>45419</v>
          </cell>
        </row>
        <row r="7322">
          <cell r="A7322" t="str">
            <v>Gustavo Pezza Rodrigues</v>
          </cell>
          <cell r="B7322">
            <v>37017397</v>
          </cell>
          <cell r="C7322">
            <v>20069542</v>
          </cell>
          <cell r="D7322">
            <v>45419</v>
          </cell>
        </row>
        <row r="7323">
          <cell r="A7323" t="str">
            <v>Daniele Dos Santos Pinezio</v>
          </cell>
          <cell r="B7323">
            <v>37017403</v>
          </cell>
          <cell r="C7323">
            <v>20069548</v>
          </cell>
          <cell r="D7323">
            <v>45419</v>
          </cell>
        </row>
        <row r="7324">
          <cell r="A7324" t="str">
            <v>Edivan Chaves Dias</v>
          </cell>
          <cell r="B7324">
            <v>37017400</v>
          </cell>
          <cell r="C7324">
            <v>20069545</v>
          </cell>
          <cell r="D7324">
            <v>45419</v>
          </cell>
        </row>
        <row r="7325">
          <cell r="A7325" t="str">
            <v>Ianca Iuata Da Silva</v>
          </cell>
          <cell r="B7325">
            <v>37017406</v>
          </cell>
          <cell r="C7325">
            <v>20069551</v>
          </cell>
          <cell r="D7325">
            <v>45419</v>
          </cell>
        </row>
        <row r="7326">
          <cell r="A7326" t="str">
            <v>Naor Antonio Paes</v>
          </cell>
          <cell r="B7326">
            <v>37017413</v>
          </cell>
          <cell r="C7326">
            <v>20069558</v>
          </cell>
          <cell r="D7326">
            <v>45419</v>
          </cell>
        </row>
        <row r="7327">
          <cell r="A7327" t="str">
            <v>Cirene de Moraes Moreira</v>
          </cell>
          <cell r="B7327">
            <v>37017415</v>
          </cell>
          <cell r="C7327">
            <v>20069560</v>
          </cell>
          <cell r="D7327">
            <v>45419</v>
          </cell>
        </row>
        <row r="7328">
          <cell r="A7328" t="str">
            <v>Aparecida Amato</v>
          </cell>
          <cell r="B7328">
            <v>37017408</v>
          </cell>
          <cell r="C7328">
            <v>20069553</v>
          </cell>
          <cell r="D7328">
            <v>45419</v>
          </cell>
        </row>
        <row r="7329">
          <cell r="A7329" t="str">
            <v>Adriel Pedro da SIlva</v>
          </cell>
          <cell r="B7329">
            <v>37017419</v>
          </cell>
          <cell r="C7329">
            <v>20069564</v>
          </cell>
          <cell r="D7329">
            <v>45419</v>
          </cell>
        </row>
        <row r="7330">
          <cell r="A7330" t="str">
            <v>Rafael De Oliveira</v>
          </cell>
          <cell r="B7330">
            <v>37017423</v>
          </cell>
          <cell r="C7330">
            <v>20069568</v>
          </cell>
          <cell r="D7330">
            <v>45419</v>
          </cell>
        </row>
        <row r="7331">
          <cell r="A7331" t="str">
            <v>Matheus Vinicius Morgado</v>
          </cell>
          <cell r="B7331">
            <v>37017436</v>
          </cell>
          <cell r="C7331">
            <v>20069581</v>
          </cell>
          <cell r="D7331">
            <v>45419</v>
          </cell>
        </row>
        <row r="7332">
          <cell r="A7332" t="str">
            <v>Fatima Justino</v>
          </cell>
          <cell r="B7332">
            <v>37017438</v>
          </cell>
          <cell r="C7332">
            <v>20069583</v>
          </cell>
          <cell r="D7332">
            <v>45419</v>
          </cell>
        </row>
        <row r="7333">
          <cell r="A7333" t="str">
            <v>Samuel Gomes Silva</v>
          </cell>
          <cell r="B7333">
            <v>37017442</v>
          </cell>
          <cell r="C7333">
            <v>20069587</v>
          </cell>
          <cell r="D7333">
            <v>45419</v>
          </cell>
        </row>
        <row r="7334">
          <cell r="A7334" t="str">
            <v>Juliana Ribeiro</v>
          </cell>
          <cell r="B7334">
            <v>37017428</v>
          </cell>
          <cell r="C7334">
            <v>20069573</v>
          </cell>
          <cell r="D7334">
            <v>45419</v>
          </cell>
        </row>
        <row r="7335">
          <cell r="A7335" t="str">
            <v>Otavio Martins Vilela</v>
          </cell>
          <cell r="B7335">
            <v>37017430</v>
          </cell>
          <cell r="C7335">
            <v>20069575</v>
          </cell>
          <cell r="D7335">
            <v>45419</v>
          </cell>
        </row>
        <row r="7336">
          <cell r="A7336" t="str">
            <v>Bruna Cristiane de Pontes</v>
          </cell>
          <cell r="B7336">
            <v>37017448</v>
          </cell>
          <cell r="C7336">
            <v>20069593</v>
          </cell>
          <cell r="D7336">
            <v>45419</v>
          </cell>
        </row>
        <row r="7337">
          <cell r="A7337" t="str">
            <v>Igor Duarte Culura</v>
          </cell>
          <cell r="B7337">
            <v>37017457</v>
          </cell>
          <cell r="C7337">
            <v>20069599</v>
          </cell>
          <cell r="D7337">
            <v>45419</v>
          </cell>
        </row>
        <row r="7338">
          <cell r="A7338" t="str">
            <v>Jose Irineudo De Lima</v>
          </cell>
          <cell r="B7338">
            <v>37017453</v>
          </cell>
          <cell r="C7338">
            <v>20030035</v>
          </cell>
          <cell r="D7338">
            <v>45419</v>
          </cell>
        </row>
        <row r="7339">
          <cell r="A7339" t="str">
            <v>Alessandra Aparecida Biso Cordeiro</v>
          </cell>
          <cell r="B7339">
            <v>37017451</v>
          </cell>
          <cell r="C7339">
            <v>20069596</v>
          </cell>
          <cell r="D7339">
            <v>45419</v>
          </cell>
        </row>
        <row r="7340">
          <cell r="A7340" t="str">
            <v>Claudinei Antonio Marciano</v>
          </cell>
          <cell r="B7340">
            <v>37017452</v>
          </cell>
          <cell r="C7340">
            <v>20027952</v>
          </cell>
          <cell r="D7340">
            <v>45419</v>
          </cell>
        </row>
        <row r="7341">
          <cell r="A7341" t="str">
            <v>Elenilson Bomfim De Souza</v>
          </cell>
          <cell r="B7341" t="e">
            <v>#N/A</v>
          </cell>
          <cell r="C7341">
            <v>20069611</v>
          </cell>
          <cell r="D7341" t="e">
            <v>#N/A</v>
          </cell>
        </row>
        <row r="7342">
          <cell r="A7342" t="str">
            <v>Gilmara Felix Antonio Pedroso</v>
          </cell>
          <cell r="B7342">
            <v>37017472</v>
          </cell>
          <cell r="C7342">
            <v>20069615</v>
          </cell>
          <cell r="D7342">
            <v>45419</v>
          </cell>
        </row>
        <row r="7343">
          <cell r="A7343" t="str">
            <v>Heraldo Bittu Do Carmo</v>
          </cell>
          <cell r="B7343">
            <v>37017469</v>
          </cell>
          <cell r="C7343">
            <v>20069612</v>
          </cell>
          <cell r="D7343">
            <v>45419</v>
          </cell>
        </row>
        <row r="7344">
          <cell r="A7344" t="str">
            <v>Jadir Moura de Oliveira Júnior</v>
          </cell>
          <cell r="B7344">
            <v>37017479</v>
          </cell>
          <cell r="C7344">
            <v>20069623</v>
          </cell>
          <cell r="D7344">
            <v>45419</v>
          </cell>
        </row>
        <row r="7345">
          <cell r="A7345" t="str">
            <v>Flavia Bezerra Costa Lima</v>
          </cell>
          <cell r="B7345">
            <v>37017478</v>
          </cell>
          <cell r="C7345">
            <v>20069622</v>
          </cell>
          <cell r="D7345">
            <v>45419</v>
          </cell>
        </row>
        <row r="7346">
          <cell r="A7346" t="str">
            <v>Odair José Amaro</v>
          </cell>
          <cell r="B7346">
            <v>37017484</v>
          </cell>
          <cell r="C7346">
            <v>20069628</v>
          </cell>
          <cell r="D7346">
            <v>45419</v>
          </cell>
        </row>
        <row r="7347">
          <cell r="A7347" t="str">
            <v>Adilson Francisco</v>
          </cell>
          <cell r="B7347">
            <v>37017487</v>
          </cell>
          <cell r="C7347">
            <v>20069631</v>
          </cell>
          <cell r="D7347">
            <v>45419</v>
          </cell>
        </row>
        <row r="7348">
          <cell r="A7348" t="str">
            <v>Camila Franciele Proença Ramos</v>
          </cell>
          <cell r="B7348">
            <v>37017489</v>
          </cell>
          <cell r="C7348">
            <v>20069633</v>
          </cell>
          <cell r="D7348">
            <v>45419</v>
          </cell>
        </row>
        <row r="7349">
          <cell r="A7349" t="str">
            <v>Ana Paula dos Santos Silva</v>
          </cell>
          <cell r="B7349">
            <v>37017490</v>
          </cell>
          <cell r="C7349">
            <v>20069634</v>
          </cell>
          <cell r="D7349">
            <v>45419</v>
          </cell>
        </row>
        <row r="7350">
          <cell r="A7350" t="str">
            <v>Tainara Aparecida da Silva Lopes</v>
          </cell>
          <cell r="B7350">
            <v>37017483</v>
          </cell>
          <cell r="C7350">
            <v>20069627</v>
          </cell>
          <cell r="D7350">
            <v>45419</v>
          </cell>
        </row>
        <row r="7351">
          <cell r="A7351" t="str">
            <v>Lazaro Primo Marques Junior</v>
          </cell>
          <cell r="B7351">
            <v>37017488</v>
          </cell>
          <cell r="C7351">
            <v>20069632</v>
          </cell>
          <cell r="D7351">
            <v>45419</v>
          </cell>
        </row>
        <row r="7352">
          <cell r="A7352" t="str">
            <v>Lucas Baptista Lino</v>
          </cell>
          <cell r="B7352">
            <v>37017494</v>
          </cell>
          <cell r="C7352">
            <v>20069638</v>
          </cell>
          <cell r="D7352">
            <v>45419</v>
          </cell>
        </row>
        <row r="7353">
          <cell r="A7353" t="str">
            <v>Tiago Batista De Souza</v>
          </cell>
          <cell r="B7353">
            <v>37017497</v>
          </cell>
          <cell r="C7353">
            <v>20069641</v>
          </cell>
          <cell r="D7353">
            <v>45419</v>
          </cell>
        </row>
        <row r="7354">
          <cell r="A7354" t="str">
            <v>Jorge Henrique Stabile</v>
          </cell>
          <cell r="B7354">
            <v>37017502</v>
          </cell>
          <cell r="C7354">
            <v>20069646</v>
          </cell>
          <cell r="D7354">
            <v>45419</v>
          </cell>
        </row>
        <row r="7355">
          <cell r="A7355" t="str">
            <v>João Carlos Mendes</v>
          </cell>
          <cell r="B7355">
            <v>37017505</v>
          </cell>
          <cell r="C7355">
            <v>20069649</v>
          </cell>
          <cell r="D7355">
            <v>45419</v>
          </cell>
        </row>
        <row r="7356">
          <cell r="A7356" t="str">
            <v>Andre Eduardo Bibiano</v>
          </cell>
          <cell r="B7356">
            <v>37017514</v>
          </cell>
          <cell r="C7356">
            <v>20069658</v>
          </cell>
          <cell r="D7356">
            <v>45419</v>
          </cell>
        </row>
        <row r="7357">
          <cell r="A7357" t="str">
            <v>William Silva Vieira</v>
          </cell>
          <cell r="B7357">
            <v>37017518</v>
          </cell>
          <cell r="C7357">
            <v>20069662</v>
          </cell>
          <cell r="D7357">
            <v>45419</v>
          </cell>
        </row>
        <row r="7358">
          <cell r="A7358" t="str">
            <v>Alexandre Silvestrini</v>
          </cell>
          <cell r="B7358">
            <v>37017501</v>
          </cell>
          <cell r="C7358">
            <v>20069645</v>
          </cell>
          <cell r="D7358">
            <v>45419</v>
          </cell>
        </row>
        <row r="7359">
          <cell r="A7359" t="str">
            <v>Thiago da Silva dos Reis</v>
          </cell>
          <cell r="B7359">
            <v>37017510</v>
          </cell>
          <cell r="C7359">
            <v>20069654</v>
          </cell>
          <cell r="D7359">
            <v>45447</v>
          </cell>
        </row>
        <row r="7360">
          <cell r="A7360" t="str">
            <v>Claudio Ricardo Ribeiro</v>
          </cell>
          <cell r="B7360">
            <v>37017512</v>
          </cell>
          <cell r="C7360">
            <v>20069656</v>
          </cell>
          <cell r="D7360">
            <v>45419</v>
          </cell>
        </row>
        <row r="7361">
          <cell r="A7361" t="str">
            <v>Arlei Antonio Silva</v>
          </cell>
          <cell r="B7361">
            <v>37017515</v>
          </cell>
          <cell r="C7361">
            <v>20069659</v>
          </cell>
          <cell r="D7361">
            <v>45419</v>
          </cell>
        </row>
        <row r="7362">
          <cell r="A7362" t="str">
            <v>Gilda Dos Santos Alves</v>
          </cell>
          <cell r="B7362">
            <v>37017524</v>
          </cell>
          <cell r="C7362">
            <v>20069169</v>
          </cell>
          <cell r="D7362">
            <v>45419</v>
          </cell>
        </row>
        <row r="7363">
          <cell r="A7363" t="str">
            <v>Robson Oliveira Barbosa</v>
          </cell>
          <cell r="B7363">
            <v>37017531</v>
          </cell>
          <cell r="C7363">
            <v>20069688</v>
          </cell>
          <cell r="D7363">
            <v>45419</v>
          </cell>
        </row>
        <row r="7364">
          <cell r="A7364" t="str">
            <v>Santos Glaucio Da Silva</v>
          </cell>
          <cell r="B7364">
            <v>37017525</v>
          </cell>
          <cell r="C7364">
            <v>20069674</v>
          </cell>
          <cell r="D7364">
            <v>45419</v>
          </cell>
        </row>
        <row r="7365">
          <cell r="A7365" t="str">
            <v>Elisangela Aparecida Silva</v>
          </cell>
          <cell r="B7365">
            <v>37017526</v>
          </cell>
          <cell r="C7365">
            <v>20069675</v>
          </cell>
          <cell r="D7365">
            <v>45419</v>
          </cell>
        </row>
        <row r="7366">
          <cell r="A7366" t="str">
            <v>Runi Dias Barbosa</v>
          </cell>
          <cell r="B7366">
            <v>37017534</v>
          </cell>
          <cell r="C7366">
            <v>20069895</v>
          </cell>
          <cell r="D7366">
            <v>45419</v>
          </cell>
        </row>
        <row r="7367">
          <cell r="A7367" t="str">
            <v>Ricardo Aparecido Da Silva</v>
          </cell>
          <cell r="B7367">
            <v>37010467</v>
          </cell>
          <cell r="C7367">
            <v>20039960</v>
          </cell>
          <cell r="D7367">
            <v>44907</v>
          </cell>
        </row>
        <row r="7368">
          <cell r="A7368" t="str">
            <v>Leandro Andrade Goncalves</v>
          </cell>
          <cell r="B7368">
            <v>37017535</v>
          </cell>
          <cell r="C7368">
            <v>20069896</v>
          </cell>
          <cell r="D7368">
            <v>45419</v>
          </cell>
        </row>
        <row r="7369">
          <cell r="A7369" t="str">
            <v>Delio Santos Romao</v>
          </cell>
          <cell r="B7369">
            <v>37017538</v>
          </cell>
          <cell r="C7369">
            <v>20069899</v>
          </cell>
          <cell r="D7369">
            <v>45419</v>
          </cell>
        </row>
        <row r="7370">
          <cell r="A7370" t="str">
            <v>Fabio Bezerra Da Silva</v>
          </cell>
          <cell r="B7370">
            <v>37017539</v>
          </cell>
          <cell r="C7370">
            <v>20069900</v>
          </cell>
          <cell r="D7370">
            <v>45419</v>
          </cell>
        </row>
        <row r="7371">
          <cell r="A7371" t="str">
            <v>Christian Takeshi Monteiro Higuto</v>
          </cell>
          <cell r="B7371">
            <v>37017536</v>
          </cell>
          <cell r="C7371">
            <v>20069897</v>
          </cell>
          <cell r="D7371">
            <v>45419</v>
          </cell>
        </row>
        <row r="7372">
          <cell r="A7372" t="str">
            <v>Claudinei Dos Santos</v>
          </cell>
          <cell r="B7372">
            <v>37017537</v>
          </cell>
          <cell r="C7372">
            <v>20069898</v>
          </cell>
          <cell r="D7372">
            <v>45419</v>
          </cell>
        </row>
        <row r="7373">
          <cell r="A7373" t="str">
            <v>Alair Jose De Carvalho</v>
          </cell>
          <cell r="B7373">
            <v>37017540</v>
          </cell>
          <cell r="C7373">
            <v>20069901</v>
          </cell>
          <cell r="D7373">
            <v>45419</v>
          </cell>
        </row>
        <row r="7374">
          <cell r="A7374" t="str">
            <v>Alex Silveira Martins Dos Santos</v>
          </cell>
          <cell r="B7374">
            <v>37017543</v>
          </cell>
          <cell r="C7374">
            <v>20069920</v>
          </cell>
          <cell r="D7374">
            <v>45426</v>
          </cell>
        </row>
        <row r="7375">
          <cell r="A7375" t="str">
            <v>Zaqueu Ferreira Luiz</v>
          </cell>
          <cell r="B7375">
            <v>37014901</v>
          </cell>
          <cell r="C7375">
            <v>20060494</v>
          </cell>
          <cell r="D7375">
            <v>45209</v>
          </cell>
        </row>
        <row r="7376">
          <cell r="A7376" t="str">
            <v>Natan Barbosa Rodrigues</v>
          </cell>
          <cell r="B7376">
            <v>37005359</v>
          </cell>
          <cell r="C7376">
            <v>20014470</v>
          </cell>
          <cell r="D7376">
            <v>44235</v>
          </cell>
        </row>
        <row r="7377">
          <cell r="A7377" t="str">
            <v>Renan Quirino Morais</v>
          </cell>
          <cell r="B7377">
            <v>37009534</v>
          </cell>
          <cell r="C7377">
            <v>20034827</v>
          </cell>
          <cell r="D7377">
            <v>44837</v>
          </cell>
        </row>
        <row r="7378">
          <cell r="A7378" t="str">
            <v>Alessandra Regiane Tiburcio</v>
          </cell>
          <cell r="B7378">
            <v>37012231</v>
          </cell>
          <cell r="C7378">
            <v>20048942</v>
          </cell>
          <cell r="D7378">
            <v>45048</v>
          </cell>
        </row>
        <row r="7379">
          <cell r="A7379" t="str">
            <v>Carina Bertoli Pinto</v>
          </cell>
          <cell r="B7379">
            <v>37000694</v>
          </cell>
          <cell r="C7379">
            <v>20008746</v>
          </cell>
          <cell r="D7379">
            <v>39755</v>
          </cell>
        </row>
        <row r="7380">
          <cell r="A7380" t="str">
            <v>Ana Flavia Leoncio</v>
          </cell>
          <cell r="B7380">
            <v>37007017</v>
          </cell>
          <cell r="C7380">
            <v>20021648</v>
          </cell>
          <cell r="D7380">
            <v>44578</v>
          </cell>
        </row>
        <row r="7381">
          <cell r="A7381" t="str">
            <v>Milton da Silva</v>
          </cell>
          <cell r="B7381">
            <v>37010862</v>
          </cell>
          <cell r="C7381">
            <v>20041258</v>
          </cell>
          <cell r="D7381">
            <v>44942</v>
          </cell>
        </row>
        <row r="7382">
          <cell r="A7382" t="str">
            <v>Rafael De Souza Antonio</v>
          </cell>
          <cell r="B7382">
            <v>37011270</v>
          </cell>
          <cell r="C7382">
            <v>20042668</v>
          </cell>
          <cell r="D7382">
            <v>44970</v>
          </cell>
        </row>
        <row r="7383">
          <cell r="A7383" t="str">
            <v>Silvia Soares de Oliveira</v>
          </cell>
          <cell r="B7383">
            <v>37014638</v>
          </cell>
          <cell r="C7383">
            <v>20059377</v>
          </cell>
          <cell r="D7383">
            <v>45188</v>
          </cell>
        </row>
        <row r="7384">
          <cell r="A7384" t="str">
            <v>Graciele Vasconcelos De Souza</v>
          </cell>
          <cell r="B7384">
            <v>37013745</v>
          </cell>
          <cell r="C7384">
            <v>20056380</v>
          </cell>
          <cell r="D7384">
            <v>45139</v>
          </cell>
        </row>
        <row r="7385">
          <cell r="A7385" t="str">
            <v>Julio Cesar Santos Guimaraes</v>
          </cell>
          <cell r="B7385">
            <v>37009003</v>
          </cell>
          <cell r="C7385">
            <v>20031011</v>
          </cell>
          <cell r="D7385">
            <v>44781</v>
          </cell>
        </row>
        <row r="7386">
          <cell r="A7386" t="str">
            <v>Reinaldo Romano</v>
          </cell>
          <cell r="B7386">
            <v>37000607</v>
          </cell>
          <cell r="C7386">
            <v>20009823</v>
          </cell>
          <cell r="D7386">
            <v>39468</v>
          </cell>
        </row>
        <row r="7387">
          <cell r="A7387" t="str">
            <v>Gustavo Gracioli</v>
          </cell>
          <cell r="B7387">
            <v>37014130</v>
          </cell>
          <cell r="C7387">
            <v>20057894</v>
          </cell>
          <cell r="D7387">
            <v>45160</v>
          </cell>
        </row>
        <row r="7388">
          <cell r="A7388" t="str">
            <v>Adilson Donizeti de Souza</v>
          </cell>
          <cell r="B7388">
            <v>37011933</v>
          </cell>
          <cell r="C7388">
            <v>20046762</v>
          </cell>
          <cell r="D7388">
            <v>45019</v>
          </cell>
        </row>
        <row r="7389">
          <cell r="A7389" t="str">
            <v>Wilson Carlos Da Silva</v>
          </cell>
          <cell r="B7389">
            <v>37013339</v>
          </cell>
          <cell r="C7389">
            <v>20053624</v>
          </cell>
          <cell r="D7389">
            <v>45111</v>
          </cell>
        </row>
        <row r="7390">
          <cell r="A7390" t="str">
            <v>Raferson Michel Marques Gomes</v>
          </cell>
          <cell r="B7390">
            <v>37009733</v>
          </cell>
          <cell r="C7390">
            <v>20036009</v>
          </cell>
          <cell r="D7390">
            <v>44851</v>
          </cell>
        </row>
        <row r="7391">
          <cell r="A7391" t="str">
            <v>Emerson Marques</v>
          </cell>
          <cell r="B7391">
            <v>37006259</v>
          </cell>
          <cell r="C7391">
            <v>20017000</v>
          </cell>
          <cell r="D7391">
            <v>44431</v>
          </cell>
        </row>
        <row r="7392">
          <cell r="A7392" t="str">
            <v>Emerson Da Silva</v>
          </cell>
          <cell r="B7392">
            <v>37014082</v>
          </cell>
          <cell r="C7392">
            <v>20057818</v>
          </cell>
          <cell r="D7392">
            <v>45160</v>
          </cell>
        </row>
        <row r="7393">
          <cell r="A7393" t="str">
            <v>Diego Jose Joaquim De Queiroz Santos</v>
          </cell>
          <cell r="B7393">
            <v>37007695</v>
          </cell>
          <cell r="C7393">
            <v>20025756</v>
          </cell>
          <cell r="D7393">
            <v>44690</v>
          </cell>
        </row>
        <row r="7394">
          <cell r="A7394" t="str">
            <v>Rosa Maria Gameleira Dos Santos</v>
          </cell>
          <cell r="B7394">
            <v>37014073</v>
          </cell>
          <cell r="C7394">
            <v>20057789</v>
          </cell>
          <cell r="D7394">
            <v>45160</v>
          </cell>
        </row>
        <row r="7395">
          <cell r="A7395" t="str">
            <v>Bruno Henrique Farias da Silva</v>
          </cell>
          <cell r="B7395">
            <v>37013076</v>
          </cell>
          <cell r="C7395">
            <v>20052493</v>
          </cell>
          <cell r="D7395">
            <v>45097</v>
          </cell>
        </row>
        <row r="7396">
          <cell r="A7396" t="str">
            <v>Marcos Ribeiro Freire</v>
          </cell>
          <cell r="B7396">
            <v>37010060</v>
          </cell>
          <cell r="C7396">
            <v>20038165</v>
          </cell>
          <cell r="D7396">
            <v>44881</v>
          </cell>
        </row>
        <row r="7397">
          <cell r="A7397" t="str">
            <v>Frederico Savioli Malagi</v>
          </cell>
          <cell r="B7397">
            <v>37007156</v>
          </cell>
          <cell r="C7397">
            <v>20022954</v>
          </cell>
          <cell r="D7397">
            <v>44606</v>
          </cell>
        </row>
        <row r="7398">
          <cell r="A7398" t="str">
            <v>Joao Wagner Gigioli</v>
          </cell>
          <cell r="B7398">
            <v>37004576</v>
          </cell>
          <cell r="C7398">
            <v>20008199</v>
          </cell>
          <cell r="D7398">
            <v>43997</v>
          </cell>
        </row>
        <row r="7399">
          <cell r="A7399" t="str">
            <v>Leandro Alves Feitosa</v>
          </cell>
          <cell r="B7399">
            <v>37014087</v>
          </cell>
          <cell r="C7399">
            <v>20057823</v>
          </cell>
          <cell r="D7399">
            <v>45160</v>
          </cell>
        </row>
        <row r="7400">
          <cell r="A7400" t="str">
            <v>Eliseu Aparecido Da Silva</v>
          </cell>
          <cell r="B7400">
            <v>37009194</v>
          </cell>
          <cell r="C7400">
            <v>20031915</v>
          </cell>
          <cell r="D7400">
            <v>44795</v>
          </cell>
        </row>
        <row r="7401">
          <cell r="A7401" t="str">
            <v>Andrey Cesar Paccola</v>
          </cell>
          <cell r="B7401">
            <v>37000929</v>
          </cell>
          <cell r="C7401">
            <v>20008635</v>
          </cell>
          <cell r="D7401">
            <v>40791</v>
          </cell>
        </row>
        <row r="7402">
          <cell r="A7402" t="str">
            <v>Joao Manoel Goncalves De Lima</v>
          </cell>
          <cell r="B7402">
            <v>37013845</v>
          </cell>
          <cell r="C7402">
            <v>20056978</v>
          </cell>
          <cell r="D7402">
            <v>45146</v>
          </cell>
        </row>
        <row r="7403">
          <cell r="A7403" t="str">
            <v>Felipe Proenca De Camargo</v>
          </cell>
          <cell r="B7403">
            <v>37013460</v>
          </cell>
          <cell r="C7403">
            <v>20054995</v>
          </cell>
          <cell r="D7403">
            <v>45125</v>
          </cell>
        </row>
        <row r="7404">
          <cell r="A7404" t="str">
            <v>Joao Victor Oliveira Bertolo</v>
          </cell>
          <cell r="B7404">
            <v>37004284</v>
          </cell>
          <cell r="C7404">
            <v>20009350</v>
          </cell>
          <cell r="D7404">
            <v>43864</v>
          </cell>
        </row>
        <row r="7405">
          <cell r="A7405" t="str">
            <v>Rafael da Silva Cano</v>
          </cell>
          <cell r="B7405">
            <v>37014629</v>
          </cell>
          <cell r="C7405">
            <v>20059368</v>
          </cell>
          <cell r="D7405">
            <v>45188</v>
          </cell>
        </row>
        <row r="7406">
          <cell r="A7406" t="str">
            <v>Luciano Muller Machado</v>
          </cell>
          <cell r="B7406">
            <v>37014678</v>
          </cell>
          <cell r="C7406">
            <v>20059437</v>
          </cell>
          <cell r="D7406">
            <v>45188</v>
          </cell>
        </row>
        <row r="7407">
          <cell r="A7407" t="str">
            <v>Kamila De Macena Rodrigues</v>
          </cell>
          <cell r="B7407">
            <v>37005565</v>
          </cell>
          <cell r="C7407">
            <v>20015594</v>
          </cell>
          <cell r="D7407">
            <v>44298</v>
          </cell>
        </row>
        <row r="7408">
          <cell r="A7408" t="str">
            <v>Felipe Yudi Sinzato</v>
          </cell>
          <cell r="B7408">
            <v>37009184</v>
          </cell>
          <cell r="C7408">
            <v>20031840</v>
          </cell>
          <cell r="D7408">
            <v>44795</v>
          </cell>
        </row>
        <row r="7409">
          <cell r="A7409" t="str">
            <v>Marcio Silva Blanco</v>
          </cell>
          <cell r="B7409">
            <v>37017542</v>
          </cell>
          <cell r="C7409">
            <v>20069919</v>
          </cell>
          <cell r="D7409">
            <v>45433</v>
          </cell>
        </row>
        <row r="7410">
          <cell r="A7410" t="str">
            <v>Bruno Zanetti De Souza</v>
          </cell>
          <cell r="B7410">
            <v>37017545</v>
          </cell>
          <cell r="C7410">
            <v>20069922</v>
          </cell>
          <cell r="D7410">
            <v>45426</v>
          </cell>
        </row>
        <row r="7411">
          <cell r="A7411" t="str">
            <v>Mauricio Alves Keller</v>
          </cell>
          <cell r="B7411">
            <v>37017549</v>
          </cell>
          <cell r="C7411">
            <v>20069926</v>
          </cell>
          <cell r="D7411">
            <v>45426</v>
          </cell>
        </row>
        <row r="7412">
          <cell r="A7412" t="str">
            <v>Emerson Luiz de Deus</v>
          </cell>
          <cell r="B7412">
            <v>37017550</v>
          </cell>
          <cell r="C7412">
            <v>20069927</v>
          </cell>
          <cell r="D7412">
            <v>45426</v>
          </cell>
        </row>
        <row r="7413">
          <cell r="A7413" t="str">
            <v>Lucas Eduardo Morelato</v>
          </cell>
          <cell r="B7413">
            <v>37017551</v>
          </cell>
          <cell r="C7413">
            <v>20069928</v>
          </cell>
          <cell r="D7413">
            <v>45419</v>
          </cell>
        </row>
        <row r="7414">
          <cell r="A7414" t="str">
            <v>Halan Da Silva Batista</v>
          </cell>
          <cell r="B7414">
            <v>37017555</v>
          </cell>
          <cell r="C7414">
            <v>20069932</v>
          </cell>
          <cell r="D7414">
            <v>45426</v>
          </cell>
        </row>
        <row r="7415">
          <cell r="A7415" t="str">
            <v>Jose Clodoaldo Camargo</v>
          </cell>
          <cell r="B7415">
            <v>37017560</v>
          </cell>
          <cell r="C7415">
            <v>20069939</v>
          </cell>
          <cell r="D7415">
            <v>45419</v>
          </cell>
        </row>
        <row r="7416">
          <cell r="A7416" t="str">
            <v>Alessandra Moraes Batista De Melo</v>
          </cell>
          <cell r="B7416">
            <v>37017544</v>
          </cell>
          <cell r="C7416">
            <v>20069921</v>
          </cell>
          <cell r="D7416">
            <v>45426</v>
          </cell>
        </row>
        <row r="7417">
          <cell r="A7417" t="str">
            <v>Eleandro Peres Dos Santos</v>
          </cell>
          <cell r="B7417">
            <v>37017546</v>
          </cell>
          <cell r="C7417">
            <v>20069923</v>
          </cell>
          <cell r="D7417">
            <v>45426</v>
          </cell>
        </row>
        <row r="7418">
          <cell r="A7418" t="str">
            <v>Florisvaldo Tadeu De Souza</v>
          </cell>
          <cell r="B7418">
            <v>37017548</v>
          </cell>
          <cell r="C7418">
            <v>20069925</v>
          </cell>
          <cell r="D7418">
            <v>45419</v>
          </cell>
        </row>
        <row r="7419">
          <cell r="A7419" t="str">
            <v>Anderson Carvalho Da Silva</v>
          </cell>
          <cell r="B7419">
            <v>37017556</v>
          </cell>
          <cell r="C7419">
            <v>20069934</v>
          </cell>
          <cell r="D7419">
            <v>45433</v>
          </cell>
        </row>
        <row r="7420">
          <cell r="A7420" t="str">
            <v>Jose Augusto Verardo</v>
          </cell>
          <cell r="B7420">
            <v>37017557</v>
          </cell>
          <cell r="C7420">
            <v>20069936</v>
          </cell>
          <cell r="D7420">
            <v>45419</v>
          </cell>
        </row>
        <row r="7421">
          <cell r="A7421" t="str">
            <v>Luiz Carlos Bernine</v>
          </cell>
          <cell r="B7421">
            <v>37017558</v>
          </cell>
          <cell r="C7421">
            <v>20069937</v>
          </cell>
          <cell r="D7421">
            <v>45419</v>
          </cell>
        </row>
        <row r="7422">
          <cell r="A7422" t="str">
            <v>Ricardo Aparecido Da Silva</v>
          </cell>
          <cell r="B7422">
            <v>37017563</v>
          </cell>
          <cell r="C7422">
            <v>20069942</v>
          </cell>
          <cell r="D7422">
            <v>45419</v>
          </cell>
        </row>
        <row r="7423">
          <cell r="A7423" t="str">
            <v>WILLIAN FERREIRA LOPES</v>
          </cell>
          <cell r="B7423">
            <v>37017564</v>
          </cell>
          <cell r="C7423">
            <v>20069943</v>
          </cell>
          <cell r="D7423">
            <v>45426</v>
          </cell>
        </row>
        <row r="7424">
          <cell r="A7424" t="str">
            <v>Denivaldo Batista De Souza</v>
          </cell>
          <cell r="B7424">
            <v>37017566</v>
          </cell>
          <cell r="C7424">
            <v>20069945</v>
          </cell>
          <cell r="D7424">
            <v>45419</v>
          </cell>
        </row>
        <row r="7425">
          <cell r="A7425" t="str">
            <v>Jaqueline Fonseca Modesto</v>
          </cell>
          <cell r="B7425">
            <v>37017572</v>
          </cell>
          <cell r="C7425">
            <v>20069951</v>
          </cell>
          <cell r="D7425">
            <v>45426</v>
          </cell>
        </row>
        <row r="7426">
          <cell r="A7426" t="str">
            <v>Jhenniffer Abrão Simões</v>
          </cell>
          <cell r="B7426">
            <v>37017574</v>
          </cell>
          <cell r="C7426">
            <v>20069953</v>
          </cell>
          <cell r="D7426">
            <v>45426</v>
          </cell>
        </row>
        <row r="7427">
          <cell r="A7427" t="str">
            <v>Nathaly Abrão Simões</v>
          </cell>
          <cell r="B7427">
            <v>37017577</v>
          </cell>
          <cell r="C7427">
            <v>20069956</v>
          </cell>
          <cell r="D7427">
            <v>45426</v>
          </cell>
        </row>
        <row r="7428">
          <cell r="A7428" t="str">
            <v>Vitor Mendonca Correa</v>
          </cell>
          <cell r="B7428">
            <v>37017562</v>
          </cell>
          <cell r="C7428">
            <v>20069941</v>
          </cell>
          <cell r="D7428">
            <v>45426</v>
          </cell>
        </row>
        <row r="7429">
          <cell r="A7429" t="str">
            <v>Lorena Cristina Marteli Messias</v>
          </cell>
          <cell r="B7429">
            <v>37017565</v>
          </cell>
          <cell r="C7429">
            <v>20069944</v>
          </cell>
          <cell r="D7429">
            <v>45426</v>
          </cell>
        </row>
        <row r="7430">
          <cell r="A7430" t="str">
            <v>Debora de Oliveira Luiz</v>
          </cell>
          <cell r="B7430">
            <v>37017568</v>
          </cell>
          <cell r="C7430">
            <v>20069947</v>
          </cell>
          <cell r="D7430">
            <v>45426</v>
          </cell>
        </row>
        <row r="7431">
          <cell r="A7431" t="str">
            <v>Jhonantan Willian Santos Manoel</v>
          </cell>
          <cell r="B7431">
            <v>37017569</v>
          </cell>
          <cell r="C7431">
            <v>20069948</v>
          </cell>
          <cell r="D7431">
            <v>45426</v>
          </cell>
        </row>
        <row r="7432">
          <cell r="A7432" t="str">
            <v>Antonio Marcio Aguilera</v>
          </cell>
          <cell r="B7432">
            <v>37017571</v>
          </cell>
          <cell r="C7432">
            <v>20069950</v>
          </cell>
          <cell r="D7432">
            <v>45426</v>
          </cell>
        </row>
        <row r="7433">
          <cell r="A7433" t="str">
            <v>Ygor Dantas Gomes Da Silva</v>
          </cell>
          <cell r="B7433">
            <v>37017573</v>
          </cell>
          <cell r="C7433">
            <v>20069952</v>
          </cell>
          <cell r="D7433">
            <v>45419</v>
          </cell>
        </row>
        <row r="7434">
          <cell r="A7434" t="str">
            <v>Ronaldo Rodrigues Da Silva</v>
          </cell>
          <cell r="B7434">
            <v>37017578</v>
          </cell>
          <cell r="C7434">
            <v>20069957</v>
          </cell>
          <cell r="D7434">
            <v>45419</v>
          </cell>
        </row>
        <row r="7435">
          <cell r="A7435" t="str">
            <v>Mateus De Oliveira Pires</v>
          </cell>
          <cell r="B7435">
            <v>37017579</v>
          </cell>
          <cell r="C7435">
            <v>20069958</v>
          </cell>
          <cell r="D7435">
            <v>45426</v>
          </cell>
        </row>
        <row r="7436">
          <cell r="A7436" t="str">
            <v>Ronaldo Francisco Machado</v>
          </cell>
          <cell r="B7436">
            <v>37017581</v>
          </cell>
          <cell r="C7436">
            <v>20069960</v>
          </cell>
          <cell r="D7436">
            <v>45419</v>
          </cell>
        </row>
        <row r="7437">
          <cell r="A7437" t="str">
            <v>Marcos Vinicius de Souza Nascimento</v>
          </cell>
          <cell r="B7437">
            <v>37017583</v>
          </cell>
          <cell r="C7437">
            <v>20069962</v>
          </cell>
          <cell r="D7437">
            <v>45426</v>
          </cell>
        </row>
        <row r="7438">
          <cell r="A7438" t="str">
            <v>Aeles Mota Dos Santos</v>
          </cell>
          <cell r="B7438">
            <v>37017586</v>
          </cell>
          <cell r="C7438">
            <v>20069965</v>
          </cell>
          <cell r="D7438">
            <v>45419</v>
          </cell>
        </row>
        <row r="7439">
          <cell r="A7439" t="str">
            <v>Giovana Carolina Fernandes Da Silva</v>
          </cell>
          <cell r="B7439">
            <v>37017587</v>
          </cell>
          <cell r="C7439">
            <v>20069966</v>
          </cell>
          <cell r="D7439">
            <v>45426</v>
          </cell>
        </row>
        <row r="7440">
          <cell r="A7440" t="str">
            <v>Daniel Silvano</v>
          </cell>
          <cell r="B7440">
            <v>37017591</v>
          </cell>
          <cell r="C7440">
            <v>20069970</v>
          </cell>
          <cell r="D7440">
            <v>45433</v>
          </cell>
        </row>
        <row r="7441">
          <cell r="A7441" t="str">
            <v>Carlos Maciel Moreira Alves</v>
          </cell>
          <cell r="B7441">
            <v>37017595</v>
          </cell>
          <cell r="C7441">
            <v>20069974</v>
          </cell>
          <cell r="D7441">
            <v>45426</v>
          </cell>
        </row>
        <row r="7442">
          <cell r="A7442" t="str">
            <v>Cristina Lopes De Oliveira</v>
          </cell>
          <cell r="B7442">
            <v>37017602</v>
          </cell>
          <cell r="C7442">
            <v>20069981</v>
          </cell>
          <cell r="D7442">
            <v>45426</v>
          </cell>
        </row>
        <row r="7443">
          <cell r="A7443" t="str">
            <v>Alexandre José Bispo</v>
          </cell>
          <cell r="B7443">
            <v>37017582</v>
          </cell>
          <cell r="C7443">
            <v>20069961</v>
          </cell>
          <cell r="D7443">
            <v>45426</v>
          </cell>
        </row>
        <row r="7444">
          <cell r="A7444" t="str">
            <v>Rafael Bernardes De Lima Reis</v>
          </cell>
          <cell r="B7444">
            <v>37017584</v>
          </cell>
          <cell r="C7444">
            <v>20069963</v>
          </cell>
          <cell r="D7444">
            <v>45426</v>
          </cell>
        </row>
        <row r="7445">
          <cell r="A7445" t="str">
            <v>Anderson Duarte Barboza</v>
          </cell>
          <cell r="B7445">
            <v>37017585</v>
          </cell>
          <cell r="C7445">
            <v>20069964</v>
          </cell>
          <cell r="D7445">
            <v>45447</v>
          </cell>
        </row>
        <row r="7446">
          <cell r="A7446" t="str">
            <v>Maria Cláudia Francisco Dias</v>
          </cell>
          <cell r="B7446">
            <v>37017589</v>
          </cell>
          <cell r="C7446">
            <v>20069968</v>
          </cell>
          <cell r="D7446">
            <v>45426</v>
          </cell>
        </row>
        <row r="7447">
          <cell r="A7447" t="str">
            <v>Luiz Henrique Terassi Da Silva</v>
          </cell>
          <cell r="B7447">
            <v>37017592</v>
          </cell>
          <cell r="C7447">
            <v>20069971</v>
          </cell>
          <cell r="D7447">
            <v>45426</v>
          </cell>
        </row>
        <row r="7448">
          <cell r="A7448" t="str">
            <v>Mauricio Jose Ramos De Souza</v>
          </cell>
          <cell r="B7448">
            <v>37017593</v>
          </cell>
          <cell r="C7448">
            <v>20069972</v>
          </cell>
          <cell r="D7448">
            <v>45419</v>
          </cell>
        </row>
        <row r="7449">
          <cell r="A7449" t="str">
            <v>Geovane da Silva Ferreira</v>
          </cell>
          <cell r="B7449">
            <v>37017594</v>
          </cell>
          <cell r="C7449">
            <v>20069973</v>
          </cell>
          <cell r="D7449">
            <v>45426</v>
          </cell>
        </row>
        <row r="7450">
          <cell r="A7450" t="str">
            <v>Lucimara Pereira</v>
          </cell>
          <cell r="B7450">
            <v>37017597</v>
          </cell>
          <cell r="C7450">
            <v>20069976</v>
          </cell>
          <cell r="D7450">
            <v>45426</v>
          </cell>
        </row>
        <row r="7451">
          <cell r="A7451" t="str">
            <v>Wesley Da Silva Oliveira</v>
          </cell>
          <cell r="B7451" t="e">
            <v>#N/A</v>
          </cell>
          <cell r="C7451">
            <v>20017047</v>
          </cell>
          <cell r="D7451" t="e">
            <v>#N/A</v>
          </cell>
        </row>
        <row r="7452">
          <cell r="A7452" t="str">
            <v>Leticia Geromel</v>
          </cell>
          <cell r="B7452">
            <v>37009749</v>
          </cell>
          <cell r="C7452">
            <v>20036461</v>
          </cell>
          <cell r="D7452">
            <v>44851</v>
          </cell>
        </row>
        <row r="7453">
          <cell r="A7453" t="str">
            <v>Andressa Vilela</v>
          </cell>
          <cell r="B7453">
            <v>37010011</v>
          </cell>
          <cell r="C7453">
            <v>20037220</v>
          </cell>
          <cell r="D7453">
            <v>44872</v>
          </cell>
        </row>
        <row r="7454">
          <cell r="A7454" t="str">
            <v>Victoria Assumpcao De Oliveira</v>
          </cell>
          <cell r="B7454">
            <v>37009760</v>
          </cell>
          <cell r="C7454">
            <v>20036488</v>
          </cell>
          <cell r="D7454">
            <v>44851</v>
          </cell>
        </row>
        <row r="7455">
          <cell r="A7455" t="str">
            <v>Joao Paulo Vitturi Torrezan</v>
          </cell>
          <cell r="B7455">
            <v>37009773</v>
          </cell>
          <cell r="C7455">
            <v>20036484</v>
          </cell>
          <cell r="D7455">
            <v>44851</v>
          </cell>
        </row>
        <row r="7456">
          <cell r="A7456" t="str">
            <v>Jose Almeida Ferrari Filho</v>
          </cell>
          <cell r="B7456">
            <v>37009779</v>
          </cell>
          <cell r="C7456">
            <v>20036766</v>
          </cell>
          <cell r="D7456">
            <v>44851</v>
          </cell>
        </row>
        <row r="7457">
          <cell r="A7457" t="str">
            <v>Lucas Eduardo Santana</v>
          </cell>
          <cell r="B7457">
            <v>37017599</v>
          </cell>
          <cell r="C7457">
            <v>20069978</v>
          </cell>
          <cell r="D7457">
            <v>45426</v>
          </cell>
        </row>
        <row r="7458">
          <cell r="A7458" t="str">
            <v>Isabele Fideles Da Luz</v>
          </cell>
          <cell r="B7458">
            <v>37017605</v>
          </cell>
          <cell r="C7458">
            <v>20069984</v>
          </cell>
          <cell r="D7458">
            <v>45426</v>
          </cell>
        </row>
        <row r="7459">
          <cell r="A7459" t="str">
            <v>Lilian Cristina da Silva Borim</v>
          </cell>
          <cell r="B7459">
            <v>37017603</v>
          </cell>
          <cell r="C7459">
            <v>20069982</v>
          </cell>
          <cell r="D7459">
            <v>45426</v>
          </cell>
        </row>
        <row r="7460">
          <cell r="A7460" t="str">
            <v>Jean Carlos Paulo</v>
          </cell>
          <cell r="B7460">
            <v>37010753</v>
          </cell>
          <cell r="C7460">
            <v>20040963</v>
          </cell>
          <cell r="D7460">
            <v>44942</v>
          </cell>
        </row>
        <row r="7461">
          <cell r="A7461" t="str">
            <v>Rafaela Maganhott</v>
          </cell>
          <cell r="B7461">
            <v>37009994</v>
          </cell>
          <cell r="C7461">
            <v>20037150</v>
          </cell>
          <cell r="D7461">
            <v>44872</v>
          </cell>
        </row>
        <row r="7462">
          <cell r="A7462" t="str">
            <v>Luis Fernando Fantti</v>
          </cell>
          <cell r="B7462">
            <v>37007240</v>
          </cell>
          <cell r="C7462">
            <v>20022777</v>
          </cell>
          <cell r="D7462">
            <v>44627</v>
          </cell>
        </row>
        <row r="7463">
          <cell r="A7463" t="str">
            <v>Ivan Previero</v>
          </cell>
          <cell r="B7463">
            <v>37007764</v>
          </cell>
          <cell r="C7463">
            <v>20026040</v>
          </cell>
          <cell r="D7463">
            <v>44704</v>
          </cell>
        </row>
        <row r="7464">
          <cell r="A7464" t="str">
            <v>Geziel Bittencout Antonio</v>
          </cell>
          <cell r="B7464">
            <v>37010371</v>
          </cell>
          <cell r="C7464">
            <v>20039099</v>
          </cell>
          <cell r="D7464">
            <v>44900</v>
          </cell>
        </row>
        <row r="7465">
          <cell r="A7465" t="str">
            <v>Isabella De Oliveira Miranda</v>
          </cell>
          <cell r="B7465">
            <v>37009989</v>
          </cell>
          <cell r="C7465">
            <v>20037100</v>
          </cell>
          <cell r="D7465">
            <v>44872</v>
          </cell>
        </row>
        <row r="7466">
          <cell r="A7466" t="str">
            <v>Rafael Colacite Fabris</v>
          </cell>
          <cell r="B7466">
            <v>37009769</v>
          </cell>
          <cell r="C7466">
            <v>20036491</v>
          </cell>
          <cell r="D7466">
            <v>44851</v>
          </cell>
        </row>
        <row r="7467">
          <cell r="A7467" t="str">
            <v>Emerson Aparecido Galo</v>
          </cell>
          <cell r="B7467">
            <v>37008078</v>
          </cell>
          <cell r="C7467">
            <v>20026781</v>
          </cell>
          <cell r="D7467">
            <v>44713</v>
          </cell>
        </row>
        <row r="7468">
          <cell r="A7468" t="str">
            <v>Jean Franco Burgos Trillo</v>
          </cell>
          <cell r="B7468">
            <v>37009776</v>
          </cell>
          <cell r="C7468">
            <v>20036485</v>
          </cell>
          <cell r="D7468">
            <v>44851</v>
          </cell>
        </row>
        <row r="7469">
          <cell r="A7469" t="str">
            <v>Claudemir Ramalho Alonso</v>
          </cell>
          <cell r="B7469">
            <v>37012430</v>
          </cell>
          <cell r="C7469">
            <v>20049730</v>
          </cell>
          <cell r="D7469">
            <v>45062</v>
          </cell>
        </row>
        <row r="7470">
          <cell r="A7470" t="str">
            <v>Julio Cesar Dos Santos</v>
          </cell>
          <cell r="B7470">
            <v>37007445</v>
          </cell>
          <cell r="C7470">
            <v>20025499</v>
          </cell>
          <cell r="D7470">
            <v>44662</v>
          </cell>
        </row>
        <row r="7471">
          <cell r="A7471" t="str">
            <v>Oseias Alves Santos</v>
          </cell>
          <cell r="B7471">
            <v>37014424</v>
          </cell>
          <cell r="C7471">
            <v>20058576</v>
          </cell>
          <cell r="D7471">
            <v>45174</v>
          </cell>
        </row>
        <row r="7472">
          <cell r="A7472" t="str">
            <v>Vitor Hugo Carmo De Oliveira</v>
          </cell>
          <cell r="B7472">
            <v>37015186</v>
          </cell>
          <cell r="C7472">
            <v>20061502</v>
          </cell>
          <cell r="D7472">
            <v>45237</v>
          </cell>
        </row>
        <row r="7473">
          <cell r="A7473" t="str">
            <v>Ismael De Oliveira</v>
          </cell>
          <cell r="B7473">
            <v>37013628</v>
          </cell>
          <cell r="C7473">
            <v>20055887</v>
          </cell>
          <cell r="D7473">
            <v>45125</v>
          </cell>
        </row>
        <row r="7474">
          <cell r="A7474" t="str">
            <v>Giovani Bueno Américo</v>
          </cell>
          <cell r="B7474">
            <v>37017636</v>
          </cell>
          <cell r="C7474">
            <v>20070246</v>
          </cell>
          <cell r="D7474">
            <v>45433</v>
          </cell>
        </row>
        <row r="7475">
          <cell r="A7475" t="str">
            <v>Valdeci Lopes</v>
          </cell>
          <cell r="B7475">
            <v>37000927</v>
          </cell>
          <cell r="C7475">
            <v>20009984</v>
          </cell>
          <cell r="D7475">
            <v>40777</v>
          </cell>
        </row>
        <row r="7476">
          <cell r="A7476" t="str">
            <v>Fernando Machado</v>
          </cell>
          <cell r="B7476">
            <v>37004488</v>
          </cell>
          <cell r="C7476">
            <v>20009096</v>
          </cell>
          <cell r="D7476">
            <v>43906</v>
          </cell>
        </row>
        <row r="7477">
          <cell r="A7477" t="str">
            <v>Isac barboza de Alencar Amaro Ideilda Galdino Barboza</v>
          </cell>
          <cell r="B7477">
            <v>37017635</v>
          </cell>
          <cell r="C7477">
            <v>20070245</v>
          </cell>
          <cell r="D7477">
            <v>45433</v>
          </cell>
        </row>
        <row r="7478">
          <cell r="A7478" t="str">
            <v>Maycon Gabriel Nicolini Souza Nicolini</v>
          </cell>
          <cell r="B7478">
            <v>37017639</v>
          </cell>
          <cell r="C7478">
            <v>20070249</v>
          </cell>
          <cell r="D7478">
            <v>45433</v>
          </cell>
        </row>
        <row r="7479">
          <cell r="A7479" t="str">
            <v>Gredson Cristiano Da silva Grigoletto</v>
          </cell>
          <cell r="B7479">
            <v>37015362</v>
          </cell>
          <cell r="C7479">
            <v>20062371</v>
          </cell>
          <cell r="D7479">
            <v>45251</v>
          </cell>
        </row>
        <row r="7480">
          <cell r="A7480" t="str">
            <v>Elen Daiane Romeu</v>
          </cell>
          <cell r="B7480">
            <v>37014102</v>
          </cell>
          <cell r="C7480">
            <v>20057838</v>
          </cell>
          <cell r="D7480">
            <v>45160</v>
          </cell>
        </row>
        <row r="7481">
          <cell r="A7481" t="str">
            <v>Luiz Henrique de Freitas</v>
          </cell>
          <cell r="B7481">
            <v>37012690</v>
          </cell>
          <cell r="C7481">
            <v>20051270</v>
          </cell>
          <cell r="D7481">
            <v>45083</v>
          </cell>
        </row>
        <row r="7482">
          <cell r="A7482" t="str">
            <v>Fabricio Rodrigues Pontes</v>
          </cell>
          <cell r="B7482">
            <v>37005677</v>
          </cell>
          <cell r="C7482">
            <v>20013971</v>
          </cell>
          <cell r="D7482">
            <v>44329</v>
          </cell>
        </row>
        <row r="7483">
          <cell r="A7483" t="str">
            <v>Rafael Correa Monteiro</v>
          </cell>
          <cell r="B7483">
            <v>37012258</v>
          </cell>
          <cell r="C7483">
            <v>20049156</v>
          </cell>
          <cell r="D7483">
            <v>45048</v>
          </cell>
        </row>
        <row r="7484">
          <cell r="A7484" t="str">
            <v>Leonardo Victor Dos Santos Silva</v>
          </cell>
          <cell r="B7484">
            <v>37013624</v>
          </cell>
          <cell r="C7484">
            <v>20055883</v>
          </cell>
          <cell r="D7484">
            <v>45125</v>
          </cell>
        </row>
        <row r="7485">
          <cell r="A7485" t="str">
            <v>Denis Padovan Evaristo</v>
          </cell>
          <cell r="B7485">
            <v>37017643</v>
          </cell>
          <cell r="C7485">
            <v>20070253</v>
          </cell>
          <cell r="D7485">
            <v>45433</v>
          </cell>
        </row>
        <row r="7486">
          <cell r="A7486" t="str">
            <v>Thiago Henrique Ferraz</v>
          </cell>
          <cell r="B7486">
            <v>37017649</v>
          </cell>
          <cell r="C7486">
            <v>20070259</v>
          </cell>
          <cell r="D7486">
            <v>45426</v>
          </cell>
        </row>
        <row r="7487">
          <cell r="A7487" t="str">
            <v>Adealdo Da Cruz</v>
          </cell>
          <cell r="B7487">
            <v>37017662</v>
          </cell>
          <cell r="C7487">
            <v>20070272</v>
          </cell>
          <cell r="D7487">
            <v>45426</v>
          </cell>
        </row>
        <row r="7488">
          <cell r="A7488" t="str">
            <v>Jacson Bispo da Conceição</v>
          </cell>
          <cell r="B7488">
            <v>37017663</v>
          </cell>
          <cell r="C7488">
            <v>20070273</v>
          </cell>
          <cell r="D7488">
            <v>45433</v>
          </cell>
        </row>
        <row r="7489">
          <cell r="A7489" t="str">
            <v>Gabriel de Andrade</v>
          </cell>
          <cell r="B7489">
            <v>37017632</v>
          </cell>
          <cell r="C7489">
            <v>20049704</v>
          </cell>
          <cell r="D7489">
            <v>45433</v>
          </cell>
        </row>
        <row r="7490">
          <cell r="A7490" t="str">
            <v>Ana Caroline De Souza</v>
          </cell>
          <cell r="B7490">
            <v>37017669</v>
          </cell>
          <cell r="C7490">
            <v>20070279</v>
          </cell>
          <cell r="D7490">
            <v>45433</v>
          </cell>
        </row>
        <row r="7491">
          <cell r="A7491" t="str">
            <v>Amanda Castanho Albuquerque</v>
          </cell>
          <cell r="B7491">
            <v>37017672</v>
          </cell>
          <cell r="C7491">
            <v>20070282</v>
          </cell>
          <cell r="D7491">
            <v>45433</v>
          </cell>
        </row>
        <row r="7492">
          <cell r="A7492" t="str">
            <v>João Gabriel Silva leite</v>
          </cell>
          <cell r="B7492">
            <v>37017648</v>
          </cell>
          <cell r="C7492">
            <v>20070258</v>
          </cell>
          <cell r="D7492">
            <v>45433</v>
          </cell>
        </row>
        <row r="7493">
          <cell r="A7493" t="str">
            <v>Thiago Simao Aparecido Leite</v>
          </cell>
          <cell r="B7493">
            <v>37017651</v>
          </cell>
          <cell r="C7493">
            <v>20070261</v>
          </cell>
          <cell r="D7493">
            <v>45433</v>
          </cell>
        </row>
        <row r="7494">
          <cell r="A7494" t="str">
            <v>Luciano Marcelino Elias Gomes Coletta</v>
          </cell>
          <cell r="B7494">
            <v>37017653</v>
          </cell>
          <cell r="C7494">
            <v>20070263</v>
          </cell>
          <cell r="D7494">
            <v>45433</v>
          </cell>
        </row>
        <row r="7495">
          <cell r="A7495" t="str">
            <v>Luiz Antonio Candido</v>
          </cell>
          <cell r="B7495">
            <v>37017654</v>
          </cell>
          <cell r="C7495">
            <v>20070264</v>
          </cell>
          <cell r="D7495">
            <v>45433</v>
          </cell>
        </row>
        <row r="7496">
          <cell r="A7496" t="str">
            <v>Jose Carlos De Lima</v>
          </cell>
          <cell r="B7496">
            <v>37017656</v>
          </cell>
          <cell r="C7496">
            <v>20070266</v>
          </cell>
          <cell r="D7496">
            <v>45433</v>
          </cell>
        </row>
        <row r="7497">
          <cell r="A7497" t="str">
            <v>Leandro Aparecido Martins</v>
          </cell>
          <cell r="B7497">
            <v>37017658</v>
          </cell>
          <cell r="C7497">
            <v>20070268</v>
          </cell>
          <cell r="D7497">
            <v>45426</v>
          </cell>
        </row>
        <row r="7498">
          <cell r="A7498" t="str">
            <v>Dinomar Da Costa Carvalho</v>
          </cell>
          <cell r="B7498">
            <v>37017660</v>
          </cell>
          <cell r="C7498">
            <v>20070270</v>
          </cell>
          <cell r="D7498">
            <v>45426</v>
          </cell>
        </row>
        <row r="7499">
          <cell r="A7499" t="str">
            <v>Willian Carlos Pires</v>
          </cell>
          <cell r="B7499">
            <v>37017664</v>
          </cell>
          <cell r="C7499">
            <v>20070274</v>
          </cell>
          <cell r="D7499">
            <v>45426</v>
          </cell>
        </row>
        <row r="7500">
          <cell r="A7500" t="str">
            <v>Remerson Henrique Bircol</v>
          </cell>
          <cell r="B7500">
            <v>37017665</v>
          </cell>
          <cell r="C7500">
            <v>20070275</v>
          </cell>
          <cell r="D7500">
            <v>45433</v>
          </cell>
        </row>
        <row r="7501">
          <cell r="A7501" t="str">
            <v>Marcos Balbueno Dos Santos</v>
          </cell>
          <cell r="B7501">
            <v>37017667</v>
          </cell>
          <cell r="C7501">
            <v>20070277</v>
          </cell>
          <cell r="D7501">
            <v>45426</v>
          </cell>
        </row>
        <row r="7502">
          <cell r="A7502" t="str">
            <v>Luiz Claudio Ramos Macedo</v>
          </cell>
          <cell r="B7502">
            <v>37017668</v>
          </cell>
          <cell r="C7502">
            <v>20070278</v>
          </cell>
          <cell r="D7502">
            <v>45433</v>
          </cell>
        </row>
        <row r="7503">
          <cell r="A7503" t="str">
            <v>Jessica Lipu Cesar Silverio</v>
          </cell>
          <cell r="B7503">
            <v>37017670</v>
          </cell>
          <cell r="C7503">
            <v>20070280</v>
          </cell>
          <cell r="D7503">
            <v>45433</v>
          </cell>
        </row>
        <row r="7504">
          <cell r="A7504" t="str">
            <v>Jean Carlos Lopes Barauna</v>
          </cell>
          <cell r="B7504">
            <v>37017673</v>
          </cell>
          <cell r="C7504">
            <v>20070283</v>
          </cell>
          <cell r="D7504">
            <v>45433</v>
          </cell>
        </row>
        <row r="7505">
          <cell r="A7505" t="str">
            <v>Alan Ritz dos Santos Barros</v>
          </cell>
          <cell r="B7505">
            <v>37017677</v>
          </cell>
          <cell r="C7505">
            <v>20070287</v>
          </cell>
          <cell r="D7505">
            <v>45433</v>
          </cell>
        </row>
        <row r="7506">
          <cell r="A7506" t="str">
            <v>Tiago Esteves</v>
          </cell>
          <cell r="B7506">
            <v>37017678</v>
          </cell>
          <cell r="C7506">
            <v>20070288</v>
          </cell>
          <cell r="D7506">
            <v>45433</v>
          </cell>
        </row>
        <row r="7507">
          <cell r="A7507" t="str">
            <v>Kihorky Mariano Dos Santos</v>
          </cell>
          <cell r="B7507">
            <v>37017681</v>
          </cell>
          <cell r="C7507">
            <v>20070291</v>
          </cell>
          <cell r="D7507">
            <v>45426</v>
          </cell>
        </row>
        <row r="7508">
          <cell r="A7508" t="str">
            <v>Kettlyn Eduarda De Paiva Bispo</v>
          </cell>
          <cell r="B7508">
            <v>37017685</v>
          </cell>
          <cell r="C7508">
            <v>20070303</v>
          </cell>
          <cell r="D7508">
            <v>45433</v>
          </cell>
        </row>
        <row r="7509">
          <cell r="A7509" t="str">
            <v>Joao Dias Gomes</v>
          </cell>
          <cell r="B7509">
            <v>37017680</v>
          </cell>
          <cell r="C7509">
            <v>20070290</v>
          </cell>
          <cell r="D7509">
            <v>45426</v>
          </cell>
        </row>
        <row r="7510">
          <cell r="A7510" t="str">
            <v>Carlos Miguel Da Silva</v>
          </cell>
          <cell r="B7510">
            <v>37017689</v>
          </cell>
          <cell r="C7510">
            <v>20070315</v>
          </cell>
          <cell r="D7510">
            <v>45433</v>
          </cell>
        </row>
        <row r="7511">
          <cell r="A7511" t="str">
            <v>JOÃO Souza de Lima VITOR SOUZA DE LIMA BOMFIM</v>
          </cell>
          <cell r="B7511">
            <v>37017693</v>
          </cell>
          <cell r="C7511">
            <v>20070319</v>
          </cell>
          <cell r="D7511">
            <v>45433</v>
          </cell>
        </row>
        <row r="7512">
          <cell r="A7512" t="str">
            <v>Elenildo dos Santos</v>
          </cell>
          <cell r="B7512" t="e">
            <v>#N/A</v>
          </cell>
          <cell r="C7512">
            <v>20070320</v>
          </cell>
          <cell r="D7512" t="e">
            <v>#N/A</v>
          </cell>
        </row>
        <row r="7513">
          <cell r="A7513" t="str">
            <v>Ailton Edson Dos Santos</v>
          </cell>
          <cell r="B7513">
            <v>37017691</v>
          </cell>
          <cell r="C7513">
            <v>20070317</v>
          </cell>
          <cell r="D7513">
            <v>45433</v>
          </cell>
        </row>
        <row r="7514">
          <cell r="A7514" t="str">
            <v>Regis Fernando Leal</v>
          </cell>
          <cell r="B7514">
            <v>37017696</v>
          </cell>
          <cell r="C7514">
            <v>20070322</v>
          </cell>
          <cell r="D7514">
            <v>45433</v>
          </cell>
        </row>
        <row r="7515">
          <cell r="A7515" t="str">
            <v>Luana Ferreira Mesquita</v>
          </cell>
          <cell r="B7515">
            <v>37017699</v>
          </cell>
          <cell r="C7515">
            <v>20070325</v>
          </cell>
          <cell r="D7515">
            <v>45433</v>
          </cell>
        </row>
        <row r="7516">
          <cell r="A7516" t="str">
            <v>Fabiano Jose Goncalves</v>
          </cell>
          <cell r="B7516">
            <v>37017700</v>
          </cell>
          <cell r="C7516">
            <v>20070326</v>
          </cell>
          <cell r="D7516">
            <v>45433</v>
          </cell>
        </row>
        <row r="7517">
          <cell r="A7517" t="str">
            <v>Rodrigo Tadeu David</v>
          </cell>
          <cell r="B7517">
            <v>37017702</v>
          </cell>
          <cell r="C7517">
            <v>20070328</v>
          </cell>
          <cell r="D7517">
            <v>45426</v>
          </cell>
        </row>
        <row r="7518">
          <cell r="A7518" t="str">
            <v>Rosilaine Cristina Ferreira da Silva</v>
          </cell>
          <cell r="B7518">
            <v>37017706</v>
          </cell>
          <cell r="C7518">
            <v>20070332</v>
          </cell>
          <cell r="D7518">
            <v>45433</v>
          </cell>
        </row>
        <row r="7519">
          <cell r="A7519" t="str">
            <v>Maycon de Carvalho Mota</v>
          </cell>
          <cell r="B7519">
            <v>37017708</v>
          </cell>
          <cell r="C7519">
            <v>20070334</v>
          </cell>
          <cell r="D7519">
            <v>45433</v>
          </cell>
        </row>
        <row r="7520">
          <cell r="A7520" t="str">
            <v>Sebastião Joanilson Rodrigues</v>
          </cell>
          <cell r="B7520">
            <v>37017709</v>
          </cell>
          <cell r="C7520">
            <v>20070335</v>
          </cell>
          <cell r="D7520">
            <v>45433</v>
          </cell>
        </row>
        <row r="7521">
          <cell r="A7521" t="str">
            <v>Vanderson Nascimento de Araújo</v>
          </cell>
          <cell r="B7521">
            <v>37017712</v>
          </cell>
          <cell r="C7521">
            <v>20070338</v>
          </cell>
          <cell r="D7521">
            <v>45433</v>
          </cell>
        </row>
        <row r="7522">
          <cell r="A7522" t="str">
            <v>Caio Vinicius Chalo</v>
          </cell>
          <cell r="B7522">
            <v>37017703</v>
          </cell>
          <cell r="C7522">
            <v>20070329</v>
          </cell>
          <cell r="D7522">
            <v>45433</v>
          </cell>
        </row>
        <row r="7523">
          <cell r="A7523" t="str">
            <v>Robson de Souza Ribeiro</v>
          </cell>
          <cell r="B7523">
            <v>37017704</v>
          </cell>
          <cell r="C7523">
            <v>20070330</v>
          </cell>
          <cell r="D7523">
            <v>45433</v>
          </cell>
        </row>
        <row r="7524">
          <cell r="A7524" t="str">
            <v>Daielle Monique dos Santos Ratti</v>
          </cell>
          <cell r="B7524">
            <v>37017707</v>
          </cell>
          <cell r="C7524">
            <v>20070333</v>
          </cell>
          <cell r="D7524">
            <v>45433</v>
          </cell>
        </row>
        <row r="7525">
          <cell r="A7525" t="str">
            <v>Roque Donizeti de Oliveira</v>
          </cell>
          <cell r="B7525">
            <v>37017710</v>
          </cell>
          <cell r="C7525">
            <v>20070336</v>
          </cell>
          <cell r="D7525">
            <v>45433</v>
          </cell>
        </row>
        <row r="7526">
          <cell r="A7526" t="str">
            <v>Igor Augusto Costa Silva</v>
          </cell>
          <cell r="B7526">
            <v>37017713</v>
          </cell>
          <cell r="C7526">
            <v>20070339</v>
          </cell>
          <cell r="D7526">
            <v>45433</v>
          </cell>
        </row>
        <row r="7527">
          <cell r="A7527" t="str">
            <v>Sergio Dos Santos</v>
          </cell>
          <cell r="B7527">
            <v>37017714</v>
          </cell>
          <cell r="C7527">
            <v>20070341</v>
          </cell>
          <cell r="D7527">
            <v>45433</v>
          </cell>
        </row>
        <row r="7528">
          <cell r="A7528" t="str">
            <v>Weslin Marcos Costa</v>
          </cell>
          <cell r="B7528">
            <v>37017715</v>
          </cell>
          <cell r="C7528">
            <v>20070342</v>
          </cell>
          <cell r="D7528">
            <v>45433</v>
          </cell>
        </row>
        <row r="7529">
          <cell r="A7529" t="str">
            <v>BRUNO CERQUEIRA RAMOS</v>
          </cell>
          <cell r="B7529">
            <v>37017717</v>
          </cell>
          <cell r="C7529">
            <v>20070344</v>
          </cell>
          <cell r="D7529">
            <v>45433</v>
          </cell>
        </row>
        <row r="7530">
          <cell r="A7530" t="str">
            <v>Pedro Afonso De Oliveira Freitas</v>
          </cell>
          <cell r="B7530">
            <v>37017722</v>
          </cell>
          <cell r="C7530">
            <v>20070349</v>
          </cell>
          <cell r="D7530">
            <v>45433</v>
          </cell>
        </row>
        <row r="7531">
          <cell r="A7531" t="str">
            <v>Diego Henrique De Campos</v>
          </cell>
          <cell r="B7531">
            <v>37017729</v>
          </cell>
          <cell r="C7531">
            <v>20070363</v>
          </cell>
          <cell r="D7531">
            <v>45433</v>
          </cell>
        </row>
        <row r="7532">
          <cell r="A7532" t="str">
            <v>Anderson Santos Pereira</v>
          </cell>
          <cell r="B7532">
            <v>37017730</v>
          </cell>
          <cell r="C7532">
            <v>20070364</v>
          </cell>
          <cell r="D7532">
            <v>45433</v>
          </cell>
        </row>
        <row r="7533">
          <cell r="A7533" t="str">
            <v>Valteir Messias de Jesus</v>
          </cell>
          <cell r="B7533">
            <v>37017735</v>
          </cell>
          <cell r="C7533">
            <v>20070369</v>
          </cell>
          <cell r="D7533">
            <v>45433</v>
          </cell>
        </row>
        <row r="7534">
          <cell r="A7534" t="str">
            <v>Vinícius Soares dos Santos</v>
          </cell>
          <cell r="B7534">
            <v>37017736</v>
          </cell>
          <cell r="C7534">
            <v>20070370</v>
          </cell>
          <cell r="D7534">
            <v>45433</v>
          </cell>
        </row>
        <row r="7535">
          <cell r="A7535" t="str">
            <v>Isac Jansen Ribeiro</v>
          </cell>
          <cell r="B7535">
            <v>37017719</v>
          </cell>
          <cell r="C7535">
            <v>20070346</v>
          </cell>
          <cell r="D7535">
            <v>45433</v>
          </cell>
        </row>
        <row r="7536">
          <cell r="A7536" t="str">
            <v>Odécio Romualdo Junior</v>
          </cell>
          <cell r="B7536">
            <v>37017720</v>
          </cell>
          <cell r="C7536">
            <v>20070347</v>
          </cell>
          <cell r="D7536">
            <v>45433</v>
          </cell>
        </row>
        <row r="7537">
          <cell r="A7537" t="str">
            <v>Joana Antonia Xavier Dos Reis</v>
          </cell>
          <cell r="B7537">
            <v>37017721</v>
          </cell>
          <cell r="C7537">
            <v>20070348</v>
          </cell>
          <cell r="D7537">
            <v>45433</v>
          </cell>
        </row>
        <row r="7538">
          <cell r="A7538" t="str">
            <v>Raul Lucas de Souza</v>
          </cell>
          <cell r="B7538">
            <v>37017724</v>
          </cell>
          <cell r="C7538">
            <v>20070358</v>
          </cell>
          <cell r="D7538">
            <v>45433</v>
          </cell>
        </row>
        <row r="7539">
          <cell r="A7539" t="str">
            <v>Everton Aparecido Oliveira</v>
          </cell>
          <cell r="B7539">
            <v>37017726</v>
          </cell>
          <cell r="C7539">
            <v>20070360</v>
          </cell>
          <cell r="D7539">
            <v>45433</v>
          </cell>
        </row>
        <row r="7540">
          <cell r="A7540" t="str">
            <v>Leonardo Rodrigues de Andrade</v>
          </cell>
          <cell r="B7540">
            <v>37017728</v>
          </cell>
          <cell r="C7540">
            <v>20070362</v>
          </cell>
          <cell r="D7540">
            <v>45433</v>
          </cell>
        </row>
        <row r="7541">
          <cell r="A7541" t="str">
            <v>Celio Moreira Da Silva</v>
          </cell>
          <cell r="B7541">
            <v>37017739</v>
          </cell>
          <cell r="C7541">
            <v>20070373</v>
          </cell>
          <cell r="D7541">
            <v>45433</v>
          </cell>
        </row>
        <row r="7542">
          <cell r="A7542" t="str">
            <v>Marcos Henrique Mota Ramos</v>
          </cell>
          <cell r="B7542">
            <v>37017745</v>
          </cell>
          <cell r="C7542">
            <v>20070379</v>
          </cell>
          <cell r="D7542">
            <v>45433</v>
          </cell>
        </row>
        <row r="7543">
          <cell r="A7543" t="str">
            <v>Igor Bardini Luciano</v>
          </cell>
          <cell r="B7543">
            <v>37017744</v>
          </cell>
          <cell r="C7543">
            <v>20070378</v>
          </cell>
          <cell r="D7543">
            <v>45433</v>
          </cell>
        </row>
        <row r="7544">
          <cell r="A7544" t="str">
            <v>Andrei Coelho Andrade</v>
          </cell>
          <cell r="B7544">
            <v>37017769</v>
          </cell>
          <cell r="C7544">
            <v>20050174</v>
          </cell>
          <cell r="D7544">
            <v>45433</v>
          </cell>
        </row>
        <row r="7545">
          <cell r="A7545" t="str">
            <v>Eduardo Gonzaga dos Santos</v>
          </cell>
          <cell r="B7545">
            <v>37016109</v>
          </cell>
          <cell r="C7545">
            <v>20063726</v>
          </cell>
          <cell r="D7545">
            <v>45300</v>
          </cell>
        </row>
        <row r="7546">
          <cell r="A7546" t="str">
            <v>Carlos André Pereira Da Silva</v>
          </cell>
          <cell r="B7546">
            <v>37017792</v>
          </cell>
          <cell r="C7546">
            <v>20070681</v>
          </cell>
          <cell r="D7546">
            <v>45433</v>
          </cell>
        </row>
        <row r="7547">
          <cell r="A7547" t="str">
            <v>Felipe Gamaleira Da Silva</v>
          </cell>
          <cell r="B7547">
            <v>37017794</v>
          </cell>
          <cell r="C7547">
            <v>20070683</v>
          </cell>
          <cell r="D7547">
            <v>45433</v>
          </cell>
        </row>
        <row r="7548">
          <cell r="A7548" t="str">
            <v>Nilton Cesar Chaves</v>
          </cell>
          <cell r="B7548">
            <v>37017785</v>
          </cell>
          <cell r="C7548">
            <v>20070674</v>
          </cell>
          <cell r="D7548">
            <v>45433</v>
          </cell>
        </row>
        <row r="7549">
          <cell r="A7549" t="str">
            <v>Jose Antonio De Oliveira</v>
          </cell>
          <cell r="B7549">
            <v>37017806</v>
          </cell>
          <cell r="C7549">
            <v>20070695</v>
          </cell>
          <cell r="D7549">
            <v>45433</v>
          </cell>
        </row>
        <row r="7550">
          <cell r="A7550" t="str">
            <v>Tamara Tobias de Oliveira</v>
          </cell>
          <cell r="B7550">
            <v>37017811</v>
          </cell>
          <cell r="C7550">
            <v>20070700</v>
          </cell>
          <cell r="D7550">
            <v>45433</v>
          </cell>
        </row>
        <row r="7551">
          <cell r="A7551" t="str">
            <v>Lincoln Marcos De Abreu</v>
          </cell>
          <cell r="B7551">
            <v>37017804</v>
          </cell>
          <cell r="C7551">
            <v>20070693</v>
          </cell>
          <cell r="D7551">
            <v>45433</v>
          </cell>
        </row>
        <row r="7552">
          <cell r="A7552" t="str">
            <v>Rosana Carvalho Da Silva</v>
          </cell>
          <cell r="B7552">
            <v>37017810</v>
          </cell>
          <cell r="C7552">
            <v>20070699</v>
          </cell>
          <cell r="D7552">
            <v>45433</v>
          </cell>
        </row>
        <row r="7553">
          <cell r="A7553" t="str">
            <v>Valdir Ozorio</v>
          </cell>
          <cell r="B7553">
            <v>37017816</v>
          </cell>
          <cell r="C7553">
            <v>20070705</v>
          </cell>
          <cell r="D7553">
            <v>45433</v>
          </cell>
        </row>
        <row r="7554">
          <cell r="A7554" t="str">
            <v>Wagner Junio Vieira  Dos  Santos</v>
          </cell>
          <cell r="B7554">
            <v>37017820</v>
          </cell>
          <cell r="C7554">
            <v>20070709</v>
          </cell>
          <cell r="D7554">
            <v>45433</v>
          </cell>
        </row>
        <row r="7555">
          <cell r="A7555" t="str">
            <v>Sebastiao De Araujo</v>
          </cell>
          <cell r="B7555">
            <v>37017814</v>
          </cell>
          <cell r="C7555">
            <v>20070703</v>
          </cell>
          <cell r="D7555">
            <v>45433</v>
          </cell>
        </row>
        <row r="7556">
          <cell r="A7556" t="str">
            <v>Luiz Wildner Casarin</v>
          </cell>
          <cell r="B7556">
            <v>37017819</v>
          </cell>
          <cell r="C7556">
            <v>20070708</v>
          </cell>
          <cell r="D7556">
            <v>45433</v>
          </cell>
        </row>
        <row r="7557">
          <cell r="A7557" t="str">
            <v>Gilmar Rocha Teixeira</v>
          </cell>
          <cell r="B7557">
            <v>37015509</v>
          </cell>
          <cell r="C7557">
            <v>20062760</v>
          </cell>
          <cell r="D7557">
            <v>45265</v>
          </cell>
        </row>
        <row r="7558">
          <cell r="A7558" t="str">
            <v>Edson Aparecido Lopes</v>
          </cell>
          <cell r="B7558">
            <v>37015825</v>
          </cell>
          <cell r="C7558">
            <v>20063539</v>
          </cell>
          <cell r="D7558">
            <v>45300</v>
          </cell>
        </row>
        <row r="7559">
          <cell r="A7559" t="str">
            <v>Marciano Alves  Evangelista</v>
          </cell>
          <cell r="B7559">
            <v>37017823</v>
          </cell>
          <cell r="C7559">
            <v>20070730</v>
          </cell>
          <cell r="D7559">
            <v>45433</v>
          </cell>
        </row>
        <row r="7560">
          <cell r="A7560" t="str">
            <v>Jefferson Carlos Da Silva</v>
          </cell>
          <cell r="B7560">
            <v>37017833</v>
          </cell>
          <cell r="C7560">
            <v>20070740</v>
          </cell>
          <cell r="D7560">
            <v>45433</v>
          </cell>
        </row>
        <row r="7561">
          <cell r="A7561" t="str">
            <v>Valtemir Souza Dos Santos</v>
          </cell>
          <cell r="B7561">
            <v>37006758</v>
          </cell>
          <cell r="C7561">
            <v>20018989</v>
          </cell>
          <cell r="D7561">
            <v>44522</v>
          </cell>
        </row>
        <row r="7562">
          <cell r="A7562" t="str">
            <v>Everton Luiz Pedroso</v>
          </cell>
          <cell r="B7562">
            <v>37015411</v>
          </cell>
          <cell r="C7562">
            <v>20062443</v>
          </cell>
          <cell r="D7562">
            <v>45251</v>
          </cell>
        </row>
        <row r="7563">
          <cell r="A7563" t="str">
            <v>Anderson Donizete Moretto</v>
          </cell>
          <cell r="B7563">
            <v>37006939</v>
          </cell>
          <cell r="C7563">
            <v>20021307</v>
          </cell>
          <cell r="D7563">
            <v>44552</v>
          </cell>
        </row>
        <row r="7564">
          <cell r="A7564" t="str">
            <v>Reginaldo Neres Sobrinho</v>
          </cell>
          <cell r="B7564">
            <v>37016805</v>
          </cell>
          <cell r="C7564">
            <v>20065304</v>
          </cell>
          <cell r="D7564">
            <v>45356</v>
          </cell>
        </row>
        <row r="7565">
          <cell r="A7565" t="str">
            <v>Marcio Pereria</v>
          </cell>
          <cell r="B7565">
            <v>37014939</v>
          </cell>
          <cell r="C7565">
            <v>20060545</v>
          </cell>
          <cell r="D7565">
            <v>45216</v>
          </cell>
        </row>
        <row r="7566">
          <cell r="A7566" t="str">
            <v>Jose Dos Santos Araujo</v>
          </cell>
          <cell r="B7566">
            <v>37015578</v>
          </cell>
          <cell r="C7566">
            <v>20062966</v>
          </cell>
          <cell r="D7566">
            <v>45272</v>
          </cell>
        </row>
        <row r="7567">
          <cell r="A7567" t="str">
            <v>Jose Ronildo Ferreira Da Silva</v>
          </cell>
          <cell r="B7567">
            <v>37016727</v>
          </cell>
          <cell r="C7567">
            <v>20064921</v>
          </cell>
          <cell r="D7567">
            <v>45356</v>
          </cell>
        </row>
        <row r="7568">
          <cell r="A7568" t="str">
            <v>Joao Alves Dos Santos</v>
          </cell>
          <cell r="B7568">
            <v>37012516</v>
          </cell>
          <cell r="C7568">
            <v>20050228</v>
          </cell>
          <cell r="D7568">
            <v>45062</v>
          </cell>
        </row>
        <row r="7569">
          <cell r="A7569" t="str">
            <v>Rodrigo Oliveira Venancio</v>
          </cell>
          <cell r="B7569">
            <v>37016106</v>
          </cell>
          <cell r="C7569">
            <v>20063718</v>
          </cell>
          <cell r="D7569">
            <v>45300</v>
          </cell>
        </row>
        <row r="7570">
          <cell r="A7570" t="str">
            <v>Everton Fernando Pereira</v>
          </cell>
          <cell r="B7570">
            <v>37016788</v>
          </cell>
          <cell r="C7570">
            <v>20065287</v>
          </cell>
          <cell r="D7570">
            <v>45356</v>
          </cell>
        </row>
        <row r="7571">
          <cell r="A7571" t="str">
            <v>Bruno Jose Ravagio</v>
          </cell>
          <cell r="B7571">
            <v>37016802</v>
          </cell>
          <cell r="C7571">
            <v>20065301</v>
          </cell>
          <cell r="D7571">
            <v>45356</v>
          </cell>
        </row>
        <row r="7572">
          <cell r="A7572" t="str">
            <v>Lorivaldo De Lima</v>
          </cell>
          <cell r="B7572">
            <v>37007139</v>
          </cell>
          <cell r="C7572">
            <v>20022943</v>
          </cell>
          <cell r="D7572">
            <v>44606</v>
          </cell>
        </row>
        <row r="7573">
          <cell r="A7573" t="str">
            <v>Fabio Candido Da Silva</v>
          </cell>
          <cell r="B7573">
            <v>37009352</v>
          </cell>
          <cell r="C7573">
            <v>20033146</v>
          </cell>
          <cell r="D7573">
            <v>44816</v>
          </cell>
        </row>
        <row r="7574">
          <cell r="A7574" t="str">
            <v>Thiago Henrique Goncalves Medolago</v>
          </cell>
          <cell r="B7574">
            <v>37016118</v>
          </cell>
          <cell r="C7574">
            <v>20063736</v>
          </cell>
          <cell r="D7574">
            <v>45300</v>
          </cell>
        </row>
        <row r="7575">
          <cell r="A7575" t="str">
            <v>Djavan Barros De Souza</v>
          </cell>
          <cell r="B7575">
            <v>37007746</v>
          </cell>
          <cell r="C7575">
            <v>20025837</v>
          </cell>
          <cell r="D7575">
            <v>44697</v>
          </cell>
        </row>
        <row r="7576">
          <cell r="A7576" t="str">
            <v>Claudio Donizeti Pequeno</v>
          </cell>
          <cell r="B7576">
            <v>37015162</v>
          </cell>
          <cell r="C7576">
            <v>20061472</v>
          </cell>
          <cell r="D7576">
            <v>45237</v>
          </cell>
        </row>
        <row r="7577">
          <cell r="A7577" t="str">
            <v>Luiz Hipolito Piccoli Junior</v>
          </cell>
          <cell r="B7577">
            <v>37015265</v>
          </cell>
          <cell r="C7577">
            <v>20061976</v>
          </cell>
          <cell r="D7577">
            <v>45243</v>
          </cell>
        </row>
        <row r="7578">
          <cell r="A7578" t="str">
            <v>Caio Rodrigo Barbosa do Amaral</v>
          </cell>
          <cell r="B7578">
            <v>37015290</v>
          </cell>
          <cell r="C7578">
            <v>20062002</v>
          </cell>
          <cell r="D7578">
            <v>45243</v>
          </cell>
        </row>
        <row r="7579">
          <cell r="A7579" t="str">
            <v>Alexandre Dos Reis Silveira</v>
          </cell>
          <cell r="B7579">
            <v>37015730</v>
          </cell>
          <cell r="C7579">
            <v>20063419</v>
          </cell>
          <cell r="D7579">
            <v>45300</v>
          </cell>
        </row>
        <row r="7580">
          <cell r="A7580" t="str">
            <v>Danilo Jose Barreto Turco</v>
          </cell>
          <cell r="B7580">
            <v>37015135</v>
          </cell>
          <cell r="C7580">
            <v>20061361</v>
          </cell>
          <cell r="D7580">
            <v>45237</v>
          </cell>
        </row>
        <row r="7581">
          <cell r="A7581" t="str">
            <v>Odair Dos Santos Cardoso</v>
          </cell>
          <cell r="B7581">
            <v>37008948</v>
          </cell>
          <cell r="C7581">
            <v>20030152</v>
          </cell>
          <cell r="D7581">
            <v>44777</v>
          </cell>
        </row>
        <row r="7582">
          <cell r="A7582" t="str">
            <v>Marcio Jose Marcato</v>
          </cell>
          <cell r="B7582">
            <v>37013498</v>
          </cell>
          <cell r="C7582">
            <v>20055394</v>
          </cell>
          <cell r="D7582">
            <v>45125</v>
          </cell>
        </row>
        <row r="7583">
          <cell r="A7583" t="str">
            <v>Julio Cesar Ribeiro De Barros</v>
          </cell>
          <cell r="B7583">
            <v>37013741</v>
          </cell>
          <cell r="C7583">
            <v>20056336</v>
          </cell>
          <cell r="D7583">
            <v>45139</v>
          </cell>
        </row>
        <row r="7584">
          <cell r="A7584" t="str">
            <v>Marcelo Augusto Fermino</v>
          </cell>
          <cell r="B7584">
            <v>37015178</v>
          </cell>
          <cell r="C7584">
            <v>20061494</v>
          </cell>
          <cell r="D7584">
            <v>45237</v>
          </cell>
        </row>
        <row r="7585">
          <cell r="A7585" t="str">
            <v>Miguel Santos Junior</v>
          </cell>
          <cell r="B7585">
            <v>37013492</v>
          </cell>
          <cell r="C7585">
            <v>20055388</v>
          </cell>
          <cell r="D7585">
            <v>45125</v>
          </cell>
        </row>
        <row r="7586">
          <cell r="A7586" t="str">
            <v>Alessandro Aparecido Porto</v>
          </cell>
          <cell r="B7586">
            <v>37013979</v>
          </cell>
          <cell r="C7586">
            <v>20057461</v>
          </cell>
          <cell r="D7586">
            <v>45153</v>
          </cell>
        </row>
        <row r="7587">
          <cell r="A7587" t="str">
            <v>Anderson Jose Borges</v>
          </cell>
          <cell r="B7587">
            <v>37014745</v>
          </cell>
          <cell r="C7587">
            <v>20059912</v>
          </cell>
          <cell r="D7587">
            <v>45202</v>
          </cell>
        </row>
        <row r="7588">
          <cell r="A7588" t="str">
            <v>Anderson Alberico Gallis</v>
          </cell>
          <cell r="B7588">
            <v>37013468</v>
          </cell>
          <cell r="C7588">
            <v>20055364</v>
          </cell>
          <cell r="D7588">
            <v>45125</v>
          </cell>
        </row>
        <row r="7589">
          <cell r="A7589" t="str">
            <v>Luciano Cesar Pedroso</v>
          </cell>
          <cell r="B7589">
            <v>37014461</v>
          </cell>
          <cell r="C7589">
            <v>20034021</v>
          </cell>
          <cell r="D7589">
            <v>45181</v>
          </cell>
        </row>
        <row r="7590">
          <cell r="A7590" t="str">
            <v>Fabricio Camargo Da Silva</v>
          </cell>
          <cell r="B7590">
            <v>37014469</v>
          </cell>
          <cell r="C7590">
            <v>20058883</v>
          </cell>
          <cell r="D7590">
            <v>45181</v>
          </cell>
        </row>
        <row r="7591">
          <cell r="A7591" t="str">
            <v>Anderson Jose Bertoncin</v>
          </cell>
          <cell r="B7591">
            <v>37013479</v>
          </cell>
          <cell r="C7591">
            <v>20055375</v>
          </cell>
          <cell r="D7591">
            <v>45125</v>
          </cell>
        </row>
        <row r="7592">
          <cell r="A7592" t="str">
            <v>Jose Prudente Melo</v>
          </cell>
          <cell r="B7592">
            <v>37014982</v>
          </cell>
          <cell r="C7592">
            <v>20060703</v>
          </cell>
          <cell r="D7592">
            <v>45216</v>
          </cell>
        </row>
        <row r="7593">
          <cell r="A7593" t="str">
            <v>Bruno Vinicius De Souza Regonato</v>
          </cell>
          <cell r="B7593">
            <v>37013481</v>
          </cell>
          <cell r="C7593">
            <v>20055377</v>
          </cell>
          <cell r="D7593">
            <v>45125</v>
          </cell>
        </row>
        <row r="7594">
          <cell r="A7594" t="str">
            <v>Fabio De Souza Lima</v>
          </cell>
          <cell r="B7594">
            <v>37013506</v>
          </cell>
          <cell r="C7594">
            <v>20055402</v>
          </cell>
          <cell r="D7594">
            <v>45125</v>
          </cell>
        </row>
        <row r="7595">
          <cell r="A7595" t="str">
            <v>Denison Eduardo De Almeida</v>
          </cell>
          <cell r="B7595">
            <v>37015077</v>
          </cell>
          <cell r="C7595">
            <v>20061116</v>
          </cell>
          <cell r="D7595">
            <v>45237</v>
          </cell>
        </row>
        <row r="7596">
          <cell r="A7596" t="str">
            <v>Fabiano Costa De Lima</v>
          </cell>
          <cell r="B7596">
            <v>37013753</v>
          </cell>
          <cell r="C7596">
            <v>20056388</v>
          </cell>
          <cell r="D7596">
            <v>45139</v>
          </cell>
        </row>
        <row r="7597">
          <cell r="A7597" t="str">
            <v>Cleiton Migliorini</v>
          </cell>
          <cell r="B7597">
            <v>37013510</v>
          </cell>
          <cell r="C7597">
            <v>20055406</v>
          </cell>
          <cell r="D7597">
            <v>45125</v>
          </cell>
        </row>
        <row r="7598">
          <cell r="A7598" t="str">
            <v>Washington Paes Guimaraes</v>
          </cell>
          <cell r="B7598">
            <v>37013882</v>
          </cell>
          <cell r="C7598">
            <v>20057041</v>
          </cell>
          <cell r="D7598">
            <v>45146</v>
          </cell>
        </row>
        <row r="7599">
          <cell r="A7599" t="str">
            <v>Elton Aparecido Fadoni</v>
          </cell>
          <cell r="B7599">
            <v>37015270</v>
          </cell>
          <cell r="C7599">
            <v>20061982</v>
          </cell>
          <cell r="D7599">
            <v>45243</v>
          </cell>
        </row>
        <row r="7600">
          <cell r="A7600" t="str">
            <v>Marcelo Joaquim</v>
          </cell>
          <cell r="B7600">
            <v>37013724</v>
          </cell>
          <cell r="C7600">
            <v>20056319</v>
          </cell>
          <cell r="D7600">
            <v>45139</v>
          </cell>
        </row>
        <row r="7601">
          <cell r="A7601" t="str">
            <v>Ueliton Pasqualinotto</v>
          </cell>
          <cell r="B7601">
            <v>37013485</v>
          </cell>
          <cell r="C7601">
            <v>20055381</v>
          </cell>
          <cell r="D7601">
            <v>45125</v>
          </cell>
        </row>
        <row r="7602">
          <cell r="A7602" t="str">
            <v>Diogenes De Carvalho</v>
          </cell>
          <cell r="B7602">
            <v>37013899</v>
          </cell>
          <cell r="C7602">
            <v>20057058</v>
          </cell>
          <cell r="D7602">
            <v>45146</v>
          </cell>
        </row>
        <row r="7603">
          <cell r="A7603" t="str">
            <v>Eder Donizeti De Souza</v>
          </cell>
          <cell r="B7603">
            <v>37013884</v>
          </cell>
          <cell r="C7603">
            <v>20057043</v>
          </cell>
          <cell r="D7603">
            <v>45146</v>
          </cell>
        </row>
        <row r="7604">
          <cell r="A7604" t="str">
            <v>Jose Roberto Aureliano</v>
          </cell>
          <cell r="B7604">
            <v>37014340</v>
          </cell>
          <cell r="C7604">
            <v>20058475</v>
          </cell>
          <cell r="D7604">
            <v>45174</v>
          </cell>
        </row>
        <row r="7605">
          <cell r="A7605" t="str">
            <v>Rogerio Antonio Da Silva</v>
          </cell>
          <cell r="B7605">
            <v>37013469</v>
          </cell>
          <cell r="C7605">
            <v>20055365</v>
          </cell>
          <cell r="D7605">
            <v>45125</v>
          </cell>
        </row>
        <row r="7606">
          <cell r="A7606" t="str">
            <v>Edson Caldeira Barbosa</v>
          </cell>
          <cell r="B7606">
            <v>37015179</v>
          </cell>
          <cell r="C7606">
            <v>20061495</v>
          </cell>
          <cell r="D7606">
            <v>45237</v>
          </cell>
        </row>
        <row r="7607">
          <cell r="A7607" t="str">
            <v>Reginaldo De Oliveira</v>
          </cell>
          <cell r="B7607">
            <v>37013720</v>
          </cell>
          <cell r="C7607">
            <v>20056315</v>
          </cell>
          <cell r="D7607">
            <v>45139</v>
          </cell>
        </row>
        <row r="7608">
          <cell r="A7608" t="str">
            <v>Regiano Rodrigues</v>
          </cell>
          <cell r="B7608">
            <v>37013870</v>
          </cell>
          <cell r="C7608">
            <v>20057003</v>
          </cell>
          <cell r="D7608">
            <v>45146</v>
          </cell>
        </row>
        <row r="7609">
          <cell r="A7609" t="str">
            <v>Carlos Eduardo Duarte Souza Campos</v>
          </cell>
          <cell r="B7609">
            <v>37014158</v>
          </cell>
          <cell r="C7609">
            <v>20057959</v>
          </cell>
          <cell r="D7609">
            <v>45174</v>
          </cell>
        </row>
        <row r="7610">
          <cell r="A7610" t="str">
            <v>Marcos Aparecido Alves</v>
          </cell>
          <cell r="B7610">
            <v>37013872</v>
          </cell>
          <cell r="C7610">
            <v>20057005</v>
          </cell>
          <cell r="D7610">
            <v>45146</v>
          </cell>
        </row>
        <row r="7611">
          <cell r="A7611" t="str">
            <v>Luciano Antonio Oliveira</v>
          </cell>
          <cell r="B7611">
            <v>37015102</v>
          </cell>
          <cell r="C7611">
            <v>20061276</v>
          </cell>
          <cell r="D7611">
            <v>45237</v>
          </cell>
        </row>
        <row r="7612">
          <cell r="A7612" t="str">
            <v>Diego De Oliveira Oller</v>
          </cell>
          <cell r="B7612">
            <v>37013860</v>
          </cell>
          <cell r="C7612">
            <v>20056993</v>
          </cell>
          <cell r="D7612">
            <v>45146</v>
          </cell>
        </row>
        <row r="7613">
          <cell r="A7613" t="str">
            <v>Milton Marcelo Gouveia</v>
          </cell>
          <cell r="B7613">
            <v>37014933</v>
          </cell>
          <cell r="C7613">
            <v>20060539</v>
          </cell>
          <cell r="D7613">
            <v>45216</v>
          </cell>
        </row>
        <row r="7614">
          <cell r="A7614" t="str">
            <v>Adenilson Jose Jana</v>
          </cell>
          <cell r="B7614">
            <v>37014729</v>
          </cell>
          <cell r="C7614">
            <v>20059813</v>
          </cell>
          <cell r="D7614">
            <v>45202</v>
          </cell>
        </row>
        <row r="7615">
          <cell r="A7615" t="str">
            <v>Daniel Elias De Siqueira</v>
          </cell>
          <cell r="B7615">
            <v>37014194</v>
          </cell>
          <cell r="C7615">
            <v>20057993</v>
          </cell>
          <cell r="D7615">
            <v>45174</v>
          </cell>
        </row>
        <row r="7616">
          <cell r="A7616" t="str">
            <v>Lucio Donizete Pantarotto</v>
          </cell>
          <cell r="B7616">
            <v>37013747</v>
          </cell>
          <cell r="C7616">
            <v>20056382</v>
          </cell>
          <cell r="D7616">
            <v>45139</v>
          </cell>
        </row>
        <row r="7617">
          <cell r="A7617" t="str">
            <v>Evandro De Oliveira</v>
          </cell>
          <cell r="B7617">
            <v>37013848</v>
          </cell>
          <cell r="C7617">
            <v>20056981</v>
          </cell>
          <cell r="D7617">
            <v>45146</v>
          </cell>
        </row>
        <row r="7618">
          <cell r="A7618" t="str">
            <v>Josuel Aparecido Cavalcanti</v>
          </cell>
          <cell r="B7618">
            <v>37013874</v>
          </cell>
          <cell r="C7618">
            <v>20057007</v>
          </cell>
          <cell r="D7618">
            <v>45146</v>
          </cell>
        </row>
        <row r="7619">
          <cell r="A7619" t="str">
            <v>Gilberto Rodrigues Campos</v>
          </cell>
          <cell r="B7619">
            <v>37014999</v>
          </cell>
          <cell r="C7619">
            <v>20060745</v>
          </cell>
          <cell r="D7619">
            <v>45216</v>
          </cell>
        </row>
        <row r="7620">
          <cell r="A7620" t="str">
            <v>Ailton Pereira</v>
          </cell>
          <cell r="B7620">
            <v>37014054</v>
          </cell>
          <cell r="C7620">
            <v>20057740</v>
          </cell>
          <cell r="D7620">
            <v>45160</v>
          </cell>
        </row>
        <row r="7621">
          <cell r="A7621" t="str">
            <v>Erison Fernando Vieira</v>
          </cell>
          <cell r="B7621">
            <v>37013859</v>
          </cell>
          <cell r="C7621">
            <v>20056992</v>
          </cell>
          <cell r="D7621">
            <v>45146</v>
          </cell>
        </row>
        <row r="7622">
          <cell r="A7622" t="str">
            <v>Jonas Alencar Daniel</v>
          </cell>
          <cell r="B7622">
            <v>37013729</v>
          </cell>
          <cell r="C7622">
            <v>20056324</v>
          </cell>
          <cell r="D7622">
            <v>45139</v>
          </cell>
        </row>
        <row r="7623">
          <cell r="A7623" t="str">
            <v>Julio Cesar Custodio</v>
          </cell>
          <cell r="B7623">
            <v>37013850</v>
          </cell>
          <cell r="C7623">
            <v>20056983</v>
          </cell>
          <cell r="D7623">
            <v>45146</v>
          </cell>
        </row>
        <row r="7624">
          <cell r="A7624" t="str">
            <v>Victor Fernandes Corsini</v>
          </cell>
          <cell r="B7624">
            <v>37017845</v>
          </cell>
          <cell r="C7624">
            <v>20070852</v>
          </cell>
          <cell r="D7624">
            <v>45447</v>
          </cell>
        </row>
        <row r="7625">
          <cell r="A7625" t="str">
            <v>Eric Lini Prestes</v>
          </cell>
          <cell r="B7625">
            <v>37017844</v>
          </cell>
          <cell r="C7625">
            <v>20070851</v>
          </cell>
          <cell r="D7625">
            <v>45447</v>
          </cell>
        </row>
        <row r="7626">
          <cell r="A7626" t="str">
            <v>Emanoel Da Costa Oliveira</v>
          </cell>
          <cell r="B7626">
            <v>37017848</v>
          </cell>
          <cell r="C7626">
            <v>20070855</v>
          </cell>
          <cell r="D7626">
            <v>45447</v>
          </cell>
        </row>
        <row r="7627">
          <cell r="A7627" t="str">
            <v>Bruno Otávio Pedro</v>
          </cell>
          <cell r="B7627">
            <v>37017851</v>
          </cell>
          <cell r="C7627">
            <v>20070858</v>
          </cell>
          <cell r="D7627">
            <v>45447</v>
          </cell>
        </row>
        <row r="7628">
          <cell r="A7628" t="str">
            <v>Marlon Cabrini Marini</v>
          </cell>
          <cell r="B7628">
            <v>37017850</v>
          </cell>
          <cell r="C7628">
            <v>20070857</v>
          </cell>
          <cell r="D7628">
            <v>45447</v>
          </cell>
        </row>
        <row r="7629">
          <cell r="A7629" t="str">
            <v>Wilson Aparecido Rodrigues</v>
          </cell>
          <cell r="B7629">
            <v>37017842</v>
          </cell>
          <cell r="C7629">
            <v>20070340</v>
          </cell>
          <cell r="D7629">
            <v>45447</v>
          </cell>
        </row>
        <row r="7630">
          <cell r="A7630" t="str">
            <v>Lucas Emanuel da Silva</v>
          </cell>
          <cell r="B7630">
            <v>37013864</v>
          </cell>
          <cell r="C7630">
            <v>20056997</v>
          </cell>
          <cell r="D7630">
            <v>45146</v>
          </cell>
        </row>
        <row r="7631">
          <cell r="A7631" t="str">
            <v>William Alex Theodoro</v>
          </cell>
          <cell r="B7631">
            <v>37014013</v>
          </cell>
          <cell r="C7631">
            <v>20057503</v>
          </cell>
          <cell r="D7631">
            <v>45153</v>
          </cell>
        </row>
        <row r="7632">
          <cell r="A7632" t="str">
            <v>Julio Cesar Dos Santos</v>
          </cell>
          <cell r="B7632">
            <v>37013683</v>
          </cell>
          <cell r="C7632">
            <v>20056246</v>
          </cell>
          <cell r="D7632">
            <v>45139</v>
          </cell>
        </row>
        <row r="7633">
          <cell r="A7633" t="str">
            <v>Andre Luiz Alves Dos Santos</v>
          </cell>
          <cell r="B7633">
            <v>37013862</v>
          </cell>
          <cell r="C7633">
            <v>20056995</v>
          </cell>
          <cell r="D7633">
            <v>45146</v>
          </cell>
        </row>
        <row r="7634">
          <cell r="A7634" t="str">
            <v>Bruno Rodrigues de Morais</v>
          </cell>
          <cell r="B7634">
            <v>37014761</v>
          </cell>
          <cell r="C7634">
            <v>20059966</v>
          </cell>
          <cell r="D7634">
            <v>45202</v>
          </cell>
        </row>
        <row r="7635">
          <cell r="A7635" t="str">
            <v>VITOR HELIO DANTAS PURIDELI</v>
          </cell>
          <cell r="B7635">
            <v>37014789</v>
          </cell>
          <cell r="C7635">
            <v>20060006</v>
          </cell>
          <cell r="D7635">
            <v>45202</v>
          </cell>
        </row>
        <row r="7636">
          <cell r="A7636" t="str">
            <v>Mara Lucia Rosa De Melo</v>
          </cell>
          <cell r="B7636">
            <v>37017859</v>
          </cell>
          <cell r="C7636">
            <v>20070889</v>
          </cell>
          <cell r="D7636">
            <v>45447</v>
          </cell>
        </row>
        <row r="7637">
          <cell r="A7637" t="str">
            <v>Manoel Elson Castro Goes</v>
          </cell>
          <cell r="B7637">
            <v>37017867</v>
          </cell>
          <cell r="C7637">
            <v>20070897</v>
          </cell>
          <cell r="D7637">
            <v>45447</v>
          </cell>
        </row>
        <row r="7638">
          <cell r="A7638" t="str">
            <v>Edson Gomes Pereira</v>
          </cell>
          <cell r="B7638">
            <v>37017869</v>
          </cell>
          <cell r="C7638">
            <v>20070899</v>
          </cell>
          <cell r="D7638">
            <v>45447</v>
          </cell>
        </row>
        <row r="7639">
          <cell r="A7639" t="str">
            <v>EDMILSON APARECIDO DA SILVA</v>
          </cell>
          <cell r="B7639">
            <v>37017854</v>
          </cell>
          <cell r="C7639">
            <v>20070884</v>
          </cell>
          <cell r="D7639">
            <v>45447</v>
          </cell>
        </row>
        <row r="7640">
          <cell r="A7640" t="str">
            <v>Julia Alvarez Arantes</v>
          </cell>
          <cell r="B7640">
            <v>37017853</v>
          </cell>
          <cell r="C7640">
            <v>20009423</v>
          </cell>
          <cell r="D7640">
            <v>45447</v>
          </cell>
        </row>
        <row r="7641">
          <cell r="A7641" t="str">
            <v>Elismar Aparecido Goulart</v>
          </cell>
          <cell r="B7641">
            <v>37017855</v>
          </cell>
          <cell r="C7641">
            <v>20070885</v>
          </cell>
          <cell r="D7641">
            <v>45447</v>
          </cell>
        </row>
        <row r="7642">
          <cell r="A7642" t="str">
            <v>Bruno Aparecido De Villa</v>
          </cell>
          <cell r="B7642">
            <v>37017866</v>
          </cell>
          <cell r="C7642">
            <v>20070896</v>
          </cell>
          <cell r="D7642">
            <v>45447</v>
          </cell>
        </row>
        <row r="7643">
          <cell r="A7643" t="str">
            <v>Emerson Luiz Rodrigues</v>
          </cell>
          <cell r="B7643">
            <v>37017872</v>
          </cell>
          <cell r="C7643">
            <v>20070919</v>
          </cell>
          <cell r="D7643">
            <v>45447</v>
          </cell>
        </row>
        <row r="7644">
          <cell r="A7644" t="str">
            <v>Marco Elizio Ferreira Barbosa</v>
          </cell>
          <cell r="B7644">
            <v>37017873</v>
          </cell>
          <cell r="C7644">
            <v>20070920</v>
          </cell>
          <cell r="D7644">
            <v>45447</v>
          </cell>
        </row>
        <row r="7645">
          <cell r="A7645" t="str">
            <v>Marcio Donizeti De Campos</v>
          </cell>
          <cell r="B7645">
            <v>37017876</v>
          </cell>
          <cell r="C7645">
            <v>20070923</v>
          </cell>
          <cell r="D7645">
            <v>45447</v>
          </cell>
        </row>
        <row r="7646">
          <cell r="A7646" t="str">
            <v>Douglas Rafael Marino</v>
          </cell>
          <cell r="B7646">
            <v>37017881</v>
          </cell>
          <cell r="C7646">
            <v>20070928</v>
          </cell>
          <cell r="D7646">
            <v>45447</v>
          </cell>
        </row>
        <row r="7647">
          <cell r="A7647" t="str">
            <v>Hercules Messias Lopes Pereira</v>
          </cell>
          <cell r="B7647">
            <v>37017886</v>
          </cell>
          <cell r="C7647">
            <v>20070933</v>
          </cell>
          <cell r="D7647">
            <v>45447</v>
          </cell>
        </row>
        <row r="7648">
          <cell r="A7648" t="str">
            <v>Adriana Cristina Lopes Pereira</v>
          </cell>
          <cell r="B7648">
            <v>37017887</v>
          </cell>
          <cell r="C7648">
            <v>20070934</v>
          </cell>
          <cell r="D7648">
            <v>45447</v>
          </cell>
        </row>
        <row r="7649">
          <cell r="A7649" t="str">
            <v>Rodrigo Dias Da Silva</v>
          </cell>
          <cell r="B7649">
            <v>37017875</v>
          </cell>
          <cell r="C7649">
            <v>20070922</v>
          </cell>
          <cell r="D7649">
            <v>45447</v>
          </cell>
        </row>
        <row r="7650">
          <cell r="A7650" t="str">
            <v>Jose Edney Cordeiro de Godoi</v>
          </cell>
          <cell r="B7650">
            <v>37017878</v>
          </cell>
          <cell r="C7650">
            <v>20070925</v>
          </cell>
          <cell r="D7650">
            <v>45447</v>
          </cell>
        </row>
        <row r="7651">
          <cell r="A7651" t="str">
            <v>DIESLEY OLGA HOMERCHER MACHADO VEDOVOTTO</v>
          </cell>
          <cell r="B7651">
            <v>37017879</v>
          </cell>
          <cell r="C7651">
            <v>20070926</v>
          </cell>
          <cell r="D7651">
            <v>45447</v>
          </cell>
        </row>
        <row r="7652">
          <cell r="A7652" t="str">
            <v>Edilaine Maria Dos Santos</v>
          </cell>
          <cell r="B7652">
            <v>37017882</v>
          </cell>
          <cell r="C7652">
            <v>20070929</v>
          </cell>
          <cell r="D7652">
            <v>45447</v>
          </cell>
        </row>
        <row r="7653">
          <cell r="A7653" t="str">
            <v>Jailson Da Silva De Freitas</v>
          </cell>
          <cell r="B7653">
            <v>37017883</v>
          </cell>
          <cell r="C7653">
            <v>20070930</v>
          </cell>
          <cell r="D7653">
            <v>45447</v>
          </cell>
        </row>
        <row r="7654">
          <cell r="A7654" t="str">
            <v>Carlos Gomes Da Costa Filho</v>
          </cell>
          <cell r="B7654">
            <v>37017885</v>
          </cell>
          <cell r="C7654">
            <v>20070932</v>
          </cell>
          <cell r="D7654">
            <v>45447</v>
          </cell>
        </row>
        <row r="7655">
          <cell r="A7655" t="str">
            <v>Raissa Souza Botin</v>
          </cell>
          <cell r="B7655">
            <v>37017890</v>
          </cell>
          <cell r="C7655">
            <v>20070937</v>
          </cell>
          <cell r="D7655">
            <v>45447</v>
          </cell>
        </row>
        <row r="7656">
          <cell r="A7656" t="str">
            <v>Everton da Silva Oliveira</v>
          </cell>
          <cell r="B7656">
            <v>37017891</v>
          </cell>
          <cell r="C7656">
            <v>20070938</v>
          </cell>
          <cell r="D7656">
            <v>45447</v>
          </cell>
        </row>
        <row r="7657">
          <cell r="A7657" t="str">
            <v>Regiane De Souza Da Silva</v>
          </cell>
          <cell r="B7657">
            <v>37017892</v>
          </cell>
          <cell r="C7657">
            <v>20070939</v>
          </cell>
          <cell r="D7657">
            <v>45447</v>
          </cell>
        </row>
        <row r="7658">
          <cell r="A7658" t="str">
            <v>Luis Felipe Macedo De Almeida</v>
          </cell>
          <cell r="B7658">
            <v>37017893</v>
          </cell>
          <cell r="C7658">
            <v>20070940</v>
          </cell>
          <cell r="D7658">
            <v>45447</v>
          </cell>
        </row>
        <row r="7659">
          <cell r="A7659" t="str">
            <v>Renan dos Santos Pereira Duque</v>
          </cell>
          <cell r="B7659">
            <v>37017894</v>
          </cell>
          <cell r="C7659">
            <v>20070941</v>
          </cell>
          <cell r="D7659">
            <v>45447</v>
          </cell>
        </row>
        <row r="7660">
          <cell r="A7660" t="str">
            <v>Rangel Cavalcante Santos</v>
          </cell>
          <cell r="B7660">
            <v>37017895</v>
          </cell>
          <cell r="C7660">
            <v>20070942</v>
          </cell>
          <cell r="D7660">
            <v>45447</v>
          </cell>
        </row>
        <row r="7661">
          <cell r="A7661" t="str">
            <v>Joao Luiz Neves Cezarotti</v>
          </cell>
          <cell r="B7661">
            <v>37008757</v>
          </cell>
          <cell r="C7661">
            <v>20032364</v>
          </cell>
          <cell r="D7661">
            <v>44774</v>
          </cell>
        </row>
        <row r="7662">
          <cell r="A7662" t="str">
            <v>Rafael De Paula</v>
          </cell>
          <cell r="B7662">
            <v>37017896</v>
          </cell>
          <cell r="C7662">
            <v>20070943</v>
          </cell>
          <cell r="D7662">
            <v>45447</v>
          </cell>
        </row>
        <row r="7663">
          <cell r="A7663" t="str">
            <v>Matheus Martins Leal</v>
          </cell>
          <cell r="B7663">
            <v>37017900</v>
          </cell>
          <cell r="C7663">
            <v>20070947</v>
          </cell>
          <cell r="D7663">
            <v>45447</v>
          </cell>
        </row>
        <row r="7664">
          <cell r="A7664" t="str">
            <v>Josiel Soares Dos Santos</v>
          </cell>
          <cell r="B7664">
            <v>37017904</v>
          </cell>
          <cell r="C7664">
            <v>20070951</v>
          </cell>
          <cell r="D7664">
            <v>45447</v>
          </cell>
        </row>
        <row r="7665">
          <cell r="A7665" t="str">
            <v>Danilo Jose Camargo Silva</v>
          </cell>
          <cell r="B7665">
            <v>37017909</v>
          </cell>
          <cell r="C7665">
            <v>20070956</v>
          </cell>
          <cell r="D7665">
            <v>45447</v>
          </cell>
        </row>
        <row r="7666">
          <cell r="A7666" t="str">
            <v>Daniel Vitor Teodoro</v>
          </cell>
          <cell r="B7666">
            <v>37017911</v>
          </cell>
          <cell r="C7666">
            <v>20070958</v>
          </cell>
          <cell r="D7666">
            <v>45447</v>
          </cell>
        </row>
        <row r="7667">
          <cell r="A7667" t="str">
            <v>Fabio Jose Assuncao</v>
          </cell>
          <cell r="B7667">
            <v>37017902</v>
          </cell>
          <cell r="C7667">
            <v>20070949</v>
          </cell>
          <cell r="D7667">
            <v>45447</v>
          </cell>
        </row>
        <row r="7668">
          <cell r="A7668" t="str">
            <v>William Felipe Freire Almeida</v>
          </cell>
          <cell r="B7668">
            <v>37017906</v>
          </cell>
          <cell r="C7668">
            <v>20070953</v>
          </cell>
          <cell r="D7668">
            <v>45447</v>
          </cell>
        </row>
        <row r="7669">
          <cell r="A7669" t="str">
            <v>Wesley Richard Lopes</v>
          </cell>
          <cell r="B7669">
            <v>37017907</v>
          </cell>
          <cell r="C7669">
            <v>20070954</v>
          </cell>
          <cell r="D7669">
            <v>45447</v>
          </cell>
        </row>
        <row r="7670">
          <cell r="A7670" t="str">
            <v>Marcos Da Silva Rogero</v>
          </cell>
          <cell r="B7670">
            <v>37017917</v>
          </cell>
          <cell r="C7670">
            <v>20070964</v>
          </cell>
          <cell r="D7670">
            <v>45447</v>
          </cell>
        </row>
        <row r="7671">
          <cell r="A7671" t="str">
            <v>EVERTON DA SILVA ORTEGA</v>
          </cell>
          <cell r="B7671">
            <v>37017924</v>
          </cell>
          <cell r="C7671">
            <v>20070971</v>
          </cell>
          <cell r="D7671">
            <v>45447</v>
          </cell>
        </row>
        <row r="7672">
          <cell r="A7672" t="str">
            <v>Marcos Victor Sousa Cavalcanti</v>
          </cell>
          <cell r="B7672">
            <v>37017920</v>
          </cell>
          <cell r="C7672">
            <v>20070967</v>
          </cell>
          <cell r="D7672">
            <v>45447</v>
          </cell>
        </row>
        <row r="7673">
          <cell r="A7673" t="str">
            <v>Wesllei Dos Santos Ramos</v>
          </cell>
          <cell r="B7673">
            <v>37017921</v>
          </cell>
          <cell r="C7673">
            <v>20070968</v>
          </cell>
          <cell r="D7673">
            <v>45447</v>
          </cell>
        </row>
        <row r="7674">
          <cell r="A7674" t="str">
            <v>Ivanize Maria de Oliveira Lima</v>
          </cell>
          <cell r="B7674">
            <v>37017926</v>
          </cell>
          <cell r="C7674">
            <v>20071184</v>
          </cell>
          <cell r="D7674">
            <v>45447</v>
          </cell>
        </row>
        <row r="7675">
          <cell r="A7675" t="str">
            <v>Glauco Simão Zanata</v>
          </cell>
          <cell r="B7675">
            <v>37017927</v>
          </cell>
          <cell r="C7675">
            <v>20071185</v>
          </cell>
          <cell r="D7675">
            <v>45447</v>
          </cell>
        </row>
        <row r="7676">
          <cell r="A7676" t="str">
            <v>Vitor Guilherme Aguiar Marques</v>
          </cell>
          <cell r="B7676">
            <v>37017934</v>
          </cell>
          <cell r="C7676">
            <v>20071192</v>
          </cell>
          <cell r="D7676">
            <v>45447</v>
          </cell>
        </row>
        <row r="7677">
          <cell r="A7677" t="str">
            <v>Idineia de Souza Lemes</v>
          </cell>
          <cell r="B7677">
            <v>37017928</v>
          </cell>
          <cell r="C7677">
            <v>20071186</v>
          </cell>
          <cell r="D7677">
            <v>45447</v>
          </cell>
        </row>
        <row r="7678">
          <cell r="A7678" t="str">
            <v>Nelson Costa Filho</v>
          </cell>
          <cell r="B7678">
            <v>37017929</v>
          </cell>
          <cell r="C7678">
            <v>20071187</v>
          </cell>
          <cell r="D7678">
            <v>45447</v>
          </cell>
        </row>
        <row r="7679">
          <cell r="A7679" t="str">
            <v>Cleber de Jesus Almeida</v>
          </cell>
          <cell r="B7679">
            <v>37017930</v>
          </cell>
          <cell r="C7679">
            <v>20071188</v>
          </cell>
          <cell r="D7679">
            <v>45447</v>
          </cell>
        </row>
        <row r="7680">
          <cell r="A7680" t="str">
            <v>Luis Paulo Gobbo dos Santos Santos Santos</v>
          </cell>
          <cell r="B7680">
            <v>37017931</v>
          </cell>
          <cell r="C7680">
            <v>20071189</v>
          </cell>
          <cell r="D7680">
            <v>45447</v>
          </cell>
        </row>
        <row r="7681">
          <cell r="A7681" t="str">
            <v>Walisson De Sousa Silva</v>
          </cell>
          <cell r="B7681">
            <v>37017932</v>
          </cell>
          <cell r="C7681">
            <v>20071190</v>
          </cell>
          <cell r="D7681">
            <v>45447</v>
          </cell>
        </row>
        <row r="7682">
          <cell r="A7682" t="str">
            <v>Arlindo Lucas Camargo</v>
          </cell>
          <cell r="B7682">
            <v>37014990</v>
          </cell>
          <cell r="C7682">
            <v>20060711</v>
          </cell>
          <cell r="D7682">
            <v>45216</v>
          </cell>
        </row>
        <row r="7683">
          <cell r="A7683" t="str">
            <v>Graciel Ferreira</v>
          </cell>
          <cell r="B7683">
            <v>37017936</v>
          </cell>
          <cell r="C7683">
            <v>20071194</v>
          </cell>
          <cell r="D7683">
            <v>45447</v>
          </cell>
        </row>
        <row r="7684">
          <cell r="A7684" t="str">
            <v>Mateus da Silva Barbosa</v>
          </cell>
          <cell r="B7684">
            <v>37017939</v>
          </cell>
          <cell r="C7684">
            <v>20071206</v>
          </cell>
          <cell r="D7684">
            <v>45447</v>
          </cell>
        </row>
        <row r="7685">
          <cell r="A7685" t="str">
            <v>Paulo Louzano Magalhaes</v>
          </cell>
          <cell r="B7685">
            <v>37017942</v>
          </cell>
          <cell r="C7685">
            <v>20071210</v>
          </cell>
          <cell r="D7685">
            <v>45447</v>
          </cell>
        </row>
        <row r="7686">
          <cell r="A7686" t="str">
            <v>Josuel Da Cruz Oliveira</v>
          </cell>
          <cell r="B7686">
            <v>37017937</v>
          </cell>
          <cell r="C7686">
            <v>20071195</v>
          </cell>
          <cell r="D7686">
            <v>45447</v>
          </cell>
        </row>
        <row r="7687">
          <cell r="A7687" t="str">
            <v>Luiz Fernando De Castro</v>
          </cell>
          <cell r="B7687">
            <v>37017940</v>
          </cell>
          <cell r="C7687">
            <v>20071207</v>
          </cell>
          <cell r="D7687">
            <v>45447</v>
          </cell>
        </row>
        <row r="7688">
          <cell r="A7688" t="str">
            <v>Matheus Henrique Jurach</v>
          </cell>
          <cell r="B7688">
            <v>37017941</v>
          </cell>
          <cell r="C7688">
            <v>20071208</v>
          </cell>
          <cell r="D7688">
            <v>45447</v>
          </cell>
        </row>
        <row r="7689">
          <cell r="A7689" t="str">
            <v>Jaina Amaro Silva Machado</v>
          </cell>
          <cell r="B7689">
            <v>37017947</v>
          </cell>
          <cell r="C7689">
            <v>20071215</v>
          </cell>
          <cell r="D7689">
            <v>45447</v>
          </cell>
        </row>
        <row r="7690">
          <cell r="A7690" t="str">
            <v>Alex Pires Brisola</v>
          </cell>
          <cell r="B7690">
            <v>37017950</v>
          </cell>
          <cell r="C7690">
            <v>20071218</v>
          </cell>
          <cell r="D7690">
            <v>45447</v>
          </cell>
        </row>
        <row r="7691">
          <cell r="A7691" t="str">
            <v>JOSÉ JÚNIOR DOS SANTOS VIANA</v>
          </cell>
          <cell r="B7691">
            <v>37017952</v>
          </cell>
          <cell r="C7691">
            <v>20071220</v>
          </cell>
          <cell r="D7691">
            <v>45447</v>
          </cell>
        </row>
        <row r="7692">
          <cell r="A7692" t="str">
            <v>Carlos Alexandre De Souza Pereira</v>
          </cell>
          <cell r="B7692">
            <v>37017954</v>
          </cell>
          <cell r="C7692">
            <v>20071222</v>
          </cell>
          <cell r="D7692">
            <v>45447</v>
          </cell>
        </row>
        <row r="7693">
          <cell r="A7693" t="str">
            <v>Antonio Da Silva</v>
          </cell>
          <cell r="B7693">
            <v>37017961</v>
          </cell>
          <cell r="C7693">
            <v>20071229</v>
          </cell>
          <cell r="D7693">
            <v>45447</v>
          </cell>
        </row>
        <row r="7694">
          <cell r="A7694" t="str">
            <v>Natanael Teodoro dos Santos</v>
          </cell>
          <cell r="B7694">
            <v>37017963</v>
          </cell>
          <cell r="C7694">
            <v>20071231</v>
          </cell>
          <cell r="D7694">
            <v>45447</v>
          </cell>
        </row>
        <row r="7695">
          <cell r="A7695" t="str">
            <v>Pedro Gabriel Domingues Pereira</v>
          </cell>
          <cell r="B7695">
            <v>37017951</v>
          </cell>
          <cell r="C7695">
            <v>20071219</v>
          </cell>
          <cell r="D7695">
            <v>45447</v>
          </cell>
        </row>
        <row r="7696">
          <cell r="A7696" t="str">
            <v>Patrick Tieris de Oliveira</v>
          </cell>
          <cell r="B7696">
            <v>37017953</v>
          </cell>
          <cell r="C7696">
            <v>20071221</v>
          </cell>
          <cell r="D7696">
            <v>45447</v>
          </cell>
        </row>
        <row r="7697">
          <cell r="A7697" t="str">
            <v>Cleberson Roberto Peres Lopes</v>
          </cell>
          <cell r="B7697">
            <v>37017957</v>
          </cell>
          <cell r="C7697">
            <v>20071225</v>
          </cell>
          <cell r="D7697">
            <v>45447</v>
          </cell>
        </row>
        <row r="7698">
          <cell r="A7698" t="str">
            <v>Maria Julia Lucas Cordeiro</v>
          </cell>
          <cell r="B7698">
            <v>37017958</v>
          </cell>
          <cell r="C7698">
            <v>20071226</v>
          </cell>
          <cell r="D7698">
            <v>45447</v>
          </cell>
        </row>
        <row r="7699">
          <cell r="A7699" t="str">
            <v>Matheus Ferreira De Carvalho</v>
          </cell>
          <cell r="B7699">
            <v>37017959</v>
          </cell>
          <cell r="C7699">
            <v>20071227</v>
          </cell>
          <cell r="D7699">
            <v>45447</v>
          </cell>
        </row>
        <row r="7700">
          <cell r="A7700" t="str">
            <v>Eneias Cesar Vargem</v>
          </cell>
          <cell r="B7700">
            <v>37017962</v>
          </cell>
          <cell r="C7700">
            <v>20071230</v>
          </cell>
          <cell r="D7700">
            <v>45447</v>
          </cell>
        </row>
        <row r="7701">
          <cell r="A7701" t="str">
            <v>Clodoaldo Silva Porto</v>
          </cell>
          <cell r="B7701">
            <v>37017967</v>
          </cell>
          <cell r="C7701">
            <v>20071235</v>
          </cell>
          <cell r="D7701">
            <v>45447</v>
          </cell>
        </row>
        <row r="7702">
          <cell r="A7702" t="str">
            <v>Edson Francisco da Silva</v>
          </cell>
          <cell r="B7702">
            <v>37017968</v>
          </cell>
          <cell r="C7702">
            <v>20071236</v>
          </cell>
          <cell r="D7702">
            <v>45447</v>
          </cell>
        </row>
        <row r="7703">
          <cell r="A7703" t="str">
            <v>Rodrigo Mendes Da Silva</v>
          </cell>
          <cell r="B7703">
            <v>37017925</v>
          </cell>
          <cell r="C7703">
            <v>20041874</v>
          </cell>
          <cell r="D7703">
            <v>45447</v>
          </cell>
        </row>
        <row r="7704">
          <cell r="A7704" t="str">
            <v>Guilherme Oliveira Da Silva</v>
          </cell>
          <cell r="B7704">
            <v>37017977</v>
          </cell>
          <cell r="C7704">
            <v>20071245</v>
          </cell>
          <cell r="D7704">
            <v>45447</v>
          </cell>
        </row>
        <row r="7705">
          <cell r="A7705" t="str">
            <v>Hebert Jean De Camargo</v>
          </cell>
          <cell r="B7705">
            <v>37017978</v>
          </cell>
          <cell r="C7705">
            <v>20071246</v>
          </cell>
          <cell r="D7705">
            <v>45447</v>
          </cell>
        </row>
        <row r="7706">
          <cell r="A7706" t="str">
            <v>Camila Domingues Garcia</v>
          </cell>
          <cell r="B7706">
            <v>37017975</v>
          </cell>
          <cell r="C7706">
            <v>20071243</v>
          </cell>
          <cell r="D7706">
            <v>45447</v>
          </cell>
        </row>
        <row r="7707">
          <cell r="A7707" t="str">
            <v>Aguinaldo Nogueira Junior</v>
          </cell>
          <cell r="B7707">
            <v>37006687</v>
          </cell>
          <cell r="C7707">
            <v>20018760</v>
          </cell>
          <cell r="D7707">
            <v>44503</v>
          </cell>
        </row>
        <row r="7708">
          <cell r="A7708" t="str">
            <v>Bruno Henrique Dos Santos De Oliveira</v>
          </cell>
          <cell r="B7708">
            <v>37002550</v>
          </cell>
          <cell r="C7708">
            <v>20008721</v>
          </cell>
          <cell r="D7708">
            <v>43381</v>
          </cell>
        </row>
        <row r="7709">
          <cell r="A7709" t="str">
            <v>Junior Nascimento Da Silva</v>
          </cell>
          <cell r="B7709">
            <v>37003565</v>
          </cell>
          <cell r="C7709">
            <v>20009442</v>
          </cell>
          <cell r="D7709">
            <v>43696</v>
          </cell>
        </row>
        <row r="7710">
          <cell r="A7710" t="str">
            <v>RAFAEL DE SOUZA MARTINIANO</v>
          </cell>
          <cell r="B7710">
            <v>37010839</v>
          </cell>
          <cell r="C7710">
            <v>20041235</v>
          </cell>
          <cell r="D7710">
            <v>44942</v>
          </cell>
        </row>
        <row r="7711">
          <cell r="A7711" t="str">
            <v>Gustavo Henrique Forner</v>
          </cell>
          <cell r="B7711">
            <v>37007817</v>
          </cell>
          <cell r="C7711">
            <v>20026123</v>
          </cell>
          <cell r="D7711">
            <v>44704</v>
          </cell>
        </row>
        <row r="7712">
          <cell r="A7712" t="str">
            <v>Gabriel Antonio Estrada</v>
          </cell>
          <cell r="B7712">
            <v>37010194</v>
          </cell>
          <cell r="C7712">
            <v>20038577</v>
          </cell>
          <cell r="D7712">
            <v>44886</v>
          </cell>
        </row>
        <row r="7713">
          <cell r="A7713" t="str">
            <v>Edson Aparecido Vitalino</v>
          </cell>
          <cell r="B7713">
            <v>37006622</v>
          </cell>
          <cell r="C7713">
            <v>20018187</v>
          </cell>
          <cell r="D7713">
            <v>44487</v>
          </cell>
        </row>
        <row r="7714">
          <cell r="A7714" t="str">
            <v>Valquiria Marques De Oliveira Chagas</v>
          </cell>
          <cell r="B7714">
            <v>37013274</v>
          </cell>
          <cell r="C7714">
            <v>20053631</v>
          </cell>
          <cell r="D7714">
            <v>45111</v>
          </cell>
        </row>
        <row r="7715">
          <cell r="A7715" t="str">
            <v>Rogerio da Silva</v>
          </cell>
          <cell r="B7715">
            <v>37012320</v>
          </cell>
          <cell r="C7715">
            <v>20049278</v>
          </cell>
          <cell r="D7715">
            <v>45048</v>
          </cell>
        </row>
        <row r="7716">
          <cell r="A7716" t="str">
            <v>Jefferson Rodrigo Poli</v>
          </cell>
          <cell r="B7716">
            <v>37012520</v>
          </cell>
          <cell r="C7716">
            <v>20050232</v>
          </cell>
          <cell r="D7716">
            <v>45062</v>
          </cell>
        </row>
        <row r="7717">
          <cell r="A7717" t="str">
            <v>Emerson Jose Alves Carneiro</v>
          </cell>
          <cell r="B7717">
            <v>37013224</v>
          </cell>
          <cell r="C7717">
            <v>20053545</v>
          </cell>
          <cell r="D7717">
            <v>45111</v>
          </cell>
        </row>
        <row r="7718">
          <cell r="A7718" t="str">
            <v>Guilherme Otavio Farias Simoni</v>
          </cell>
          <cell r="B7718">
            <v>37006583</v>
          </cell>
          <cell r="C7718">
            <v>20018156</v>
          </cell>
          <cell r="D7718">
            <v>44482</v>
          </cell>
        </row>
        <row r="7719">
          <cell r="A7719" t="str">
            <v>Marcio Julio De Souza</v>
          </cell>
          <cell r="B7719">
            <v>37009378</v>
          </cell>
          <cell r="C7719">
            <v>20033408</v>
          </cell>
          <cell r="D7719">
            <v>44816</v>
          </cell>
        </row>
        <row r="7720">
          <cell r="A7720" t="str">
            <v>Lívia Freire Baliza</v>
          </cell>
          <cell r="B7720">
            <v>37012002</v>
          </cell>
          <cell r="C7720">
            <v>20047079</v>
          </cell>
          <cell r="D7720">
            <v>45027</v>
          </cell>
        </row>
        <row r="7721">
          <cell r="A7721" t="str">
            <v>Bruno Henrique da Cruz Ferreira</v>
          </cell>
          <cell r="B7721">
            <v>37013503</v>
          </cell>
          <cell r="C7721">
            <v>20055399</v>
          </cell>
          <cell r="D7721">
            <v>45125</v>
          </cell>
        </row>
        <row r="7722">
          <cell r="A7722" t="str">
            <v>Leandro Aparecido da Silva</v>
          </cell>
          <cell r="B7722">
            <v>37014040</v>
          </cell>
          <cell r="C7722">
            <v>20057726</v>
          </cell>
          <cell r="D7722">
            <v>45160</v>
          </cell>
        </row>
        <row r="7723">
          <cell r="A7723" t="str">
            <v>Antonio De Souza Barbosa Junior</v>
          </cell>
          <cell r="B7723">
            <v>37014600</v>
          </cell>
          <cell r="C7723">
            <v>20059188</v>
          </cell>
          <cell r="D7723">
            <v>45188</v>
          </cell>
        </row>
        <row r="7724">
          <cell r="A7724" t="str">
            <v>Clailton Alves De Araujo</v>
          </cell>
          <cell r="B7724">
            <v>37014049</v>
          </cell>
          <cell r="C7724">
            <v>20057735</v>
          </cell>
          <cell r="D7724">
            <v>45160</v>
          </cell>
        </row>
        <row r="7725">
          <cell r="A7725" t="str">
            <v>Gustavo Santos Possani</v>
          </cell>
          <cell r="B7725">
            <v>37014120</v>
          </cell>
          <cell r="C7725">
            <v>20057884</v>
          </cell>
          <cell r="D7725">
            <v>45160</v>
          </cell>
        </row>
        <row r="7726">
          <cell r="A7726" t="str">
            <v>Jeferson Dos Reis De Jesus</v>
          </cell>
          <cell r="B7726">
            <v>37014038</v>
          </cell>
          <cell r="C7726">
            <v>20057724</v>
          </cell>
          <cell r="D7726">
            <v>45160</v>
          </cell>
        </row>
        <row r="7727">
          <cell r="A7727" t="str">
            <v>Samuel Saidy De Oliveira</v>
          </cell>
          <cell r="B7727">
            <v>37014840</v>
          </cell>
          <cell r="C7727">
            <v>20032391</v>
          </cell>
          <cell r="D7727">
            <v>45209</v>
          </cell>
        </row>
        <row r="7728">
          <cell r="A7728" t="str">
            <v>Alessandro Pereira Dos Santos</v>
          </cell>
          <cell r="B7728">
            <v>37017987</v>
          </cell>
          <cell r="C7728">
            <v>20071324</v>
          </cell>
          <cell r="D7728">
            <v>45447</v>
          </cell>
        </row>
        <row r="7729">
          <cell r="A7729" t="str">
            <v>Osvaldir Garcia de Freitar Júnior</v>
          </cell>
          <cell r="B7729">
            <v>37017991</v>
          </cell>
          <cell r="C7729">
            <v>20071350</v>
          </cell>
          <cell r="D7729">
            <v>45447</v>
          </cell>
        </row>
        <row r="7730">
          <cell r="A7730" t="str">
            <v>Sebastião Aparecido Lourenço</v>
          </cell>
          <cell r="B7730">
            <v>37017993</v>
          </cell>
          <cell r="C7730">
            <v>20071352</v>
          </cell>
          <cell r="D7730">
            <v>45447</v>
          </cell>
        </row>
        <row r="7731">
          <cell r="A7731" t="str">
            <v>Jefferson Alison Da Silva</v>
          </cell>
          <cell r="B7731">
            <v>37017994</v>
          </cell>
          <cell r="C7731">
            <v>20071353</v>
          </cell>
          <cell r="D7731">
            <v>45447</v>
          </cell>
        </row>
        <row r="7732">
          <cell r="A7732" t="str">
            <v>Marcio Vicente Mendes</v>
          </cell>
          <cell r="B7732">
            <v>37017990</v>
          </cell>
          <cell r="C7732">
            <v>20071349</v>
          </cell>
          <cell r="D7732">
            <v>45447</v>
          </cell>
        </row>
        <row r="7733">
          <cell r="A7733" t="str">
            <v>Fabricio Brizighello De Sa Pavan</v>
          </cell>
          <cell r="B7733">
            <v>37017998</v>
          </cell>
          <cell r="C7733">
            <v>20071357</v>
          </cell>
          <cell r="D7733">
            <v>45454</v>
          </cell>
        </row>
        <row r="7734">
          <cell r="A7734" t="str">
            <v>Geumires Vilar dos Anjos</v>
          </cell>
          <cell r="B7734">
            <v>37017995</v>
          </cell>
          <cell r="C7734">
            <v>20071354</v>
          </cell>
          <cell r="D7734">
            <v>45447</v>
          </cell>
        </row>
        <row r="7735">
          <cell r="A7735" t="str">
            <v>Rene Luiz da Cruz</v>
          </cell>
          <cell r="B7735">
            <v>37014099</v>
          </cell>
          <cell r="C7735">
            <v>20057835</v>
          </cell>
          <cell r="D7735">
            <v>45160</v>
          </cell>
        </row>
        <row r="7736">
          <cell r="A7736" t="str">
            <v>Donizete Junior Dos Santos</v>
          </cell>
          <cell r="B7736">
            <v>37017999</v>
          </cell>
          <cell r="C7736">
            <v>20071358</v>
          </cell>
          <cell r="D7736">
            <v>45447</v>
          </cell>
        </row>
        <row r="7737">
          <cell r="A7737" t="str">
            <v>Vagner Fernando Dos Santos</v>
          </cell>
          <cell r="B7737">
            <v>37018001</v>
          </cell>
          <cell r="C7737">
            <v>20071360</v>
          </cell>
          <cell r="D7737">
            <v>45447</v>
          </cell>
        </row>
        <row r="7738">
          <cell r="A7738" t="str">
            <v>Tiago Da Silva Constantino</v>
          </cell>
          <cell r="B7738">
            <v>37018002</v>
          </cell>
          <cell r="C7738">
            <v>20071361</v>
          </cell>
          <cell r="D7738">
            <v>45447</v>
          </cell>
        </row>
        <row r="7739">
          <cell r="A7739" t="str">
            <v>Fabio Da Silva Garcia</v>
          </cell>
          <cell r="B7739">
            <v>37018003</v>
          </cell>
          <cell r="C7739">
            <v>20071362</v>
          </cell>
          <cell r="D7739">
            <v>45447</v>
          </cell>
        </row>
        <row r="7740">
          <cell r="A7740" t="str">
            <v>Alexsandro Araujo Dos Anjos</v>
          </cell>
          <cell r="B7740">
            <v>37014598</v>
          </cell>
          <cell r="C7740">
            <v>20059186</v>
          </cell>
          <cell r="D7740">
            <v>45188</v>
          </cell>
        </row>
        <row r="7741">
          <cell r="A7741" t="str">
            <v>Paulo Cesar Da Cruz</v>
          </cell>
          <cell r="B7741">
            <v>37014132</v>
          </cell>
          <cell r="C7741">
            <v>20057896</v>
          </cell>
          <cell r="D7741">
            <v>45160</v>
          </cell>
        </row>
        <row r="7742">
          <cell r="A7742" t="str">
            <v>Jhonatan Willian Beraldo De Sousa</v>
          </cell>
          <cell r="B7742">
            <v>37014862</v>
          </cell>
          <cell r="C7742">
            <v>20035292</v>
          </cell>
          <cell r="D7742">
            <v>45209</v>
          </cell>
        </row>
        <row r="7743">
          <cell r="A7743" t="str">
            <v>Mardison do Espirito Santo Paixao</v>
          </cell>
          <cell r="B7743">
            <v>37014032</v>
          </cell>
          <cell r="C7743">
            <v>20057718</v>
          </cell>
          <cell r="D7743">
            <v>45160</v>
          </cell>
        </row>
        <row r="7744">
          <cell r="A7744" t="str">
            <v>Clayton Cesar Siqueira Da Silva</v>
          </cell>
          <cell r="B7744">
            <v>37014623</v>
          </cell>
          <cell r="C7744">
            <v>20059362</v>
          </cell>
          <cell r="D7744">
            <v>45188</v>
          </cell>
        </row>
        <row r="7745">
          <cell r="A7745" t="str">
            <v>Peterson Eduardo Favero De Souza</v>
          </cell>
          <cell r="B7745">
            <v>37014877</v>
          </cell>
          <cell r="C7745">
            <v>20035262</v>
          </cell>
          <cell r="D7745">
            <v>45209</v>
          </cell>
        </row>
        <row r="7746">
          <cell r="A7746" t="str">
            <v>Alex Sandro Pereira Da Mata</v>
          </cell>
          <cell r="B7746">
            <v>37014625</v>
          </cell>
          <cell r="C7746">
            <v>20059364</v>
          </cell>
          <cell r="D7746">
            <v>45188</v>
          </cell>
        </row>
        <row r="7747">
          <cell r="A7747" t="str">
            <v>Alecio Wesley da Silva Cirqueira</v>
          </cell>
          <cell r="B7747">
            <v>37014655</v>
          </cell>
          <cell r="C7747">
            <v>20059394</v>
          </cell>
          <cell r="D7747">
            <v>45188</v>
          </cell>
        </row>
        <row r="7748">
          <cell r="A7748" t="str">
            <v>Luciano Pereira da Silva</v>
          </cell>
          <cell r="B7748">
            <v>37014578</v>
          </cell>
          <cell r="C7748">
            <v>20059166</v>
          </cell>
          <cell r="D7748">
            <v>45188</v>
          </cell>
        </row>
        <row r="7749">
          <cell r="A7749" t="str">
            <v>Alan Ricardo Nunes Da Silva</v>
          </cell>
          <cell r="B7749">
            <v>37014588</v>
          </cell>
          <cell r="C7749">
            <v>20059176</v>
          </cell>
          <cell r="D7749">
            <v>45188</v>
          </cell>
        </row>
        <row r="7750">
          <cell r="A7750" t="str">
            <v>Alex Pereira Da Silva</v>
          </cell>
          <cell r="B7750">
            <v>37014645</v>
          </cell>
          <cell r="C7750">
            <v>20059384</v>
          </cell>
          <cell r="D7750">
            <v>45188</v>
          </cell>
        </row>
        <row r="7751">
          <cell r="A7751" t="str">
            <v>Caio Cesar Martins Goncalves</v>
          </cell>
          <cell r="B7751">
            <v>37014861</v>
          </cell>
          <cell r="C7751">
            <v>20032409</v>
          </cell>
          <cell r="D7751">
            <v>45209</v>
          </cell>
        </row>
        <row r="7752">
          <cell r="A7752" t="str">
            <v>Rafael Fernandes Ranieri</v>
          </cell>
          <cell r="B7752">
            <v>37014084</v>
          </cell>
          <cell r="C7752">
            <v>20057820</v>
          </cell>
          <cell r="D7752">
            <v>45160</v>
          </cell>
        </row>
        <row r="7753">
          <cell r="A7753" t="str">
            <v>Helio Bicudo Carvalho</v>
          </cell>
          <cell r="B7753">
            <v>37014602</v>
          </cell>
          <cell r="C7753">
            <v>20059190</v>
          </cell>
          <cell r="D7753">
            <v>45188</v>
          </cell>
        </row>
        <row r="7754">
          <cell r="A7754" t="str">
            <v>Ulysses Antonio Da Silva Neto</v>
          </cell>
          <cell r="B7754">
            <v>37008661</v>
          </cell>
          <cell r="C7754">
            <v>20028640</v>
          </cell>
          <cell r="D7754">
            <v>44760</v>
          </cell>
        </row>
        <row r="7755">
          <cell r="A7755" t="str">
            <v>Rafael Francisco Lopes Da Silva</v>
          </cell>
          <cell r="B7755">
            <v>37015887</v>
          </cell>
          <cell r="C7755">
            <v>20063565</v>
          </cell>
          <cell r="D7755">
            <v>45300</v>
          </cell>
        </row>
        <row r="7756">
          <cell r="A7756" t="str">
            <v>Alvaro Reis Lelis</v>
          </cell>
          <cell r="B7756">
            <v>37016995</v>
          </cell>
          <cell r="C7756">
            <v>20065946</v>
          </cell>
          <cell r="D7756">
            <v>45370</v>
          </cell>
        </row>
        <row r="7757">
          <cell r="A7757" t="str">
            <v>Rodrigo Paludeto Pirre</v>
          </cell>
          <cell r="B7757">
            <v>37006689</v>
          </cell>
          <cell r="C7757">
            <v>20018763</v>
          </cell>
          <cell r="D7757">
            <v>44503</v>
          </cell>
        </row>
        <row r="7758">
          <cell r="A7758" t="str">
            <v>Douglas Nunes Dos Santos</v>
          </cell>
          <cell r="B7758">
            <v>37014603</v>
          </cell>
          <cell r="C7758">
            <v>20059191</v>
          </cell>
          <cell r="D7758">
            <v>45188</v>
          </cell>
        </row>
        <row r="7759">
          <cell r="A7759" t="str">
            <v>Walasinei Do Nascimento Machado</v>
          </cell>
          <cell r="B7759">
            <v>37014080</v>
          </cell>
          <cell r="C7759">
            <v>20057816</v>
          </cell>
          <cell r="D7759">
            <v>45160</v>
          </cell>
        </row>
        <row r="7760">
          <cell r="A7760" t="str">
            <v>Selionicio Pereira Jardim</v>
          </cell>
          <cell r="B7760">
            <v>37015393</v>
          </cell>
          <cell r="C7760">
            <v>20062402</v>
          </cell>
          <cell r="D7760">
            <v>45251</v>
          </cell>
        </row>
        <row r="7761">
          <cell r="A7761" t="str">
            <v>Rogerio Dos Santos Barbosa</v>
          </cell>
          <cell r="B7761">
            <v>37014601</v>
          </cell>
          <cell r="C7761">
            <v>20059189</v>
          </cell>
          <cell r="D7761">
            <v>45188</v>
          </cell>
        </row>
        <row r="7762">
          <cell r="A7762" t="str">
            <v>Evandro Da Silva Moreira</v>
          </cell>
          <cell r="B7762">
            <v>37012715</v>
          </cell>
          <cell r="C7762">
            <v>20051299</v>
          </cell>
          <cell r="D7762">
            <v>45083</v>
          </cell>
        </row>
        <row r="7763">
          <cell r="A7763" t="str">
            <v>Osvaldo de Oliveira Filho</v>
          </cell>
          <cell r="B7763">
            <v>37014002</v>
          </cell>
          <cell r="C7763">
            <v>20057492</v>
          </cell>
          <cell r="D7763">
            <v>45153</v>
          </cell>
        </row>
        <row r="7764">
          <cell r="A7764" t="str">
            <v>Diego Maciel Pilla</v>
          </cell>
          <cell r="B7764">
            <v>37010891</v>
          </cell>
          <cell r="C7764">
            <v>20041290</v>
          </cell>
          <cell r="D7764">
            <v>44942</v>
          </cell>
        </row>
        <row r="7765">
          <cell r="A7765" t="str">
            <v>Luciano Delamura</v>
          </cell>
          <cell r="B7765">
            <v>37010572</v>
          </cell>
          <cell r="C7765">
            <v>20040299</v>
          </cell>
          <cell r="D7765">
            <v>44914</v>
          </cell>
        </row>
        <row r="7766">
          <cell r="A7766" t="str">
            <v>Wilson Bento</v>
          </cell>
          <cell r="B7766">
            <v>37010687</v>
          </cell>
          <cell r="C7766">
            <v>20040659</v>
          </cell>
          <cell r="D7766">
            <v>44930</v>
          </cell>
        </row>
        <row r="7767">
          <cell r="A7767" t="str">
            <v>Marcos Vinicius Soares Da Silva</v>
          </cell>
          <cell r="B7767">
            <v>37017985</v>
          </cell>
          <cell r="C7767">
            <v>20056390</v>
          </cell>
          <cell r="D7767">
            <v>45447</v>
          </cell>
        </row>
        <row r="7768">
          <cell r="A7768" t="str">
            <v>Luiz Carlos Dias</v>
          </cell>
          <cell r="B7768">
            <v>37018008</v>
          </cell>
          <cell r="C7768">
            <v>20071367</v>
          </cell>
          <cell r="D7768">
            <v>45447</v>
          </cell>
        </row>
        <row r="7769">
          <cell r="A7769" t="str">
            <v>Leonardo Henrique De Assis De Moraes</v>
          </cell>
          <cell r="B7769">
            <v>37018009</v>
          </cell>
          <cell r="C7769">
            <v>20071368</v>
          </cell>
          <cell r="D7769">
            <v>45447</v>
          </cell>
        </row>
        <row r="7770">
          <cell r="A7770" t="str">
            <v>Jose Rogerio Firmino Da Silva</v>
          </cell>
          <cell r="B7770">
            <v>37018005</v>
          </cell>
          <cell r="C7770">
            <v>20071364</v>
          </cell>
          <cell r="D7770">
            <v>45447</v>
          </cell>
        </row>
        <row r="7771">
          <cell r="A7771" t="str">
            <v>Leferson Luis Souza da Silva</v>
          </cell>
          <cell r="B7771">
            <v>37018007</v>
          </cell>
          <cell r="C7771">
            <v>20071366</v>
          </cell>
          <cell r="D7771">
            <v>45447</v>
          </cell>
        </row>
        <row r="7772">
          <cell r="A7772" t="str">
            <v>Fabio Roberto rosa rosa rosa</v>
          </cell>
          <cell r="B7772">
            <v>37018012</v>
          </cell>
          <cell r="C7772">
            <v>20071371</v>
          </cell>
          <cell r="D7772">
            <v>45447</v>
          </cell>
        </row>
        <row r="7773">
          <cell r="A7773" t="str">
            <v>Cesar Aparecido Ferreira da Silva</v>
          </cell>
          <cell r="B7773">
            <v>37018015</v>
          </cell>
          <cell r="C7773">
            <v>20071374</v>
          </cell>
          <cell r="D7773">
            <v>45447</v>
          </cell>
        </row>
        <row r="7774">
          <cell r="A7774" t="str">
            <v>Keber Antonio Cruz Ferreira</v>
          </cell>
          <cell r="B7774">
            <v>37018013</v>
          </cell>
          <cell r="C7774">
            <v>20071372</v>
          </cell>
          <cell r="D7774">
            <v>45447</v>
          </cell>
        </row>
        <row r="7775">
          <cell r="A7775" t="str">
            <v>Jose Luciano de Oliveira Porfírio</v>
          </cell>
          <cell r="B7775">
            <v>37018014</v>
          </cell>
          <cell r="C7775">
            <v>20071373</v>
          </cell>
          <cell r="D7775">
            <v>45447</v>
          </cell>
        </row>
        <row r="7776">
          <cell r="A7776" t="str">
            <v>Jose Adalberto Bispo</v>
          </cell>
          <cell r="B7776">
            <v>37018016</v>
          </cell>
          <cell r="C7776">
            <v>20071375</v>
          </cell>
          <cell r="D7776">
            <v>45447</v>
          </cell>
        </row>
        <row r="7777">
          <cell r="A7777" t="str">
            <v>Regis Fernando de Oliveira Santos</v>
          </cell>
          <cell r="B7777">
            <v>37018017</v>
          </cell>
          <cell r="C7777">
            <v>20071376</v>
          </cell>
          <cell r="D7777">
            <v>45447</v>
          </cell>
        </row>
        <row r="7778">
          <cell r="A7778" t="str">
            <v>Renato Fabrício</v>
          </cell>
          <cell r="B7778">
            <v>37018018</v>
          </cell>
          <cell r="C7778">
            <v>20071377</v>
          </cell>
          <cell r="D7778">
            <v>45447</v>
          </cell>
        </row>
        <row r="7779">
          <cell r="A7779" t="str">
            <v>Ricardo De Souza</v>
          </cell>
          <cell r="B7779">
            <v>37018020</v>
          </cell>
          <cell r="C7779">
            <v>20071379</v>
          </cell>
          <cell r="D7779">
            <v>45447</v>
          </cell>
        </row>
        <row r="7780">
          <cell r="A7780" t="str">
            <v>Leandro Luiz Portes</v>
          </cell>
          <cell r="B7780">
            <v>37018022</v>
          </cell>
          <cell r="C7780">
            <v>20071381</v>
          </cell>
          <cell r="D7780">
            <v>45447</v>
          </cell>
        </row>
        <row r="7781">
          <cell r="A7781" t="str">
            <v>Marcio Donizete Ramos</v>
          </cell>
          <cell r="B7781">
            <v>37018019</v>
          </cell>
          <cell r="C7781">
            <v>20071378</v>
          </cell>
          <cell r="D7781">
            <v>45447</v>
          </cell>
        </row>
        <row r="7782">
          <cell r="A7782" t="str">
            <v>Daniel Miranda</v>
          </cell>
          <cell r="B7782">
            <v>37018023</v>
          </cell>
          <cell r="C7782">
            <v>20071382</v>
          </cell>
          <cell r="D7782">
            <v>45454</v>
          </cell>
        </row>
        <row r="7783">
          <cell r="A7783" t="str">
            <v>Fernando De Oliveira Silva</v>
          </cell>
          <cell r="B7783">
            <v>37018024</v>
          </cell>
          <cell r="C7783">
            <v>20071383</v>
          </cell>
          <cell r="D7783">
            <v>45447</v>
          </cell>
        </row>
        <row r="7784">
          <cell r="A7784" t="str">
            <v>Sidney Ramos</v>
          </cell>
          <cell r="B7784">
            <v>37018025</v>
          </cell>
          <cell r="C7784">
            <v>20071384</v>
          </cell>
          <cell r="D7784">
            <v>45447</v>
          </cell>
        </row>
        <row r="7785">
          <cell r="A7785" t="str">
            <v>Julio Cezar dos Santos</v>
          </cell>
          <cell r="B7785">
            <v>37018026</v>
          </cell>
          <cell r="C7785">
            <v>20071385</v>
          </cell>
          <cell r="D7785">
            <v>45447</v>
          </cell>
        </row>
        <row r="7786">
          <cell r="A7786" t="str">
            <v>Fabio De Souza Silva</v>
          </cell>
          <cell r="B7786">
            <v>37018030</v>
          </cell>
          <cell r="C7786">
            <v>20071418</v>
          </cell>
          <cell r="D7786">
            <v>45447</v>
          </cell>
        </row>
        <row r="7787">
          <cell r="A7787" t="str">
            <v>Bruno dos Santos Ferreira Dos Santos Ferreira</v>
          </cell>
          <cell r="B7787">
            <v>37018035</v>
          </cell>
          <cell r="C7787">
            <v>20071428</v>
          </cell>
          <cell r="D7787">
            <v>45454</v>
          </cell>
        </row>
        <row r="7788">
          <cell r="A7788" t="str">
            <v>Paulo Dos Santos Rosa</v>
          </cell>
          <cell r="B7788">
            <v>37018036</v>
          </cell>
          <cell r="C7788">
            <v>20071429</v>
          </cell>
          <cell r="D7788">
            <v>45454</v>
          </cell>
        </row>
        <row r="7789">
          <cell r="A7789" t="str">
            <v>Nivaldo Muniz de Souza</v>
          </cell>
          <cell r="B7789">
            <v>37018027</v>
          </cell>
          <cell r="C7789">
            <v>20071415</v>
          </cell>
          <cell r="D7789">
            <v>45447</v>
          </cell>
        </row>
        <row r="7790">
          <cell r="A7790" t="str">
            <v>Leandro Moretti</v>
          </cell>
          <cell r="B7790">
            <v>37018028</v>
          </cell>
          <cell r="C7790">
            <v>20071416</v>
          </cell>
          <cell r="D7790">
            <v>45447</v>
          </cell>
        </row>
        <row r="7791">
          <cell r="A7791" t="str">
            <v>Luiz Antonio de Oliveira</v>
          </cell>
          <cell r="B7791">
            <v>37018029</v>
          </cell>
          <cell r="C7791">
            <v>20071417</v>
          </cell>
          <cell r="D7791">
            <v>45447</v>
          </cell>
        </row>
        <row r="7792">
          <cell r="A7792" t="str">
            <v>Renato Lazaro Cecchini Cajuela</v>
          </cell>
          <cell r="B7792">
            <v>37007298</v>
          </cell>
          <cell r="C7792">
            <v>20023651</v>
          </cell>
          <cell r="D7792">
            <v>44634</v>
          </cell>
        </row>
        <row r="7793">
          <cell r="A7793" t="str">
            <v>Maikon Renato Baran</v>
          </cell>
          <cell r="B7793">
            <v>37015546</v>
          </cell>
          <cell r="C7793">
            <v>20062932</v>
          </cell>
          <cell r="D7793">
            <v>45272</v>
          </cell>
        </row>
        <row r="7794">
          <cell r="A7794" t="str">
            <v>Helder Luciano Banionis</v>
          </cell>
          <cell r="B7794">
            <v>37013467</v>
          </cell>
          <cell r="C7794">
            <v>20055363</v>
          </cell>
          <cell r="D7794">
            <v>45125</v>
          </cell>
        </row>
        <row r="7795">
          <cell r="A7795" t="str">
            <v>Daniel Pereira dos Santos</v>
          </cell>
          <cell r="B7795">
            <v>37014018</v>
          </cell>
          <cell r="C7795">
            <v>20057508</v>
          </cell>
          <cell r="D7795">
            <v>45153</v>
          </cell>
        </row>
        <row r="7796">
          <cell r="A7796" t="str">
            <v>Adenilson Duarte Dias Duarte Días</v>
          </cell>
          <cell r="B7796">
            <v>37010900</v>
          </cell>
          <cell r="C7796">
            <v>20041299</v>
          </cell>
          <cell r="D7796">
            <v>44958</v>
          </cell>
        </row>
        <row r="7797">
          <cell r="A7797" t="str">
            <v>Rafael De Lima Rodrigues Da Silva</v>
          </cell>
          <cell r="B7797">
            <v>37018037</v>
          </cell>
          <cell r="C7797">
            <v>20071430</v>
          </cell>
          <cell r="D7797">
            <v>45454</v>
          </cell>
        </row>
        <row r="7798">
          <cell r="A7798" t="str">
            <v>Diego Henrique Antonio Ruivo</v>
          </cell>
          <cell r="B7798">
            <v>37011944</v>
          </cell>
          <cell r="C7798">
            <v>20046773</v>
          </cell>
          <cell r="D7798">
            <v>45019</v>
          </cell>
        </row>
        <row r="7799">
          <cell r="A7799" t="str">
            <v>Lauane Pereira da Silva</v>
          </cell>
          <cell r="B7799" t="e">
            <v>#N/A</v>
          </cell>
          <cell r="C7799">
            <v>20065947</v>
          </cell>
          <cell r="D7799" t="e">
            <v>#N/A</v>
          </cell>
        </row>
        <row r="7800">
          <cell r="A7800" t="str">
            <v>Eduardo Rodrigues  Dos Santos</v>
          </cell>
          <cell r="B7800">
            <v>37018038</v>
          </cell>
          <cell r="C7800">
            <v>20071431</v>
          </cell>
          <cell r="D7800">
            <v>45454</v>
          </cell>
        </row>
        <row r="7801">
          <cell r="A7801" t="str">
            <v>Fabiano Aparecido Lourenço</v>
          </cell>
          <cell r="B7801">
            <v>37018039</v>
          </cell>
          <cell r="C7801">
            <v>20071432</v>
          </cell>
          <cell r="D7801">
            <v>45454</v>
          </cell>
        </row>
        <row r="7802">
          <cell r="A7802" t="str">
            <v>Carlos Eduardo Morillo Pinto</v>
          </cell>
          <cell r="B7802">
            <v>37013629</v>
          </cell>
          <cell r="C7802">
            <v>20055888</v>
          </cell>
          <cell r="D7802">
            <v>45125</v>
          </cell>
        </row>
        <row r="7803">
          <cell r="A7803" t="str">
            <v>Matheus Amphilo Dos Santos</v>
          </cell>
          <cell r="B7803">
            <v>37013626</v>
          </cell>
          <cell r="C7803">
            <v>20055885</v>
          </cell>
          <cell r="D7803">
            <v>45125</v>
          </cell>
        </row>
        <row r="7804">
          <cell r="A7804" t="str">
            <v>Sérgio Diniz</v>
          </cell>
          <cell r="B7804">
            <v>37018043</v>
          </cell>
          <cell r="C7804">
            <v>20071436</v>
          </cell>
          <cell r="D7804">
            <v>45454</v>
          </cell>
        </row>
        <row r="7805">
          <cell r="A7805" t="str">
            <v>Maria Evaneide Madeiro Pereira</v>
          </cell>
          <cell r="B7805">
            <v>37018045</v>
          </cell>
          <cell r="C7805">
            <v>20071438</v>
          </cell>
          <cell r="D7805">
            <v>45454</v>
          </cell>
        </row>
        <row r="7806">
          <cell r="A7806" t="str">
            <v>Eduardo Micadei Lima</v>
          </cell>
          <cell r="B7806">
            <v>37012249</v>
          </cell>
          <cell r="C7806">
            <v>20049073</v>
          </cell>
          <cell r="D7806">
            <v>45048</v>
          </cell>
        </row>
        <row r="7807">
          <cell r="A7807" t="str">
            <v>Gabriel Willian Rodrigues</v>
          </cell>
          <cell r="B7807">
            <v>37008764</v>
          </cell>
          <cell r="C7807">
            <v>20032411</v>
          </cell>
          <cell r="D7807">
            <v>44774</v>
          </cell>
        </row>
        <row r="7808">
          <cell r="A7808" t="str">
            <v>Vlademir Aparecido Chalo</v>
          </cell>
          <cell r="B7808">
            <v>37009190</v>
          </cell>
          <cell r="C7808">
            <v>20032245</v>
          </cell>
          <cell r="D7808">
            <v>44795</v>
          </cell>
        </row>
        <row r="7809">
          <cell r="A7809" t="str">
            <v>Docivaldo Pereira Lopes</v>
          </cell>
          <cell r="B7809">
            <v>37018052</v>
          </cell>
          <cell r="C7809">
            <v>20071445</v>
          </cell>
          <cell r="D7809">
            <v>45454</v>
          </cell>
        </row>
        <row r="7810">
          <cell r="A7810" t="str">
            <v>Agnaldo Mateus Moreira</v>
          </cell>
          <cell r="B7810">
            <v>37018053</v>
          </cell>
          <cell r="C7810">
            <v>20071446</v>
          </cell>
          <cell r="D7810">
            <v>45454</v>
          </cell>
        </row>
        <row r="7811">
          <cell r="A7811" t="str">
            <v>Edson Carlos Badesso Stati</v>
          </cell>
          <cell r="B7811">
            <v>37008949</v>
          </cell>
          <cell r="C7811">
            <v>20035278</v>
          </cell>
          <cell r="D7811">
            <v>44777</v>
          </cell>
        </row>
        <row r="7812">
          <cell r="A7812" t="str">
            <v>Adriano Ferreira da Fortuna</v>
          </cell>
          <cell r="B7812">
            <v>37012791</v>
          </cell>
          <cell r="C7812">
            <v>20051695</v>
          </cell>
          <cell r="D7812">
            <v>45083</v>
          </cell>
        </row>
        <row r="7813">
          <cell r="A7813" t="str">
            <v>Regina de Cássia da Silveira Pereira</v>
          </cell>
          <cell r="B7813">
            <v>37018059</v>
          </cell>
          <cell r="C7813">
            <v>20071452</v>
          </cell>
          <cell r="D7813">
            <v>45454</v>
          </cell>
        </row>
        <row r="7814">
          <cell r="A7814" t="str">
            <v>Thayline Maria Fonseca Pereira</v>
          </cell>
          <cell r="B7814">
            <v>37018060</v>
          </cell>
          <cell r="C7814">
            <v>20071453</v>
          </cell>
          <cell r="D7814">
            <v>45454</v>
          </cell>
        </row>
        <row r="7815">
          <cell r="A7815" t="str">
            <v>Andre Alves Da Silva</v>
          </cell>
          <cell r="B7815">
            <v>37018061</v>
          </cell>
          <cell r="C7815">
            <v>20071454</v>
          </cell>
          <cell r="D7815">
            <v>45454</v>
          </cell>
        </row>
        <row r="7816">
          <cell r="A7816" t="str">
            <v>Daniel Ribeiro do Val</v>
          </cell>
          <cell r="B7816" t="e">
            <v>#N/A</v>
          </cell>
          <cell r="C7816">
            <v>20071458</v>
          </cell>
          <cell r="D7816" t="e">
            <v>#N/A</v>
          </cell>
        </row>
        <row r="7817">
          <cell r="A7817" t="str">
            <v>Clarice dos Santos Charme</v>
          </cell>
          <cell r="B7817">
            <v>37010994</v>
          </cell>
          <cell r="C7817">
            <v>20041805</v>
          </cell>
          <cell r="D7817">
            <v>44958</v>
          </cell>
        </row>
        <row r="7818">
          <cell r="A7818" t="str">
            <v>Weverttom Kayllon dos Santos</v>
          </cell>
          <cell r="B7818">
            <v>37012862</v>
          </cell>
          <cell r="C7818">
            <v>20051910</v>
          </cell>
          <cell r="D7818">
            <v>45083</v>
          </cell>
        </row>
        <row r="7819">
          <cell r="A7819" t="str">
            <v>Gabriel Henrique Da Silva</v>
          </cell>
          <cell r="B7819">
            <v>37007048</v>
          </cell>
          <cell r="C7819">
            <v>20021066</v>
          </cell>
          <cell r="D7819">
            <v>44581</v>
          </cell>
        </row>
        <row r="7820">
          <cell r="A7820" t="str">
            <v>FERNANDO CIPRIANO BENEDITO</v>
          </cell>
          <cell r="B7820">
            <v>37013174</v>
          </cell>
          <cell r="C7820">
            <v>20053351</v>
          </cell>
          <cell r="D7820">
            <v>45111</v>
          </cell>
        </row>
        <row r="7821">
          <cell r="A7821" t="str">
            <v>WESLEY FERNANDO DA SILVA</v>
          </cell>
          <cell r="B7821">
            <v>37010824</v>
          </cell>
          <cell r="C7821">
            <v>20041220</v>
          </cell>
          <cell r="D7821">
            <v>44942</v>
          </cell>
        </row>
        <row r="7822">
          <cell r="A7822" t="str">
            <v>Higor Vinicius Dos Santos</v>
          </cell>
          <cell r="B7822">
            <v>37006224</v>
          </cell>
          <cell r="C7822">
            <v>20016973</v>
          </cell>
          <cell r="D7822">
            <v>44424</v>
          </cell>
        </row>
        <row r="7823">
          <cell r="A7823" t="str">
            <v>Joel Clemente</v>
          </cell>
          <cell r="B7823">
            <v>37006644</v>
          </cell>
          <cell r="C7823">
            <v>20018208</v>
          </cell>
          <cell r="D7823">
            <v>44490</v>
          </cell>
        </row>
        <row r="7824">
          <cell r="A7824" t="str">
            <v>Luis Felipe Oliveira De Souza</v>
          </cell>
          <cell r="B7824">
            <v>37012665</v>
          </cell>
          <cell r="C7824">
            <v>20051245</v>
          </cell>
          <cell r="D7824">
            <v>45083</v>
          </cell>
        </row>
        <row r="7825">
          <cell r="A7825" t="str">
            <v>Rodrigo Da Silva Fonseca</v>
          </cell>
          <cell r="B7825">
            <v>37002941</v>
          </cell>
          <cell r="C7825">
            <v>20009866</v>
          </cell>
          <cell r="D7825">
            <v>43507</v>
          </cell>
        </row>
        <row r="7826">
          <cell r="A7826" t="str">
            <v>Adrian Rian Aparecido de Souza</v>
          </cell>
          <cell r="B7826">
            <v>37012741</v>
          </cell>
          <cell r="C7826">
            <v>20051335</v>
          </cell>
          <cell r="D7826">
            <v>45083</v>
          </cell>
        </row>
        <row r="7827">
          <cell r="A7827" t="str">
            <v>Edson Abilio Marcena</v>
          </cell>
          <cell r="B7827">
            <v>37013878</v>
          </cell>
          <cell r="C7827">
            <v>20057011</v>
          </cell>
          <cell r="D7827">
            <v>45146</v>
          </cell>
        </row>
        <row r="7828">
          <cell r="A7828" t="str">
            <v>Jose Ernandes Da Silva Soares</v>
          </cell>
          <cell r="B7828">
            <v>37014370</v>
          </cell>
          <cell r="C7828">
            <v>20058505</v>
          </cell>
          <cell r="D7828">
            <v>45174</v>
          </cell>
        </row>
        <row r="7829">
          <cell r="A7829" t="str">
            <v>Samuel Da Silva Cordeiro</v>
          </cell>
          <cell r="B7829">
            <v>37018073</v>
          </cell>
          <cell r="C7829">
            <v>20071741</v>
          </cell>
          <cell r="D7829">
            <v>45453</v>
          </cell>
        </row>
        <row r="7830">
          <cell r="A7830" t="str">
            <v>Caroline Araujo Marques</v>
          </cell>
          <cell r="B7830">
            <v>37013470</v>
          </cell>
          <cell r="C7830">
            <v>20055366</v>
          </cell>
          <cell r="D7830">
            <v>45125</v>
          </cell>
        </row>
        <row r="7831">
          <cell r="A7831" t="str">
            <v>Sidnei Pasini</v>
          </cell>
          <cell r="B7831">
            <v>37018086</v>
          </cell>
          <cell r="C7831">
            <v>20071765</v>
          </cell>
          <cell r="D7831">
            <v>45454</v>
          </cell>
        </row>
        <row r="7832">
          <cell r="A7832" t="str">
            <v>Julio Cesar Albino Ribeiro</v>
          </cell>
          <cell r="B7832">
            <v>37018087</v>
          </cell>
          <cell r="C7832">
            <v>20071766</v>
          </cell>
          <cell r="D7832">
            <v>45454</v>
          </cell>
        </row>
        <row r="7833">
          <cell r="A7833" t="str">
            <v>Marco Rogerio Paludeto</v>
          </cell>
          <cell r="B7833">
            <v>37018088</v>
          </cell>
          <cell r="C7833">
            <v>20071767</v>
          </cell>
          <cell r="D7833">
            <v>45454</v>
          </cell>
        </row>
        <row r="7834">
          <cell r="A7834" t="str">
            <v>Claudemir Jose Martins</v>
          </cell>
          <cell r="B7834">
            <v>37018091</v>
          </cell>
          <cell r="C7834">
            <v>20071770</v>
          </cell>
          <cell r="D7834">
            <v>45454</v>
          </cell>
        </row>
        <row r="7835">
          <cell r="A7835" t="str">
            <v>Sergio Ferreira Dos Santos Sakakibara</v>
          </cell>
          <cell r="B7835">
            <v>37018093</v>
          </cell>
          <cell r="C7835">
            <v>20071772</v>
          </cell>
          <cell r="D7835">
            <v>45454</v>
          </cell>
        </row>
        <row r="7836">
          <cell r="A7836" t="str">
            <v>Wemerson Dos Santos Olímpio</v>
          </cell>
          <cell r="B7836">
            <v>37018094</v>
          </cell>
          <cell r="C7836">
            <v>20071773</v>
          </cell>
          <cell r="D7836">
            <v>45454</v>
          </cell>
        </row>
        <row r="7837">
          <cell r="A7837" t="str">
            <v>Valdinei Vicente Da Silva</v>
          </cell>
          <cell r="B7837">
            <v>37018096</v>
          </cell>
          <cell r="C7837">
            <v>20071775</v>
          </cell>
          <cell r="D7837">
            <v>45454</v>
          </cell>
        </row>
        <row r="7838">
          <cell r="A7838" t="str">
            <v>Edinilson Jorge</v>
          </cell>
          <cell r="B7838">
            <v>37018098</v>
          </cell>
          <cell r="C7838">
            <v>20071777</v>
          </cell>
          <cell r="D7838">
            <v>45454</v>
          </cell>
        </row>
        <row r="7839">
          <cell r="A7839" t="str">
            <v>Vicente Elias Feliciano</v>
          </cell>
          <cell r="B7839">
            <v>37018099</v>
          </cell>
          <cell r="C7839">
            <v>20071778</v>
          </cell>
          <cell r="D7839">
            <v>45454</v>
          </cell>
        </row>
        <row r="7840">
          <cell r="A7840" t="str">
            <v>Antonio Aparecido Bruno Filho</v>
          </cell>
          <cell r="B7840">
            <v>37003115</v>
          </cell>
          <cell r="C7840">
            <v>20008647</v>
          </cell>
          <cell r="D7840">
            <v>43577</v>
          </cell>
        </row>
        <row r="7841">
          <cell r="A7841" t="str">
            <v>Marcio De Souza De Araujo</v>
          </cell>
          <cell r="B7841">
            <v>37009429</v>
          </cell>
          <cell r="C7841">
            <v>20033739</v>
          </cell>
          <cell r="D7841">
            <v>44823</v>
          </cell>
        </row>
        <row r="7842">
          <cell r="A7842" t="str">
            <v>Ariel Fontanive</v>
          </cell>
          <cell r="B7842">
            <v>37004920</v>
          </cell>
          <cell r="C7842">
            <v>20008154</v>
          </cell>
          <cell r="D7842">
            <v>44109</v>
          </cell>
        </row>
        <row r="7843">
          <cell r="A7843" t="str">
            <v>Rita Adriana Wisniewski Gonsalves</v>
          </cell>
          <cell r="B7843">
            <v>37013897</v>
          </cell>
          <cell r="C7843">
            <v>20057056</v>
          </cell>
          <cell r="D7843">
            <v>45146</v>
          </cell>
        </row>
        <row r="7844">
          <cell r="A7844" t="str">
            <v>Murilo Carlos De Oliveira</v>
          </cell>
          <cell r="B7844">
            <v>37009439</v>
          </cell>
          <cell r="C7844">
            <v>20034026</v>
          </cell>
          <cell r="D7844">
            <v>44823</v>
          </cell>
        </row>
        <row r="7845">
          <cell r="A7845" t="str">
            <v>Jaime Donizeti Sebastiao</v>
          </cell>
          <cell r="B7845">
            <v>37015152</v>
          </cell>
          <cell r="C7845">
            <v>20061462</v>
          </cell>
          <cell r="D7845">
            <v>45237</v>
          </cell>
        </row>
        <row r="7846">
          <cell r="A7846" t="str">
            <v>Everton De Souza Pinto</v>
          </cell>
          <cell r="B7846">
            <v>37018089</v>
          </cell>
          <cell r="C7846">
            <v>20071768</v>
          </cell>
          <cell r="D7846">
            <v>45454</v>
          </cell>
        </row>
        <row r="7847">
          <cell r="A7847" t="str">
            <v>Renan Ignatz De Souza</v>
          </cell>
          <cell r="B7847">
            <v>37018092</v>
          </cell>
          <cell r="C7847">
            <v>20071771</v>
          </cell>
          <cell r="D7847">
            <v>45454</v>
          </cell>
        </row>
        <row r="7848">
          <cell r="A7848" t="str">
            <v>Wellington Aparecido Dias</v>
          </cell>
          <cell r="B7848">
            <v>37018095</v>
          </cell>
          <cell r="C7848">
            <v>20071774</v>
          </cell>
          <cell r="D7848">
            <v>45454</v>
          </cell>
        </row>
        <row r="7849">
          <cell r="A7849" t="str">
            <v>Sérgio Cares Lacerda</v>
          </cell>
          <cell r="B7849">
            <v>37018097</v>
          </cell>
          <cell r="C7849">
            <v>20071776</v>
          </cell>
          <cell r="D7849">
            <v>45454</v>
          </cell>
        </row>
        <row r="7850">
          <cell r="A7850" t="str">
            <v>Jeferson Cipriano da Silva</v>
          </cell>
          <cell r="B7850">
            <v>37018100</v>
          </cell>
          <cell r="C7850">
            <v>20071779</v>
          </cell>
          <cell r="D7850">
            <v>45454</v>
          </cell>
        </row>
        <row r="7851">
          <cell r="A7851" t="str">
            <v>Welinton Carlos Cavinato</v>
          </cell>
          <cell r="B7851">
            <v>37018105</v>
          </cell>
          <cell r="C7851">
            <v>20071970</v>
          </cell>
          <cell r="D7851">
            <v>45454</v>
          </cell>
        </row>
        <row r="7852">
          <cell r="A7852" t="str">
            <v>Crislaine De Souza</v>
          </cell>
          <cell r="B7852">
            <v>37018107</v>
          </cell>
          <cell r="C7852">
            <v>20071972</v>
          </cell>
          <cell r="D7852">
            <v>45454</v>
          </cell>
        </row>
        <row r="7853">
          <cell r="A7853" t="str">
            <v>Eduardo Mariano de Oliveira</v>
          </cell>
          <cell r="B7853">
            <v>37018109</v>
          </cell>
          <cell r="C7853">
            <v>20071974</v>
          </cell>
          <cell r="D7853">
            <v>45454</v>
          </cell>
        </row>
        <row r="7854">
          <cell r="A7854" t="str">
            <v>João Pedro Fabiano de Souza</v>
          </cell>
          <cell r="B7854">
            <v>37018103</v>
          </cell>
          <cell r="C7854">
            <v>20071968</v>
          </cell>
          <cell r="D7854">
            <v>45454</v>
          </cell>
        </row>
        <row r="7855">
          <cell r="A7855" t="str">
            <v>Jefferson Tadeu Dos Santos</v>
          </cell>
          <cell r="B7855">
            <v>37018104</v>
          </cell>
          <cell r="C7855">
            <v>20071969</v>
          </cell>
          <cell r="D7855">
            <v>45454</v>
          </cell>
        </row>
        <row r="7856">
          <cell r="A7856" t="str">
            <v>Carlos Roberto Da Silva  Junior</v>
          </cell>
          <cell r="B7856">
            <v>37018106</v>
          </cell>
          <cell r="C7856">
            <v>20071971</v>
          </cell>
          <cell r="D7856">
            <v>45454</v>
          </cell>
        </row>
        <row r="7857">
          <cell r="A7857" t="str">
            <v>Daniel Zanzotti da Silva</v>
          </cell>
          <cell r="B7857">
            <v>37018108</v>
          </cell>
          <cell r="C7857">
            <v>20071973</v>
          </cell>
          <cell r="D7857">
            <v>45454</v>
          </cell>
        </row>
        <row r="7858">
          <cell r="A7858" t="str">
            <v>Fabricio Da Silva Campos</v>
          </cell>
          <cell r="B7858">
            <v>37018110</v>
          </cell>
          <cell r="C7858">
            <v>20071975</v>
          </cell>
          <cell r="D7858">
            <v>45454</v>
          </cell>
        </row>
        <row r="7859">
          <cell r="A7859" t="str">
            <v>Pablo Klisman De Souza Estevam</v>
          </cell>
          <cell r="B7859">
            <v>37018111</v>
          </cell>
          <cell r="C7859">
            <v>20071976</v>
          </cell>
          <cell r="D7859">
            <v>45454</v>
          </cell>
        </row>
        <row r="7860">
          <cell r="A7860" t="str">
            <v>Gislaine de Azevedo Silva</v>
          </cell>
          <cell r="B7860">
            <v>37018116</v>
          </cell>
          <cell r="C7860">
            <v>20072264</v>
          </cell>
          <cell r="D7860">
            <v>45461</v>
          </cell>
        </row>
        <row r="7861">
          <cell r="A7861" t="str">
            <v>Jaine Regina De Brito</v>
          </cell>
          <cell r="B7861">
            <v>37018117</v>
          </cell>
          <cell r="C7861">
            <v>20072265</v>
          </cell>
          <cell r="D7861">
            <v>45461</v>
          </cell>
        </row>
        <row r="7862">
          <cell r="A7862" t="str">
            <v>João Batista Barreiros</v>
          </cell>
          <cell r="B7862">
            <v>37018123</v>
          </cell>
          <cell r="C7862">
            <v>20072271</v>
          </cell>
          <cell r="D7862">
            <v>45461</v>
          </cell>
        </row>
        <row r="7863">
          <cell r="A7863" t="str">
            <v>Ivair Rogerio De Moraes</v>
          </cell>
          <cell r="B7863">
            <v>37018118</v>
          </cell>
          <cell r="C7863">
            <v>20072266</v>
          </cell>
          <cell r="D7863">
            <v>45461</v>
          </cell>
        </row>
        <row r="7864">
          <cell r="A7864" t="str">
            <v>Suelen Cristina da Silva Dal Bom Faria</v>
          </cell>
          <cell r="B7864">
            <v>37018120</v>
          </cell>
          <cell r="C7864">
            <v>20072268</v>
          </cell>
          <cell r="D7864">
            <v>45461</v>
          </cell>
        </row>
        <row r="7865">
          <cell r="A7865" t="str">
            <v>Rosangela Ferreira Dos Santos</v>
          </cell>
          <cell r="B7865">
            <v>37018122</v>
          </cell>
          <cell r="C7865">
            <v>20072270</v>
          </cell>
          <cell r="D7865">
            <v>45461</v>
          </cell>
        </row>
        <row r="7866">
          <cell r="A7866" t="str">
            <v>Thiago Pereira Rocha</v>
          </cell>
          <cell r="B7866">
            <v>37018127</v>
          </cell>
          <cell r="C7866">
            <v>20072275</v>
          </cell>
          <cell r="D7866">
            <v>45461</v>
          </cell>
        </row>
        <row r="7867">
          <cell r="A7867" t="str">
            <v>Alan Gustavo Ramos Batista</v>
          </cell>
          <cell r="B7867">
            <v>37018130</v>
          </cell>
          <cell r="C7867">
            <v>20072278</v>
          </cell>
          <cell r="D7867">
            <v>45461</v>
          </cell>
        </row>
        <row r="7868">
          <cell r="A7868" t="str">
            <v>Marcos Jose Dos Santos</v>
          </cell>
          <cell r="B7868">
            <v>37018124</v>
          </cell>
          <cell r="C7868">
            <v>20072272</v>
          </cell>
          <cell r="D7868">
            <v>45461</v>
          </cell>
        </row>
        <row r="7869">
          <cell r="A7869" t="str">
            <v>Cleonaldo Rigaud Dos Santos</v>
          </cell>
          <cell r="B7869">
            <v>37018113</v>
          </cell>
          <cell r="C7869">
            <v>20017023</v>
          </cell>
          <cell r="D7869">
            <v>45461</v>
          </cell>
        </row>
        <row r="7870">
          <cell r="A7870" t="str">
            <v>Gilberto Rodrigues De  Lima</v>
          </cell>
          <cell r="B7870">
            <v>37018139</v>
          </cell>
          <cell r="C7870">
            <v>20072287</v>
          </cell>
          <cell r="D7870">
            <v>45461</v>
          </cell>
        </row>
        <row r="7871">
          <cell r="A7871" t="str">
            <v>Jose Mariano</v>
          </cell>
          <cell r="B7871">
            <v>37018142</v>
          </cell>
          <cell r="C7871">
            <v>20072290</v>
          </cell>
          <cell r="D7871">
            <v>45461</v>
          </cell>
        </row>
        <row r="7872">
          <cell r="A7872" t="str">
            <v>Joao Neto Silva Aires</v>
          </cell>
          <cell r="B7872">
            <v>37018143</v>
          </cell>
          <cell r="C7872">
            <v>20072291</v>
          </cell>
          <cell r="D7872">
            <v>45461</v>
          </cell>
        </row>
        <row r="7873">
          <cell r="A7873" t="str">
            <v>Paulo Henrique De Lima Vieira</v>
          </cell>
          <cell r="B7873">
            <v>37018150</v>
          </cell>
          <cell r="C7873">
            <v>20072298</v>
          </cell>
          <cell r="D7873">
            <v>45461</v>
          </cell>
        </row>
        <row r="7874">
          <cell r="A7874" t="str">
            <v>Rodrigo Antonio Ostanico</v>
          </cell>
          <cell r="B7874">
            <v>37018137</v>
          </cell>
          <cell r="C7874">
            <v>20072285</v>
          </cell>
          <cell r="D7874">
            <v>45461</v>
          </cell>
        </row>
        <row r="7875">
          <cell r="A7875" t="str">
            <v>Luis Otavio Matias</v>
          </cell>
          <cell r="B7875">
            <v>37018138</v>
          </cell>
          <cell r="C7875">
            <v>20072286</v>
          </cell>
          <cell r="D7875">
            <v>45461</v>
          </cell>
        </row>
        <row r="7876">
          <cell r="A7876" t="str">
            <v>Sergio Luiz Dias Madruga</v>
          </cell>
          <cell r="B7876">
            <v>37018140</v>
          </cell>
          <cell r="C7876">
            <v>20072288</v>
          </cell>
          <cell r="D7876">
            <v>45461</v>
          </cell>
        </row>
        <row r="7877">
          <cell r="A7877" t="str">
            <v>Leandro Alceu Marques</v>
          </cell>
          <cell r="B7877">
            <v>37018141</v>
          </cell>
          <cell r="C7877">
            <v>20072289</v>
          </cell>
          <cell r="D7877">
            <v>45461</v>
          </cell>
        </row>
        <row r="7878">
          <cell r="A7878" t="str">
            <v>Luiz Adriano Monez</v>
          </cell>
          <cell r="B7878">
            <v>37018144</v>
          </cell>
          <cell r="C7878">
            <v>20072292</v>
          </cell>
          <cell r="D7878">
            <v>45461</v>
          </cell>
        </row>
        <row r="7879">
          <cell r="A7879" t="str">
            <v>Fabio Dias Carlos</v>
          </cell>
          <cell r="B7879">
            <v>37018146</v>
          </cell>
          <cell r="C7879">
            <v>20072294</v>
          </cell>
          <cell r="D7879">
            <v>45461</v>
          </cell>
        </row>
        <row r="7880">
          <cell r="A7880" t="str">
            <v>Carlos Alex de Godoi Paino</v>
          </cell>
          <cell r="B7880">
            <v>37018148</v>
          </cell>
          <cell r="C7880">
            <v>20072296</v>
          </cell>
          <cell r="D7880">
            <v>45461</v>
          </cell>
        </row>
        <row r="7881">
          <cell r="A7881" t="str">
            <v>Aldemir Pelaes dos Santos</v>
          </cell>
          <cell r="B7881">
            <v>37018151</v>
          </cell>
          <cell r="C7881">
            <v>20072299</v>
          </cell>
          <cell r="D7881">
            <v>45461</v>
          </cell>
        </row>
        <row r="7882">
          <cell r="A7882" t="str">
            <v>Claudinei Aparecido Dos Anjos</v>
          </cell>
          <cell r="B7882">
            <v>37018155</v>
          </cell>
          <cell r="C7882">
            <v>20072304</v>
          </cell>
          <cell r="D7882">
            <v>45461</v>
          </cell>
        </row>
        <row r="7883">
          <cell r="A7883" t="str">
            <v>Matheus Ribeiro dos Santos</v>
          </cell>
          <cell r="B7883">
            <v>37018156</v>
          </cell>
          <cell r="C7883">
            <v>20072305</v>
          </cell>
          <cell r="D7883">
            <v>45461</v>
          </cell>
        </row>
        <row r="7884">
          <cell r="A7884" t="str">
            <v>Leonardo Domingues De Oliveira</v>
          </cell>
          <cell r="B7884">
            <v>37018115</v>
          </cell>
          <cell r="C7884">
            <v>20049689</v>
          </cell>
          <cell r="D7884">
            <v>45454</v>
          </cell>
        </row>
        <row r="7885">
          <cell r="A7885" t="str">
            <v>Ruan Barreto Lima</v>
          </cell>
          <cell r="B7885">
            <v>37018160</v>
          </cell>
          <cell r="C7885">
            <v>20072309</v>
          </cell>
          <cell r="D7885">
            <v>45461</v>
          </cell>
        </row>
        <row r="7886">
          <cell r="A7886" t="str">
            <v>Jose Ailton Alves Dos Santos</v>
          </cell>
          <cell r="B7886">
            <v>37018169</v>
          </cell>
          <cell r="C7886">
            <v>20072318</v>
          </cell>
          <cell r="D7886">
            <v>45461</v>
          </cell>
        </row>
        <row r="7887">
          <cell r="A7887" t="str">
            <v>Edinaldo Cardoso Da Silva</v>
          </cell>
          <cell r="B7887">
            <v>37018164</v>
          </cell>
          <cell r="C7887">
            <v>20072313</v>
          </cell>
          <cell r="D7887">
            <v>45461</v>
          </cell>
        </row>
        <row r="7888">
          <cell r="A7888" t="str">
            <v>Kesley Rennan Gonçalves Alves</v>
          </cell>
          <cell r="B7888">
            <v>37018177</v>
          </cell>
          <cell r="C7888">
            <v>20072326</v>
          </cell>
          <cell r="D7888">
            <v>45461</v>
          </cell>
        </row>
        <row r="7889">
          <cell r="A7889" t="str">
            <v>Bruno Germano Da Silva</v>
          </cell>
          <cell r="B7889">
            <v>37018178</v>
          </cell>
          <cell r="C7889">
            <v>20072327</v>
          </cell>
          <cell r="D7889">
            <v>45461</v>
          </cell>
        </row>
        <row r="7890">
          <cell r="A7890" t="str">
            <v>Abraao de Araujo Costa</v>
          </cell>
          <cell r="B7890">
            <v>37018179</v>
          </cell>
          <cell r="C7890">
            <v>20072328</v>
          </cell>
          <cell r="D7890">
            <v>45461</v>
          </cell>
        </row>
        <row r="7891">
          <cell r="A7891" t="str">
            <v>Felipe Barreto Nunes</v>
          </cell>
          <cell r="B7891">
            <v>37018172</v>
          </cell>
          <cell r="C7891">
            <v>20072321</v>
          </cell>
          <cell r="D7891">
            <v>45461</v>
          </cell>
        </row>
        <row r="7892">
          <cell r="A7892" t="str">
            <v>Esdras Marcelo Vargem</v>
          </cell>
          <cell r="B7892">
            <v>37018180</v>
          </cell>
          <cell r="C7892">
            <v>20072329</v>
          </cell>
          <cell r="D7892">
            <v>45461</v>
          </cell>
        </row>
        <row r="7893">
          <cell r="A7893" t="str">
            <v>Dione Ferreira da Silva</v>
          </cell>
          <cell r="B7893">
            <v>37018181</v>
          </cell>
          <cell r="C7893">
            <v>20072330</v>
          </cell>
          <cell r="D7893">
            <v>45461</v>
          </cell>
        </row>
        <row r="7894">
          <cell r="A7894" t="str">
            <v>Devanilson Agostinho da Silva</v>
          </cell>
          <cell r="B7894">
            <v>37018186</v>
          </cell>
          <cell r="C7894">
            <v>20072335</v>
          </cell>
          <cell r="D7894">
            <v>45461</v>
          </cell>
        </row>
        <row r="7895">
          <cell r="A7895" t="str">
            <v>Joao Lucio Duarte Machado</v>
          </cell>
          <cell r="B7895">
            <v>37017972</v>
          </cell>
          <cell r="C7895">
            <v>20071240</v>
          </cell>
          <cell r="D7895">
            <v>45447</v>
          </cell>
        </row>
        <row r="7896">
          <cell r="A7896" t="str">
            <v>Flavio Leonardo de Souza Greggio</v>
          </cell>
          <cell r="B7896">
            <v>37018211</v>
          </cell>
          <cell r="C7896">
            <v>20072405</v>
          </cell>
          <cell r="D7896">
            <v>45461</v>
          </cell>
        </row>
        <row r="7897">
          <cell r="A7897" t="str">
            <v>Ana Laura Da Silva Pontes</v>
          </cell>
          <cell r="B7897">
            <v>37900875</v>
          </cell>
          <cell r="C7897">
            <v>20072467</v>
          </cell>
          <cell r="D7897" t="str">
            <v>00/01/1900</v>
          </cell>
        </row>
        <row r="7898">
          <cell r="A7898" t="str">
            <v>Maicon Henrique Martinelli</v>
          </cell>
          <cell r="B7898">
            <v>37018235</v>
          </cell>
          <cell r="C7898">
            <v>20072517</v>
          </cell>
          <cell r="D7898">
            <v>45461</v>
          </cell>
        </row>
        <row r="7899">
          <cell r="A7899" t="str">
            <v>Antonio Sergio Romani</v>
          </cell>
          <cell r="B7899">
            <v>37018236</v>
          </cell>
          <cell r="C7899">
            <v>20072521</v>
          </cell>
          <cell r="D7899">
            <v>45461</v>
          </cell>
        </row>
        <row r="7900">
          <cell r="A7900" t="str">
            <v>Natally De Souza Bielik</v>
          </cell>
          <cell r="B7900">
            <v>37011996</v>
          </cell>
          <cell r="C7900">
            <v>20046853</v>
          </cell>
          <cell r="D7900">
            <v>45019</v>
          </cell>
        </row>
        <row r="7901">
          <cell r="A7901" t="str">
            <v>Ana Paola Da Silva</v>
          </cell>
          <cell r="B7901">
            <v>37014631</v>
          </cell>
          <cell r="C7901">
            <v>20059370</v>
          </cell>
          <cell r="D7901">
            <v>45188</v>
          </cell>
        </row>
        <row r="7902">
          <cell r="A7902" t="str">
            <v>Adriano Fernandes Dos Santos</v>
          </cell>
          <cell r="B7902">
            <v>37014118</v>
          </cell>
          <cell r="C7902">
            <v>20057882</v>
          </cell>
          <cell r="D7902">
            <v>45160</v>
          </cell>
        </row>
        <row r="7903">
          <cell r="A7903" t="str">
            <v>Jessica Martins Pedra de Sousa</v>
          </cell>
          <cell r="B7903">
            <v>37014693</v>
          </cell>
          <cell r="C7903">
            <v>20059454</v>
          </cell>
          <cell r="D7903">
            <v>45188</v>
          </cell>
        </row>
        <row r="7904">
          <cell r="A7904" t="str">
            <v>Laira Aparecida Berci</v>
          </cell>
          <cell r="B7904">
            <v>37007154</v>
          </cell>
          <cell r="C7904">
            <v>20022952</v>
          </cell>
          <cell r="D7904">
            <v>44606</v>
          </cell>
        </row>
        <row r="7905">
          <cell r="A7905" t="str">
            <v>Lucas Zanetti</v>
          </cell>
          <cell r="B7905">
            <v>37009086</v>
          </cell>
          <cell r="C7905">
            <v>20031423</v>
          </cell>
          <cell r="D7905">
            <v>44788</v>
          </cell>
        </row>
        <row r="7906">
          <cell r="A7906" t="str">
            <v>Natalia De Oliveira Pereira</v>
          </cell>
          <cell r="B7906">
            <v>37004464</v>
          </cell>
          <cell r="C7906">
            <v>20008259</v>
          </cell>
          <cell r="D7906">
            <v>43899</v>
          </cell>
        </row>
        <row r="7907">
          <cell r="A7907" t="str">
            <v>Thaina Rodrigues De Oliveira</v>
          </cell>
          <cell r="B7907">
            <v>37004401</v>
          </cell>
          <cell r="C7907">
            <v>20008321</v>
          </cell>
          <cell r="D7907">
            <v>43878</v>
          </cell>
        </row>
        <row r="7908">
          <cell r="A7908" t="str">
            <v>Daniel Correa De Lima</v>
          </cell>
          <cell r="B7908">
            <v>37010826</v>
          </cell>
          <cell r="C7908">
            <v>20041222</v>
          </cell>
          <cell r="D7908">
            <v>44942</v>
          </cell>
        </row>
        <row r="7909">
          <cell r="A7909" t="str">
            <v>Gabriel Amilton Da Silva</v>
          </cell>
          <cell r="B7909" t="e">
            <v>#N/A</v>
          </cell>
          <cell r="C7909">
            <v>20031101</v>
          </cell>
          <cell r="D7909" t="e">
            <v>#N/A</v>
          </cell>
        </row>
        <row r="7910">
          <cell r="A7910" t="str">
            <v>Caio Dias</v>
          </cell>
          <cell r="B7910" t="e">
            <v>#N/A</v>
          </cell>
          <cell r="C7910">
            <v>20032401</v>
          </cell>
          <cell r="D7910" t="e">
            <v>#N/A</v>
          </cell>
        </row>
        <row r="7911">
          <cell r="A7911" t="str">
            <v>Bruno Henrique Perino Heissnauer</v>
          </cell>
          <cell r="B7911" t="e">
            <v>#N/A</v>
          </cell>
          <cell r="C7911">
            <v>20032395</v>
          </cell>
          <cell r="D7911" t="e">
            <v>#N/A</v>
          </cell>
        </row>
        <row r="7912">
          <cell r="A7912" t="str">
            <v>Joao Victor Almeida Chapani</v>
          </cell>
          <cell r="B7912" t="e">
            <v>#N/A</v>
          </cell>
          <cell r="C7912">
            <v>20035261</v>
          </cell>
          <cell r="D7912" t="e">
            <v>#N/A</v>
          </cell>
        </row>
        <row r="7913">
          <cell r="A7913" t="str">
            <v>Gabriel Antunes Pedroso</v>
          </cell>
          <cell r="B7913" t="e">
            <v>#N/A</v>
          </cell>
          <cell r="C7913">
            <v>20032387</v>
          </cell>
          <cell r="D7913" t="e">
            <v>#N/A</v>
          </cell>
        </row>
        <row r="7914">
          <cell r="A7914" t="str">
            <v>Joao Victor De Mattos Gomes</v>
          </cell>
          <cell r="B7914" t="e">
            <v>#N/A</v>
          </cell>
          <cell r="C7914">
            <v>20032390</v>
          </cell>
          <cell r="D7914" t="e">
            <v>#N/A</v>
          </cell>
        </row>
        <row r="7915">
          <cell r="A7915" t="str">
            <v>Nicolly De Souza Leite</v>
          </cell>
          <cell r="B7915" t="e">
            <v>#N/A</v>
          </cell>
          <cell r="C7915">
            <v>20032393</v>
          </cell>
          <cell r="D7915" t="e">
            <v>#N/A</v>
          </cell>
        </row>
        <row r="7916">
          <cell r="A7916" t="str">
            <v>Pedro Henrique Carvalho Estevam Da Silva</v>
          </cell>
          <cell r="B7916" t="e">
            <v>#N/A</v>
          </cell>
          <cell r="C7916">
            <v>20035263</v>
          </cell>
          <cell r="D7916" t="e">
            <v>#N/A</v>
          </cell>
        </row>
        <row r="7917">
          <cell r="A7917" t="str">
            <v>Ramon Barbosa Da Silva</v>
          </cell>
          <cell r="B7917" t="e">
            <v>#N/A</v>
          </cell>
          <cell r="C7917">
            <v>20032394</v>
          </cell>
          <cell r="D7917" t="e">
            <v>#N/A</v>
          </cell>
        </row>
        <row r="7918">
          <cell r="A7918" t="str">
            <v>Tayane Souza Vieira Dos Santos</v>
          </cell>
          <cell r="B7918" t="e">
            <v>#N/A</v>
          </cell>
          <cell r="C7918">
            <v>20031927</v>
          </cell>
          <cell r="D7918" t="e">
            <v>#N/A</v>
          </cell>
        </row>
        <row r="7919">
          <cell r="A7919" t="str">
            <v>Renan Jhonata Andrade Pinto</v>
          </cell>
          <cell r="B7919">
            <v>37012642</v>
          </cell>
          <cell r="C7919">
            <v>20051149</v>
          </cell>
          <cell r="D7919">
            <v>45083</v>
          </cell>
        </row>
        <row r="7920">
          <cell r="A7920" t="str">
            <v>Sandro Rogerio Bernini</v>
          </cell>
          <cell r="B7920">
            <v>37015205</v>
          </cell>
          <cell r="C7920">
            <v>20061521</v>
          </cell>
          <cell r="D7920">
            <v>45237</v>
          </cell>
        </row>
        <row r="7921">
          <cell r="A7921" t="str">
            <v>Dyogenes Santos Lima De Jesus</v>
          </cell>
          <cell r="B7921">
            <v>37008762</v>
          </cell>
          <cell r="C7921">
            <v>20032385</v>
          </cell>
          <cell r="D7921">
            <v>44774</v>
          </cell>
        </row>
        <row r="7922">
          <cell r="A7922" t="str">
            <v>Joao Vitor Machado Fernandes</v>
          </cell>
          <cell r="B7922">
            <v>37018253</v>
          </cell>
          <cell r="C7922">
            <v>20031415</v>
          </cell>
          <cell r="D7922">
            <v>45461</v>
          </cell>
        </row>
        <row r="7923">
          <cell r="A7923" t="str">
            <v>Djalma de Freitas Ribeiro Neto</v>
          </cell>
          <cell r="B7923">
            <v>37018266</v>
          </cell>
          <cell r="C7923">
            <v>20072791</v>
          </cell>
          <cell r="D7923">
            <v>45475</v>
          </cell>
        </row>
        <row r="7924">
          <cell r="A7924" t="str">
            <v>Ivang Berg Pereira Vidal</v>
          </cell>
          <cell r="B7924">
            <v>37000541</v>
          </cell>
          <cell r="C7924">
            <v>20009284</v>
          </cell>
          <cell r="D7924">
            <v>39195</v>
          </cell>
        </row>
        <row r="7925">
          <cell r="A7925" t="str">
            <v>Gerson Antonio Franco</v>
          </cell>
          <cell r="B7925">
            <v>37010639</v>
          </cell>
          <cell r="C7925">
            <v>20040593</v>
          </cell>
          <cell r="D7925">
            <v>44930</v>
          </cell>
        </row>
        <row r="7926">
          <cell r="A7926" t="str">
            <v>Wellington Furtado De Moura</v>
          </cell>
          <cell r="B7926">
            <v>37002942</v>
          </cell>
          <cell r="C7926">
            <v>20010042</v>
          </cell>
          <cell r="D7926">
            <v>43507</v>
          </cell>
        </row>
        <row r="7927">
          <cell r="A7927" t="str">
            <v>Celso Antonio Dos Santos</v>
          </cell>
          <cell r="B7927">
            <v>37000316</v>
          </cell>
          <cell r="C7927">
            <v>20008780</v>
          </cell>
          <cell r="D7927">
            <v>36990</v>
          </cell>
        </row>
        <row r="7928">
          <cell r="A7928" t="str">
            <v>Bruno Pereira Dos Santos</v>
          </cell>
          <cell r="B7928">
            <v>37004744</v>
          </cell>
          <cell r="C7928">
            <v>20008396</v>
          </cell>
          <cell r="D7928">
            <v>44060</v>
          </cell>
        </row>
        <row r="7929">
          <cell r="A7929" t="str">
            <v>Genilson Alves Da Silva</v>
          </cell>
          <cell r="B7929">
            <v>37010944</v>
          </cell>
          <cell r="C7929">
            <v>20041764</v>
          </cell>
          <cell r="D7929">
            <v>44958</v>
          </cell>
        </row>
        <row r="7930">
          <cell r="A7930" t="str">
            <v>Gustavo Dos Santos Souza</v>
          </cell>
          <cell r="B7930">
            <v>37009288</v>
          </cell>
          <cell r="C7930">
            <v>20032968</v>
          </cell>
          <cell r="D7930">
            <v>44809</v>
          </cell>
        </row>
        <row r="7931">
          <cell r="A7931" t="str">
            <v>JOAO CARLOS BASTAZINI JUNIOR</v>
          </cell>
          <cell r="B7931">
            <v>37018278</v>
          </cell>
          <cell r="C7931">
            <v>20072827</v>
          </cell>
          <cell r="D7931">
            <v>45475</v>
          </cell>
        </row>
        <row r="7932">
          <cell r="A7932" t="str">
            <v>Adriano De  Souza</v>
          </cell>
          <cell r="B7932">
            <v>37018280</v>
          </cell>
          <cell r="C7932">
            <v>20072829</v>
          </cell>
          <cell r="D7932">
            <v>45475</v>
          </cell>
        </row>
        <row r="7933">
          <cell r="A7933" t="str">
            <v>Marcos Willian Ajala Camargo</v>
          </cell>
          <cell r="B7933">
            <v>37018281</v>
          </cell>
          <cell r="C7933">
            <v>20072830</v>
          </cell>
          <cell r="D7933">
            <v>45475</v>
          </cell>
        </row>
        <row r="7934">
          <cell r="A7934" t="str">
            <v>Carlos Rodrigues De Oliveira Souza</v>
          </cell>
          <cell r="B7934">
            <v>37018282</v>
          </cell>
          <cell r="C7934">
            <v>20072833</v>
          </cell>
          <cell r="D7934">
            <v>45475</v>
          </cell>
        </row>
        <row r="7935">
          <cell r="A7935" t="str">
            <v>Ana Maria Zafani Dos Santos</v>
          </cell>
          <cell r="B7935">
            <v>37007141</v>
          </cell>
          <cell r="C7935">
            <v>20022945</v>
          </cell>
          <cell r="D7935">
            <v>44606</v>
          </cell>
        </row>
        <row r="7936">
          <cell r="A7936" t="str">
            <v>William Shimith</v>
          </cell>
          <cell r="B7936">
            <v>37003999</v>
          </cell>
          <cell r="C7936">
            <v>20010056</v>
          </cell>
          <cell r="D7936">
            <v>43801</v>
          </cell>
        </row>
        <row r="7937">
          <cell r="A7937" t="str">
            <v>Renato Bonatto Bollis</v>
          </cell>
          <cell r="B7937">
            <v>37010124</v>
          </cell>
          <cell r="C7937">
            <v>20038259</v>
          </cell>
          <cell r="D7937">
            <v>44886</v>
          </cell>
        </row>
        <row r="7938">
          <cell r="A7938" t="str">
            <v>Marcio Pedro Da Silva Junior</v>
          </cell>
          <cell r="B7938">
            <v>37018286</v>
          </cell>
          <cell r="C7938">
            <v>20072845</v>
          </cell>
          <cell r="D7938">
            <v>45475</v>
          </cell>
        </row>
        <row r="7939">
          <cell r="A7939" t="str">
            <v>Jefferson Luis De Brito</v>
          </cell>
          <cell r="B7939">
            <v>37018289</v>
          </cell>
          <cell r="C7939">
            <v>20072848</v>
          </cell>
          <cell r="D7939">
            <v>45475</v>
          </cell>
        </row>
        <row r="7940">
          <cell r="A7940" t="str">
            <v>Thiago Serafim Avelino</v>
          </cell>
          <cell r="B7940">
            <v>37018293</v>
          </cell>
          <cell r="C7940">
            <v>20072852</v>
          </cell>
          <cell r="D7940">
            <v>45475</v>
          </cell>
        </row>
        <row r="7941">
          <cell r="A7941" t="str">
            <v>Joao Victor Ferreira Cardoso</v>
          </cell>
          <cell r="B7941">
            <v>37018295</v>
          </cell>
          <cell r="C7941">
            <v>20072854</v>
          </cell>
          <cell r="D7941">
            <v>45475</v>
          </cell>
        </row>
        <row r="7942">
          <cell r="A7942" t="str">
            <v>Daniela Francisca Lourenço Barbosa</v>
          </cell>
          <cell r="B7942">
            <v>37018300</v>
          </cell>
          <cell r="C7942">
            <v>20072859</v>
          </cell>
          <cell r="D7942">
            <v>45475</v>
          </cell>
        </row>
        <row r="7943">
          <cell r="A7943" t="str">
            <v>Agnaldo De Ataide Leite</v>
          </cell>
          <cell r="B7943">
            <v>37018296</v>
          </cell>
          <cell r="C7943">
            <v>20072855</v>
          </cell>
          <cell r="D7943">
            <v>45475</v>
          </cell>
        </row>
        <row r="7944">
          <cell r="A7944" t="str">
            <v>Claudivan Aparecido Soares De Goes</v>
          </cell>
          <cell r="B7944">
            <v>37018299</v>
          </cell>
          <cell r="C7944">
            <v>20072858</v>
          </cell>
          <cell r="D7944">
            <v>45475</v>
          </cell>
        </row>
        <row r="7945">
          <cell r="A7945" t="str">
            <v>Paulo Sergio Aparecido De Freitas</v>
          </cell>
          <cell r="B7945">
            <v>37018301</v>
          </cell>
          <cell r="C7945">
            <v>20072860</v>
          </cell>
          <cell r="D7945">
            <v>45475</v>
          </cell>
        </row>
        <row r="7946">
          <cell r="A7946" t="str">
            <v>Anderson Avila Vaz</v>
          </cell>
          <cell r="B7946">
            <v>37018303</v>
          </cell>
          <cell r="C7946">
            <v>20072862</v>
          </cell>
          <cell r="D7946">
            <v>45475</v>
          </cell>
        </row>
        <row r="7947">
          <cell r="A7947" t="str">
            <v>Valdeci Silverio</v>
          </cell>
          <cell r="B7947">
            <v>37018306</v>
          </cell>
          <cell r="C7947">
            <v>20072865</v>
          </cell>
          <cell r="D7947">
            <v>45475</v>
          </cell>
        </row>
        <row r="7948">
          <cell r="A7948" t="str">
            <v>Wellington Augusto Dos Santos</v>
          </cell>
          <cell r="B7948">
            <v>37018308</v>
          </cell>
          <cell r="C7948">
            <v>20072867</v>
          </cell>
          <cell r="D7948">
            <v>45475</v>
          </cell>
        </row>
        <row r="7949">
          <cell r="A7949" t="str">
            <v>Guilherme Garcia Leite</v>
          </cell>
          <cell r="B7949">
            <v>37018309</v>
          </cell>
          <cell r="C7949">
            <v>20072868</v>
          </cell>
          <cell r="D7949">
            <v>45475</v>
          </cell>
        </row>
        <row r="7950">
          <cell r="A7950" t="str">
            <v>Felipe Sousa Castro</v>
          </cell>
          <cell r="B7950">
            <v>37018302</v>
          </cell>
          <cell r="C7950">
            <v>20072861</v>
          </cell>
          <cell r="D7950">
            <v>45483</v>
          </cell>
        </row>
        <row r="7951">
          <cell r="A7951" t="str">
            <v>Luiz Antonio Barbi</v>
          </cell>
          <cell r="B7951">
            <v>37018305</v>
          </cell>
          <cell r="C7951">
            <v>20072864</v>
          </cell>
          <cell r="D7951">
            <v>45475</v>
          </cell>
        </row>
        <row r="7952">
          <cell r="A7952" t="str">
            <v>Cassia Aparecida Gonçalves</v>
          </cell>
          <cell r="B7952">
            <v>37018310</v>
          </cell>
          <cell r="C7952">
            <v>20072869</v>
          </cell>
          <cell r="D7952">
            <v>45475</v>
          </cell>
        </row>
        <row r="7953">
          <cell r="A7953" t="str">
            <v>Matheus Goncalves Primo</v>
          </cell>
          <cell r="B7953">
            <v>37018316</v>
          </cell>
          <cell r="C7953">
            <v>20073100</v>
          </cell>
          <cell r="D7953">
            <v>45475</v>
          </cell>
        </row>
        <row r="7954">
          <cell r="A7954" t="str">
            <v>Valdir Peres Pereira Dos Santos</v>
          </cell>
          <cell r="B7954">
            <v>37018315</v>
          </cell>
          <cell r="C7954">
            <v>20073099</v>
          </cell>
          <cell r="D7954">
            <v>45475</v>
          </cell>
        </row>
        <row r="7955">
          <cell r="A7955" t="str">
            <v>Marcio Juliao de Souza</v>
          </cell>
          <cell r="B7955">
            <v>37018323</v>
          </cell>
          <cell r="C7955">
            <v>20073107</v>
          </cell>
          <cell r="D7955">
            <v>45475</v>
          </cell>
        </row>
        <row r="7956">
          <cell r="A7956" t="str">
            <v>Ademar Elias Dos Santos Junior</v>
          </cell>
          <cell r="B7956">
            <v>37018327</v>
          </cell>
          <cell r="C7956">
            <v>20073111</v>
          </cell>
          <cell r="D7956">
            <v>45475</v>
          </cell>
        </row>
        <row r="7957">
          <cell r="A7957" t="str">
            <v>Sidiclei Cunha Gonzales</v>
          </cell>
          <cell r="B7957">
            <v>37018331</v>
          </cell>
          <cell r="C7957">
            <v>20073115</v>
          </cell>
          <cell r="D7957">
            <v>45475</v>
          </cell>
        </row>
        <row r="7958">
          <cell r="A7958" t="str">
            <v>Islan Alves Da Silva Ribeiro Alves Ribeiro</v>
          </cell>
          <cell r="B7958">
            <v>37018336</v>
          </cell>
          <cell r="C7958">
            <v>20073120</v>
          </cell>
          <cell r="D7958">
            <v>45475</v>
          </cell>
        </row>
        <row r="7959">
          <cell r="A7959" t="str">
            <v>Katiana Gomes Coelho</v>
          </cell>
          <cell r="B7959">
            <v>37018322</v>
          </cell>
          <cell r="C7959">
            <v>20073106</v>
          </cell>
          <cell r="D7959">
            <v>45475</v>
          </cell>
        </row>
        <row r="7960">
          <cell r="A7960" t="str">
            <v>Rafael De Souza</v>
          </cell>
          <cell r="B7960">
            <v>37018325</v>
          </cell>
          <cell r="C7960">
            <v>20073109</v>
          </cell>
          <cell r="D7960">
            <v>45475</v>
          </cell>
        </row>
        <row r="7961">
          <cell r="A7961" t="str">
            <v>Sidnei Henrique De Oliveira</v>
          </cell>
          <cell r="B7961">
            <v>37018326</v>
          </cell>
          <cell r="C7961">
            <v>20073110</v>
          </cell>
          <cell r="D7961">
            <v>45475</v>
          </cell>
        </row>
        <row r="7962">
          <cell r="A7962" t="str">
            <v>Perclydes Timoteo Ferreira</v>
          </cell>
          <cell r="B7962" t="e">
            <v>#N/A</v>
          </cell>
          <cell r="C7962">
            <v>20073112</v>
          </cell>
          <cell r="D7962" t="e">
            <v>#N/A</v>
          </cell>
        </row>
        <row r="7963">
          <cell r="A7963" t="str">
            <v>Adson Silva Souza</v>
          </cell>
          <cell r="B7963">
            <v>37018329</v>
          </cell>
          <cell r="C7963">
            <v>20073113</v>
          </cell>
          <cell r="D7963">
            <v>45475</v>
          </cell>
        </row>
        <row r="7964">
          <cell r="A7964" t="str">
            <v>Ruver Alves Ferreira Filho</v>
          </cell>
          <cell r="B7964">
            <v>37018342</v>
          </cell>
          <cell r="C7964">
            <v>20073126</v>
          </cell>
          <cell r="D7964">
            <v>45475</v>
          </cell>
        </row>
        <row r="7965">
          <cell r="A7965" t="str">
            <v>Daniel Ribeiro Pires</v>
          </cell>
          <cell r="B7965">
            <v>37018344</v>
          </cell>
          <cell r="C7965">
            <v>20073128</v>
          </cell>
          <cell r="D7965">
            <v>45475</v>
          </cell>
        </row>
        <row r="7966">
          <cell r="A7966" t="str">
            <v>Jose Augusto Artioli</v>
          </cell>
          <cell r="B7966">
            <v>37018346</v>
          </cell>
          <cell r="C7966">
            <v>20073130</v>
          </cell>
          <cell r="D7966">
            <v>45475</v>
          </cell>
        </row>
        <row r="7967">
          <cell r="A7967" t="str">
            <v>Paulo Sergio Martins Junior</v>
          </cell>
          <cell r="B7967">
            <v>37018341</v>
          </cell>
          <cell r="C7967">
            <v>20073125</v>
          </cell>
          <cell r="D7967">
            <v>45475</v>
          </cell>
        </row>
        <row r="7968">
          <cell r="A7968" t="str">
            <v>Emerson Santos De Oliveira</v>
          </cell>
          <cell r="B7968">
            <v>37018343</v>
          </cell>
          <cell r="C7968">
            <v>20073127</v>
          </cell>
          <cell r="D7968">
            <v>45475</v>
          </cell>
        </row>
        <row r="7969">
          <cell r="A7969" t="str">
            <v>Claudionor Almeida Simoes</v>
          </cell>
          <cell r="B7969">
            <v>37018349</v>
          </cell>
          <cell r="C7969">
            <v>20073133</v>
          </cell>
          <cell r="D7969">
            <v>45475</v>
          </cell>
        </row>
        <row r="7970">
          <cell r="A7970" t="str">
            <v>Carlos Oliveira dos Santos</v>
          </cell>
          <cell r="B7970">
            <v>37018352</v>
          </cell>
          <cell r="C7970">
            <v>20073136</v>
          </cell>
          <cell r="D7970">
            <v>45475</v>
          </cell>
        </row>
        <row r="7971">
          <cell r="A7971" t="str">
            <v>Ivanildo Santos Da Silva</v>
          </cell>
          <cell r="B7971">
            <v>37018355</v>
          </cell>
          <cell r="C7971">
            <v>20073139</v>
          </cell>
          <cell r="D7971">
            <v>45475</v>
          </cell>
        </row>
        <row r="7972">
          <cell r="A7972" t="str">
            <v>Gilmar Aparecido Dias</v>
          </cell>
          <cell r="B7972">
            <v>37018357</v>
          </cell>
          <cell r="C7972">
            <v>20073141</v>
          </cell>
          <cell r="D7972">
            <v>45475</v>
          </cell>
        </row>
        <row r="7973">
          <cell r="A7973" t="str">
            <v>Evandro Mello</v>
          </cell>
          <cell r="B7973">
            <v>37018361</v>
          </cell>
          <cell r="C7973">
            <v>20073145</v>
          </cell>
          <cell r="D7973">
            <v>45475</v>
          </cell>
        </row>
        <row r="7974">
          <cell r="A7974" t="str">
            <v>Roseli Marcelina Oliveira Goés da Silva</v>
          </cell>
          <cell r="B7974">
            <v>37018366</v>
          </cell>
          <cell r="C7974">
            <v>20073150</v>
          </cell>
          <cell r="D7974">
            <v>45475</v>
          </cell>
        </row>
        <row r="7975">
          <cell r="A7975" t="str">
            <v>Camila Dembinski</v>
          </cell>
          <cell r="B7975">
            <v>37018372</v>
          </cell>
          <cell r="C7975">
            <v>20073156</v>
          </cell>
          <cell r="D7975">
            <v>45475</v>
          </cell>
        </row>
        <row r="7976">
          <cell r="A7976" t="str">
            <v>Marcelo Moura Fernandes</v>
          </cell>
          <cell r="B7976">
            <v>37018373</v>
          </cell>
          <cell r="C7976">
            <v>20073157</v>
          </cell>
          <cell r="D7976">
            <v>45475</v>
          </cell>
        </row>
        <row r="7977">
          <cell r="A7977" t="str">
            <v>Nilton Nunes Da Silva</v>
          </cell>
          <cell r="B7977">
            <v>37018375</v>
          </cell>
          <cell r="C7977">
            <v>20073159</v>
          </cell>
          <cell r="D7977">
            <v>45475</v>
          </cell>
        </row>
        <row r="7978">
          <cell r="A7978" t="str">
            <v>Carlos Andre de Lima dos Santos</v>
          </cell>
          <cell r="B7978">
            <v>37018362</v>
          </cell>
          <cell r="C7978">
            <v>20073146</v>
          </cell>
          <cell r="D7978">
            <v>45475</v>
          </cell>
        </row>
        <row r="7979">
          <cell r="A7979" t="str">
            <v>Antônio Carlos Evangelista Júnior</v>
          </cell>
          <cell r="B7979">
            <v>37018369</v>
          </cell>
          <cell r="C7979">
            <v>20073153</v>
          </cell>
          <cell r="D7979">
            <v>45475</v>
          </cell>
        </row>
        <row r="7980">
          <cell r="A7980" t="str">
            <v>Giovanna Torres Toniolo Matsubara</v>
          </cell>
          <cell r="B7980">
            <v>37018377</v>
          </cell>
          <cell r="C7980">
            <v>20073161</v>
          </cell>
          <cell r="D7980">
            <v>45475</v>
          </cell>
        </row>
        <row r="7981">
          <cell r="A7981" t="str">
            <v>Ariovaldo Antonio Roda</v>
          </cell>
          <cell r="B7981">
            <v>37018378</v>
          </cell>
          <cell r="C7981">
            <v>20073162</v>
          </cell>
          <cell r="D7981">
            <v>45475</v>
          </cell>
        </row>
        <row r="7982">
          <cell r="A7982" t="str">
            <v>Mara Aparecida De Camargo</v>
          </cell>
          <cell r="B7982">
            <v>37018379</v>
          </cell>
          <cell r="C7982">
            <v>20073163</v>
          </cell>
          <cell r="D7982">
            <v>45475</v>
          </cell>
        </row>
        <row r="7983">
          <cell r="A7983" t="str">
            <v>Matheus Ferreira Lopes</v>
          </cell>
          <cell r="B7983">
            <v>37018380</v>
          </cell>
          <cell r="C7983">
            <v>20073164</v>
          </cell>
          <cell r="D7983">
            <v>45475</v>
          </cell>
        </row>
        <row r="7984">
          <cell r="A7984" t="str">
            <v>Rosemiro Leite Dos Santos</v>
          </cell>
          <cell r="B7984">
            <v>37018382</v>
          </cell>
          <cell r="C7984">
            <v>20073166</v>
          </cell>
          <cell r="D7984">
            <v>45475</v>
          </cell>
        </row>
        <row r="7985">
          <cell r="A7985" t="str">
            <v>Leandro Alves</v>
          </cell>
          <cell r="B7985">
            <v>37018383</v>
          </cell>
          <cell r="C7985">
            <v>20073167</v>
          </cell>
          <cell r="D7985">
            <v>45475</v>
          </cell>
        </row>
        <row r="7986">
          <cell r="A7986" t="str">
            <v>Maria Julia Siqueira Alberto</v>
          </cell>
          <cell r="B7986" t="e">
            <v>#N/A</v>
          </cell>
          <cell r="C7986">
            <v>20073171</v>
          </cell>
          <cell r="D7986" t="e">
            <v>#N/A</v>
          </cell>
        </row>
        <row r="7987">
          <cell r="A7987" t="str">
            <v>Adolfo Aparecido Luis Correa</v>
          </cell>
          <cell r="B7987">
            <v>37018384</v>
          </cell>
          <cell r="C7987">
            <v>20073168</v>
          </cell>
          <cell r="D7987">
            <v>45475</v>
          </cell>
        </row>
        <row r="7988">
          <cell r="A7988" t="str">
            <v>Zelia Francisco da Rocha</v>
          </cell>
          <cell r="B7988">
            <v>37018386</v>
          </cell>
          <cell r="C7988">
            <v>20073170</v>
          </cell>
          <cell r="D7988">
            <v>45475</v>
          </cell>
        </row>
        <row r="7989">
          <cell r="A7989" t="str">
            <v>Cassio Adriano De Marco</v>
          </cell>
          <cell r="B7989">
            <v>37003558</v>
          </cell>
          <cell r="C7989">
            <v>20008775</v>
          </cell>
          <cell r="D7989">
            <v>43696</v>
          </cell>
        </row>
        <row r="7990">
          <cell r="A7990" t="str">
            <v>Jefferson Soares de Oliveira</v>
          </cell>
          <cell r="B7990">
            <v>37012857</v>
          </cell>
          <cell r="C7990">
            <v>20051812</v>
          </cell>
          <cell r="D7990">
            <v>45083</v>
          </cell>
        </row>
        <row r="7991">
          <cell r="A7991" t="str">
            <v>Patrícia Moriel Vitor</v>
          </cell>
          <cell r="B7991">
            <v>37018392</v>
          </cell>
          <cell r="C7991">
            <v>20073176</v>
          </cell>
          <cell r="D7991">
            <v>45475</v>
          </cell>
        </row>
        <row r="7992">
          <cell r="A7992" t="str">
            <v>Tiffany Maria Patrocínio Silva</v>
          </cell>
          <cell r="B7992" t="e">
            <v>#N/A</v>
          </cell>
          <cell r="C7992">
            <v>20073181</v>
          </cell>
          <cell r="D7992" t="e">
            <v>#N/A</v>
          </cell>
        </row>
        <row r="7993">
          <cell r="A7993" t="str">
            <v>VANESSA COCHI DE PAULO</v>
          </cell>
          <cell r="B7993">
            <v>37018397</v>
          </cell>
          <cell r="C7993">
            <v>20073182</v>
          </cell>
          <cell r="D7993">
            <v>45475</v>
          </cell>
        </row>
        <row r="7994">
          <cell r="A7994" t="str">
            <v>Gabriel Marques Silva</v>
          </cell>
          <cell r="B7994">
            <v>37014867</v>
          </cell>
          <cell r="C7994">
            <v>20060448</v>
          </cell>
          <cell r="D7994">
            <v>45209</v>
          </cell>
        </row>
        <row r="7995">
          <cell r="A7995" t="str">
            <v>Deoclecio Antonio Ribeiro</v>
          </cell>
          <cell r="B7995">
            <v>37013693</v>
          </cell>
          <cell r="C7995">
            <v>20056256</v>
          </cell>
          <cell r="D7995">
            <v>45139</v>
          </cell>
        </row>
        <row r="7996">
          <cell r="A7996" t="str">
            <v>Bruno Eduardo de Oliveira</v>
          </cell>
          <cell r="B7996">
            <v>37011497</v>
          </cell>
          <cell r="C7996">
            <v>20044121</v>
          </cell>
          <cell r="D7996">
            <v>44991</v>
          </cell>
        </row>
        <row r="7997">
          <cell r="A7997" t="str">
            <v>Cristiano Silva</v>
          </cell>
          <cell r="B7997">
            <v>37018408</v>
          </cell>
          <cell r="C7997">
            <v>20073600</v>
          </cell>
          <cell r="D7997">
            <v>45483</v>
          </cell>
        </row>
        <row r="7998">
          <cell r="A7998" t="str">
            <v>Wender Pereira Da Silva</v>
          </cell>
          <cell r="B7998">
            <v>37018414</v>
          </cell>
          <cell r="C7998">
            <v>20073606</v>
          </cell>
          <cell r="D7998">
            <v>45483</v>
          </cell>
        </row>
        <row r="7999">
          <cell r="A7999" t="str">
            <v>Douglas Henrique Barbosa Ferreira de Lima</v>
          </cell>
          <cell r="B7999">
            <v>37018421</v>
          </cell>
          <cell r="C7999">
            <v>20073613</v>
          </cell>
          <cell r="D7999">
            <v>45475</v>
          </cell>
        </row>
        <row r="8000">
          <cell r="A8000" t="str">
            <v>Iraci Dulce Da Silva</v>
          </cell>
          <cell r="B8000">
            <v>37018427</v>
          </cell>
          <cell r="C8000">
            <v>20073622</v>
          </cell>
          <cell r="D8000">
            <v>45483</v>
          </cell>
        </row>
        <row r="8001">
          <cell r="A8001" t="str">
            <v>Gabriel Ribeiro Do Val</v>
          </cell>
          <cell r="B8001">
            <v>37018428</v>
          </cell>
          <cell r="C8001">
            <v>20073623</v>
          </cell>
          <cell r="D8001">
            <v>45483</v>
          </cell>
        </row>
        <row r="8002">
          <cell r="A8002" t="str">
            <v>Pedro Luiz Da Silva</v>
          </cell>
          <cell r="B8002">
            <v>37018429</v>
          </cell>
          <cell r="C8002">
            <v>20073624</v>
          </cell>
          <cell r="D8002">
            <v>45483</v>
          </cell>
        </row>
        <row r="8003">
          <cell r="A8003" t="str">
            <v>Wellington Tavares da Silva</v>
          </cell>
          <cell r="B8003">
            <v>37018431</v>
          </cell>
          <cell r="C8003">
            <v>20073626</v>
          </cell>
          <cell r="D8003">
            <v>45483</v>
          </cell>
        </row>
        <row r="8004">
          <cell r="A8004" t="str">
            <v>Marcos Antonio Drumond</v>
          </cell>
          <cell r="B8004">
            <v>37018437</v>
          </cell>
          <cell r="C8004">
            <v>20073632</v>
          </cell>
          <cell r="D8004">
            <v>45483</v>
          </cell>
        </row>
        <row r="8005">
          <cell r="A8005" t="str">
            <v>Leonardo Henrique De Oliveira</v>
          </cell>
          <cell r="B8005">
            <v>37018438</v>
          </cell>
          <cell r="C8005">
            <v>20073633</v>
          </cell>
          <cell r="D8005">
            <v>45483</v>
          </cell>
        </row>
        <row r="8006">
          <cell r="A8006" t="str">
            <v>Gilmar de Souza Santana</v>
          </cell>
          <cell r="B8006">
            <v>37018439</v>
          </cell>
          <cell r="C8006">
            <v>20073634</v>
          </cell>
          <cell r="D8006">
            <v>45489</v>
          </cell>
        </row>
        <row r="8007">
          <cell r="A8007" t="str">
            <v>Valquíria Pedro</v>
          </cell>
          <cell r="B8007">
            <v>37018440</v>
          </cell>
          <cell r="C8007">
            <v>20073635</v>
          </cell>
          <cell r="D8007">
            <v>45483</v>
          </cell>
        </row>
        <row r="8008">
          <cell r="A8008" t="str">
            <v>Reinaldo Aparecido Delgado</v>
          </cell>
          <cell r="B8008">
            <v>37018430</v>
          </cell>
          <cell r="C8008">
            <v>20073625</v>
          </cell>
          <cell r="D8008">
            <v>45483</v>
          </cell>
        </row>
        <row r="8009">
          <cell r="A8009" t="str">
            <v>Talitha Avila Sollero Silva</v>
          </cell>
          <cell r="B8009">
            <v>37018433</v>
          </cell>
          <cell r="C8009">
            <v>20073628</v>
          </cell>
          <cell r="D8009">
            <v>45483</v>
          </cell>
        </row>
        <row r="8010">
          <cell r="A8010" t="str">
            <v>Luiz Fernando Silva Vieira</v>
          </cell>
          <cell r="B8010">
            <v>37018435</v>
          </cell>
          <cell r="C8010">
            <v>20073630</v>
          </cell>
          <cell r="D8010">
            <v>45483</v>
          </cell>
        </row>
        <row r="8011">
          <cell r="A8011" t="str">
            <v>Leonardo Florencio Alves Rios</v>
          </cell>
          <cell r="B8011">
            <v>37018442</v>
          </cell>
          <cell r="C8011">
            <v>20073638</v>
          </cell>
          <cell r="D8011">
            <v>45483</v>
          </cell>
        </row>
        <row r="8012">
          <cell r="A8012" t="str">
            <v>Leandro Lopes De Oliveira Junior</v>
          </cell>
          <cell r="B8012">
            <v>37018443</v>
          </cell>
          <cell r="C8012">
            <v>20073639</v>
          </cell>
          <cell r="D8012">
            <v>45483</v>
          </cell>
        </row>
        <row r="8013">
          <cell r="A8013" t="str">
            <v>Vaniley Cristina Ribeiro</v>
          </cell>
          <cell r="B8013">
            <v>37018449</v>
          </cell>
          <cell r="C8013">
            <v>20073645</v>
          </cell>
          <cell r="D8013">
            <v>45483</v>
          </cell>
        </row>
        <row r="8014">
          <cell r="A8014" t="str">
            <v>Marcos Rogerio Jose</v>
          </cell>
          <cell r="B8014">
            <v>37018441</v>
          </cell>
          <cell r="C8014">
            <v>20073637</v>
          </cell>
          <cell r="D8014">
            <v>45483</v>
          </cell>
        </row>
        <row r="8015">
          <cell r="A8015" t="str">
            <v>Patrick Fernando Rodrigues Evangelista</v>
          </cell>
          <cell r="B8015">
            <v>37018444</v>
          </cell>
          <cell r="C8015">
            <v>20073640</v>
          </cell>
          <cell r="D8015">
            <v>45483</v>
          </cell>
        </row>
        <row r="8016">
          <cell r="A8016" t="str">
            <v>Jose Luiz de Freitas</v>
          </cell>
          <cell r="B8016">
            <v>37018447</v>
          </cell>
          <cell r="C8016">
            <v>20073643</v>
          </cell>
          <cell r="D8016">
            <v>45483</v>
          </cell>
        </row>
        <row r="8017">
          <cell r="A8017" t="str">
            <v>Joao Luiz Gallego</v>
          </cell>
          <cell r="B8017">
            <v>37018448</v>
          </cell>
          <cell r="C8017">
            <v>20073644</v>
          </cell>
          <cell r="D8017">
            <v>45483</v>
          </cell>
        </row>
        <row r="8018">
          <cell r="A8018" t="str">
            <v>Jose Roberto Cardoso</v>
          </cell>
          <cell r="B8018">
            <v>37018450</v>
          </cell>
          <cell r="C8018">
            <v>20073646</v>
          </cell>
          <cell r="D8018">
            <v>45483</v>
          </cell>
        </row>
        <row r="8019">
          <cell r="A8019" t="str">
            <v>Emerson Cristiano Melo</v>
          </cell>
          <cell r="B8019">
            <v>37018451</v>
          </cell>
          <cell r="C8019">
            <v>20073647</v>
          </cell>
          <cell r="D8019">
            <v>45483</v>
          </cell>
        </row>
        <row r="8020">
          <cell r="A8020" t="str">
            <v>Reginaldo Luis dos Santos</v>
          </cell>
          <cell r="B8020">
            <v>37018454</v>
          </cell>
          <cell r="C8020">
            <v>20073650</v>
          </cell>
          <cell r="D8020">
            <v>45483</v>
          </cell>
        </row>
        <row r="8021">
          <cell r="A8021" t="str">
            <v>Andegione Francisco Ventepani</v>
          </cell>
          <cell r="B8021">
            <v>37018456</v>
          </cell>
          <cell r="C8021">
            <v>20073652</v>
          </cell>
          <cell r="D8021">
            <v>45482</v>
          </cell>
        </row>
        <row r="8022">
          <cell r="A8022" t="str">
            <v>Claudinei Bertolotto</v>
          </cell>
          <cell r="B8022">
            <v>37018455</v>
          </cell>
          <cell r="C8022">
            <v>20073651</v>
          </cell>
          <cell r="D8022">
            <v>45483</v>
          </cell>
        </row>
        <row r="8023">
          <cell r="A8023" t="str">
            <v>Rafael Ricardo Ribeiro</v>
          </cell>
          <cell r="B8023">
            <v>37018458</v>
          </cell>
          <cell r="C8023">
            <v>20073654</v>
          </cell>
          <cell r="D8023">
            <v>45483</v>
          </cell>
        </row>
        <row r="8024">
          <cell r="A8024" t="str">
            <v>Jucelen Ivana de Oliveira</v>
          </cell>
          <cell r="B8024">
            <v>37018460</v>
          </cell>
          <cell r="C8024">
            <v>20073656</v>
          </cell>
          <cell r="D8024">
            <v>45483</v>
          </cell>
        </row>
        <row r="8025">
          <cell r="A8025" t="str">
            <v>Fabiano Esteves da Silva</v>
          </cell>
          <cell r="B8025">
            <v>37018464</v>
          </cell>
          <cell r="C8025">
            <v>20073660</v>
          </cell>
          <cell r="D8025">
            <v>45483</v>
          </cell>
        </row>
        <row r="8026">
          <cell r="A8026" t="str">
            <v>José Evandro Bocardo</v>
          </cell>
          <cell r="B8026">
            <v>37018468</v>
          </cell>
          <cell r="C8026">
            <v>20073664</v>
          </cell>
          <cell r="D8026">
            <v>45483</v>
          </cell>
        </row>
        <row r="8027">
          <cell r="A8027" t="str">
            <v>Cintio De Oliveira Goncalves</v>
          </cell>
          <cell r="B8027">
            <v>37018473</v>
          </cell>
          <cell r="C8027">
            <v>20073669</v>
          </cell>
          <cell r="D8027">
            <v>45483</v>
          </cell>
        </row>
        <row r="8028">
          <cell r="A8028" t="str">
            <v>Carlos José André Garbes</v>
          </cell>
          <cell r="B8028">
            <v>37018457</v>
          </cell>
          <cell r="C8028">
            <v>20073653</v>
          </cell>
          <cell r="D8028">
            <v>45483</v>
          </cell>
        </row>
        <row r="8029">
          <cell r="A8029" t="str">
            <v>Gustavo André da Silva</v>
          </cell>
          <cell r="B8029">
            <v>37018463</v>
          </cell>
          <cell r="C8029">
            <v>20073659</v>
          </cell>
          <cell r="D8029">
            <v>45483</v>
          </cell>
        </row>
        <row r="8030">
          <cell r="A8030" t="str">
            <v>Flavia Aparecida De Jesus</v>
          </cell>
          <cell r="B8030">
            <v>37018469</v>
          </cell>
          <cell r="C8030">
            <v>20073665</v>
          </cell>
          <cell r="D8030">
            <v>45483</v>
          </cell>
        </row>
        <row r="8031">
          <cell r="A8031" t="str">
            <v>Daniel Moura</v>
          </cell>
          <cell r="B8031">
            <v>37018471</v>
          </cell>
          <cell r="C8031">
            <v>20073667</v>
          </cell>
          <cell r="D8031">
            <v>45483</v>
          </cell>
        </row>
        <row r="8032">
          <cell r="A8032" t="str">
            <v>Nilson Almeida Ribeiro</v>
          </cell>
          <cell r="B8032">
            <v>37018479</v>
          </cell>
          <cell r="C8032">
            <v>20073675</v>
          </cell>
          <cell r="D8032">
            <v>45483</v>
          </cell>
        </row>
        <row r="8033">
          <cell r="A8033" t="str">
            <v>Luan Silva de Almeida</v>
          </cell>
          <cell r="B8033" t="e">
            <v>#N/A</v>
          </cell>
          <cell r="C8033">
            <v>20073682</v>
          </cell>
          <cell r="D8033" t="e">
            <v>#N/A</v>
          </cell>
        </row>
        <row r="8034">
          <cell r="A8034" t="str">
            <v>Alycia Marchiotto Pereira</v>
          </cell>
          <cell r="B8034" t="e">
            <v>#N/A</v>
          </cell>
          <cell r="C8034">
            <v>20073674</v>
          </cell>
          <cell r="D8034" t="e">
            <v>#N/A</v>
          </cell>
        </row>
        <row r="8035">
          <cell r="A8035" t="str">
            <v>Flavio Petranski Maia</v>
          </cell>
          <cell r="B8035">
            <v>37018484</v>
          </cell>
          <cell r="C8035">
            <v>20073680</v>
          </cell>
          <cell r="D8035">
            <v>45483</v>
          </cell>
        </row>
        <row r="8036">
          <cell r="A8036" t="str">
            <v>Alison Alves Dos Santos</v>
          </cell>
          <cell r="B8036">
            <v>37018487</v>
          </cell>
          <cell r="C8036">
            <v>20073843</v>
          </cell>
          <cell r="D8036">
            <v>45483</v>
          </cell>
        </row>
        <row r="8037">
          <cell r="A8037" t="str">
            <v>Leticia da Silva Oliveira</v>
          </cell>
          <cell r="B8037">
            <v>37018493</v>
          </cell>
          <cell r="C8037">
            <v>20073849</v>
          </cell>
          <cell r="D8037">
            <v>45483</v>
          </cell>
        </row>
        <row r="8038">
          <cell r="A8038" t="str">
            <v>Ana Clara Da Silva</v>
          </cell>
          <cell r="B8038">
            <v>37018496</v>
          </cell>
          <cell r="C8038">
            <v>20073852</v>
          </cell>
          <cell r="D8038">
            <v>45483</v>
          </cell>
        </row>
        <row r="8039">
          <cell r="A8039" t="str">
            <v>Joao Victor Tunes Guidetti Marques</v>
          </cell>
          <cell r="B8039">
            <v>37018498</v>
          </cell>
          <cell r="C8039">
            <v>20073854</v>
          </cell>
          <cell r="D8039">
            <v>45483</v>
          </cell>
        </row>
        <row r="8040">
          <cell r="A8040" t="str">
            <v>Janaina Marcela Prado</v>
          </cell>
          <cell r="B8040">
            <v>37018488</v>
          </cell>
          <cell r="C8040">
            <v>20073844</v>
          </cell>
          <cell r="D8040">
            <v>45483</v>
          </cell>
        </row>
        <row r="8041">
          <cell r="A8041" t="str">
            <v>Victor Bahia dos Santos</v>
          </cell>
          <cell r="B8041">
            <v>37018489</v>
          </cell>
          <cell r="C8041">
            <v>20073845</v>
          </cell>
          <cell r="D8041">
            <v>45483</v>
          </cell>
        </row>
        <row r="8042">
          <cell r="A8042" t="str">
            <v>Vitor Hugo Miranda</v>
          </cell>
          <cell r="B8042">
            <v>37018490</v>
          </cell>
          <cell r="C8042">
            <v>20073846</v>
          </cell>
          <cell r="D8042">
            <v>45483</v>
          </cell>
        </row>
        <row r="8043">
          <cell r="A8043" t="str">
            <v>Larissa da Silva Oliveira</v>
          </cell>
          <cell r="B8043">
            <v>37018494</v>
          </cell>
          <cell r="C8043">
            <v>20073850</v>
          </cell>
          <cell r="D8043">
            <v>45483</v>
          </cell>
        </row>
        <row r="8044">
          <cell r="A8044" t="str">
            <v>Luiz Cristiano Fernandes</v>
          </cell>
          <cell r="B8044">
            <v>37018500</v>
          </cell>
          <cell r="C8044">
            <v>20073856</v>
          </cell>
          <cell r="D8044">
            <v>45483</v>
          </cell>
        </row>
        <row r="8045">
          <cell r="A8045" t="str">
            <v>Valdeci Aparecido Cantero</v>
          </cell>
          <cell r="B8045">
            <v>37018501</v>
          </cell>
          <cell r="C8045">
            <v>20073857</v>
          </cell>
          <cell r="D8045">
            <v>45483</v>
          </cell>
        </row>
        <row r="8046">
          <cell r="A8046" t="str">
            <v>Elder De Oliveira Silva</v>
          </cell>
          <cell r="B8046">
            <v>37018503</v>
          </cell>
          <cell r="C8046">
            <v>20073859</v>
          </cell>
          <cell r="D8046">
            <v>45483</v>
          </cell>
        </row>
        <row r="8047">
          <cell r="A8047" t="str">
            <v>Edicelmo Cordeiro Godoi</v>
          </cell>
          <cell r="B8047">
            <v>37018509</v>
          </cell>
          <cell r="C8047">
            <v>20073865</v>
          </cell>
          <cell r="D8047">
            <v>45483</v>
          </cell>
        </row>
        <row r="8048">
          <cell r="A8048" t="str">
            <v>Jose Antonio Moeça Junior</v>
          </cell>
          <cell r="B8048">
            <v>37018499</v>
          </cell>
          <cell r="C8048">
            <v>20073855</v>
          </cell>
          <cell r="D8048">
            <v>45483</v>
          </cell>
        </row>
        <row r="8049">
          <cell r="A8049" t="str">
            <v>Carla Cristina Pereira</v>
          </cell>
          <cell r="B8049">
            <v>37018502</v>
          </cell>
          <cell r="C8049">
            <v>20073858</v>
          </cell>
          <cell r="D8049">
            <v>45483</v>
          </cell>
        </row>
        <row r="8050">
          <cell r="A8050" t="str">
            <v>Jessica dos Santos Bessa</v>
          </cell>
          <cell r="B8050">
            <v>37018504</v>
          </cell>
          <cell r="C8050">
            <v>20073860</v>
          </cell>
          <cell r="D8050">
            <v>45483</v>
          </cell>
        </row>
        <row r="8051">
          <cell r="A8051" t="str">
            <v>Lucimara Aparecida Rodrigues Cassiano</v>
          </cell>
          <cell r="B8051">
            <v>37018506</v>
          </cell>
          <cell r="C8051">
            <v>20073862</v>
          </cell>
          <cell r="D8051">
            <v>45483</v>
          </cell>
        </row>
        <row r="8052">
          <cell r="A8052" t="str">
            <v>Erivelton Souza Silva</v>
          </cell>
          <cell r="B8052">
            <v>37018515</v>
          </cell>
          <cell r="C8052">
            <v>20073872</v>
          </cell>
          <cell r="D8052">
            <v>45483</v>
          </cell>
        </row>
        <row r="8053">
          <cell r="A8053" t="str">
            <v>Andre Luis Furlanetto</v>
          </cell>
          <cell r="B8053">
            <v>37018517</v>
          </cell>
          <cell r="C8053">
            <v>20073874</v>
          </cell>
          <cell r="D8053">
            <v>45483</v>
          </cell>
        </row>
        <row r="8054">
          <cell r="A8054" t="str">
            <v>Carlos Alberto Gimenes</v>
          </cell>
          <cell r="B8054">
            <v>37018510</v>
          </cell>
          <cell r="C8054">
            <v>20073866</v>
          </cell>
          <cell r="D8054">
            <v>45483</v>
          </cell>
        </row>
        <row r="8055">
          <cell r="A8055" t="str">
            <v>David Evandro Fernandes</v>
          </cell>
          <cell r="B8055">
            <v>37018513</v>
          </cell>
          <cell r="C8055">
            <v>20073870</v>
          </cell>
          <cell r="D8055">
            <v>45483</v>
          </cell>
        </row>
        <row r="8056">
          <cell r="A8056" t="str">
            <v>Fabio Benedito Candido Goncalo</v>
          </cell>
          <cell r="B8056">
            <v>37018519</v>
          </cell>
          <cell r="C8056">
            <v>20073876</v>
          </cell>
          <cell r="D8056">
            <v>45483</v>
          </cell>
        </row>
        <row r="8057">
          <cell r="A8057" t="str">
            <v>Vinicius Fernandes de Moura</v>
          </cell>
          <cell r="B8057">
            <v>37018523</v>
          </cell>
          <cell r="C8057">
            <v>20073880</v>
          </cell>
          <cell r="D8057">
            <v>45483</v>
          </cell>
        </row>
        <row r="8058">
          <cell r="A8058" t="str">
            <v>Delvania de Jesus Damaceno</v>
          </cell>
          <cell r="B8058">
            <v>37018526</v>
          </cell>
          <cell r="C8058">
            <v>20073883</v>
          </cell>
          <cell r="D8058">
            <v>45483</v>
          </cell>
        </row>
        <row r="8059">
          <cell r="A8059" t="str">
            <v>Eder Luis Stati</v>
          </cell>
          <cell r="B8059">
            <v>37018521</v>
          </cell>
          <cell r="C8059">
            <v>20073878</v>
          </cell>
          <cell r="D8059">
            <v>45483</v>
          </cell>
        </row>
        <row r="8060">
          <cell r="A8060" t="str">
            <v>Enio Carlos Garcia</v>
          </cell>
          <cell r="B8060">
            <v>37018524</v>
          </cell>
          <cell r="C8060">
            <v>20073881</v>
          </cell>
          <cell r="D8060">
            <v>45483</v>
          </cell>
        </row>
        <row r="8061">
          <cell r="A8061" t="str">
            <v>ROSANA ROSA</v>
          </cell>
          <cell r="B8061">
            <v>37018527</v>
          </cell>
          <cell r="C8061">
            <v>20073884</v>
          </cell>
          <cell r="D8061">
            <v>45483</v>
          </cell>
        </row>
        <row r="8062">
          <cell r="A8062" t="str">
            <v>WELLESSA Micaeli DE OLIVEIRA</v>
          </cell>
          <cell r="B8062">
            <v>37018529</v>
          </cell>
          <cell r="C8062">
            <v>20073886</v>
          </cell>
          <cell r="D8062">
            <v>45483</v>
          </cell>
        </row>
        <row r="8063">
          <cell r="A8063" t="str">
            <v>Roberto Matheus de Souza Alves</v>
          </cell>
          <cell r="B8063">
            <v>37018535</v>
          </cell>
          <cell r="C8063">
            <v>20073892</v>
          </cell>
          <cell r="D8063">
            <v>45483</v>
          </cell>
        </row>
        <row r="8064">
          <cell r="A8064" t="str">
            <v>Amanda Calixta Pereira</v>
          </cell>
          <cell r="B8064" t="e">
            <v>#N/A</v>
          </cell>
          <cell r="C8064">
            <v>20073885</v>
          </cell>
          <cell r="D8064" t="e">
            <v>#N/A</v>
          </cell>
        </row>
        <row r="8065">
          <cell r="A8065" t="str">
            <v>Guilherme Silva Gabriel</v>
          </cell>
          <cell r="B8065">
            <v>37018532</v>
          </cell>
          <cell r="C8065">
            <v>20073889</v>
          </cell>
          <cell r="D8065">
            <v>45483</v>
          </cell>
        </row>
        <row r="8066">
          <cell r="A8066" t="str">
            <v>Gislene Cristina Leonel Lopes Soares De Carvalho</v>
          </cell>
          <cell r="B8066">
            <v>37018533</v>
          </cell>
          <cell r="C8066">
            <v>20073890</v>
          </cell>
          <cell r="D8066">
            <v>45483</v>
          </cell>
        </row>
        <row r="8067">
          <cell r="A8067" t="str">
            <v>Edilaine de Souza</v>
          </cell>
          <cell r="B8067">
            <v>37018534</v>
          </cell>
          <cell r="C8067">
            <v>20073891</v>
          </cell>
          <cell r="D8067">
            <v>45483</v>
          </cell>
        </row>
        <row r="8068">
          <cell r="A8068" t="str">
            <v>Roberto Oliveira Santos</v>
          </cell>
          <cell r="B8068">
            <v>37013705</v>
          </cell>
          <cell r="C8068">
            <v>20056287</v>
          </cell>
          <cell r="D8068">
            <v>45139</v>
          </cell>
        </row>
        <row r="8069">
          <cell r="A8069" t="str">
            <v>Dalmo Fernandes Goncalves</v>
          </cell>
          <cell r="B8069">
            <v>37016787</v>
          </cell>
          <cell r="C8069">
            <v>20065286</v>
          </cell>
          <cell r="D8069">
            <v>45356</v>
          </cell>
        </row>
        <row r="8070">
          <cell r="A8070" t="str">
            <v>Rodrigo Antonio De Sousa</v>
          </cell>
          <cell r="B8070">
            <v>37014643</v>
          </cell>
          <cell r="C8070">
            <v>20059382</v>
          </cell>
          <cell r="D8070">
            <v>45188</v>
          </cell>
        </row>
        <row r="8071">
          <cell r="A8071" t="str">
            <v>Alexandre Belizario</v>
          </cell>
          <cell r="B8071">
            <v>37015391</v>
          </cell>
          <cell r="C8071">
            <v>20062400</v>
          </cell>
          <cell r="D8071">
            <v>45251</v>
          </cell>
        </row>
        <row r="8072">
          <cell r="A8072" t="str">
            <v>Isabella Alves Da Rocha</v>
          </cell>
          <cell r="B8072">
            <v>37013366</v>
          </cell>
          <cell r="C8072">
            <v>20054023</v>
          </cell>
          <cell r="D8072">
            <v>45118</v>
          </cell>
        </row>
        <row r="8073">
          <cell r="A8073" t="str">
            <v>Marcelo Ribeiro Mergulhao</v>
          </cell>
          <cell r="B8073">
            <v>37009021</v>
          </cell>
          <cell r="C8073">
            <v>20034600</v>
          </cell>
          <cell r="D8073">
            <v>44781</v>
          </cell>
        </row>
        <row r="8074">
          <cell r="A8074" t="str">
            <v>Elvis Presley Pereira</v>
          </cell>
          <cell r="B8074">
            <v>37015579</v>
          </cell>
          <cell r="C8074">
            <v>20062967</v>
          </cell>
          <cell r="D8074">
            <v>45272</v>
          </cell>
        </row>
        <row r="8075">
          <cell r="A8075" t="str">
            <v>Alison Gustavo De Rezende</v>
          </cell>
          <cell r="B8075">
            <v>37010743</v>
          </cell>
          <cell r="C8075">
            <v>20040953</v>
          </cell>
          <cell r="D8075">
            <v>44935</v>
          </cell>
        </row>
        <row r="8076">
          <cell r="A8076" t="str">
            <v>Fernando Alves de Oliveira</v>
          </cell>
          <cell r="B8076">
            <v>37013054</v>
          </cell>
          <cell r="C8076">
            <v>20052406</v>
          </cell>
          <cell r="D8076">
            <v>45097</v>
          </cell>
        </row>
        <row r="8077">
          <cell r="A8077" t="str">
            <v>Vinicius Teixeira Pereira Donnola</v>
          </cell>
          <cell r="B8077">
            <v>37015251</v>
          </cell>
          <cell r="C8077">
            <v>20061534</v>
          </cell>
          <cell r="D8077">
            <v>45237</v>
          </cell>
        </row>
        <row r="8078">
          <cell r="A8078" t="str">
            <v>Alvaro Andres Ramirez Palacio</v>
          </cell>
          <cell r="B8078">
            <v>37003868</v>
          </cell>
          <cell r="C8078">
            <v>20008566</v>
          </cell>
          <cell r="D8078">
            <v>43759</v>
          </cell>
        </row>
        <row r="8079">
          <cell r="A8079" t="str">
            <v>Wanderson Junior Soares</v>
          </cell>
          <cell r="B8079">
            <v>37012220</v>
          </cell>
          <cell r="C8079">
            <v>20048928</v>
          </cell>
          <cell r="D8079">
            <v>45048</v>
          </cell>
        </row>
        <row r="8080">
          <cell r="A8080" t="str">
            <v>Joao Pedro Bonaci Sartorato</v>
          </cell>
          <cell r="B8080">
            <v>37016524</v>
          </cell>
          <cell r="C8080">
            <v>20064506</v>
          </cell>
          <cell r="D8080">
            <v>45328</v>
          </cell>
        </row>
        <row r="8081">
          <cell r="A8081" t="str">
            <v>Guilherme Aparecido Barbosa</v>
          </cell>
          <cell r="B8081">
            <v>37011429</v>
          </cell>
          <cell r="C8081">
            <v>20043930</v>
          </cell>
          <cell r="D8081">
            <v>44986</v>
          </cell>
        </row>
        <row r="8082">
          <cell r="A8082" t="str">
            <v>Laura Hoffmann De Oliveira</v>
          </cell>
          <cell r="B8082">
            <v>37011012</v>
          </cell>
          <cell r="C8082">
            <v>20041844</v>
          </cell>
          <cell r="D8082">
            <v>44958</v>
          </cell>
        </row>
        <row r="8083">
          <cell r="A8083" t="str">
            <v>Jose Rafael Comin</v>
          </cell>
          <cell r="B8083">
            <v>37014582</v>
          </cell>
          <cell r="C8083">
            <v>20059170</v>
          </cell>
          <cell r="D8083">
            <v>45188</v>
          </cell>
        </row>
        <row r="8084">
          <cell r="A8084" t="str">
            <v>Wanderley Rodrigues Da Silva Junior</v>
          </cell>
          <cell r="B8084">
            <v>37012197</v>
          </cell>
          <cell r="C8084">
            <v>20048548</v>
          </cell>
          <cell r="D8084">
            <v>45034</v>
          </cell>
        </row>
        <row r="8085">
          <cell r="A8085" t="str">
            <v>Hugo Silvio Bernardo</v>
          </cell>
          <cell r="B8085">
            <v>37002573</v>
          </cell>
          <cell r="C8085">
            <v>20009255</v>
          </cell>
          <cell r="D8085">
            <v>43388</v>
          </cell>
        </row>
        <row r="8086">
          <cell r="A8086" t="str">
            <v>Mirela Di Muzio Nahas</v>
          </cell>
          <cell r="B8086" t="e">
            <v>#N/A</v>
          </cell>
          <cell r="C8086">
            <v>20049696</v>
          </cell>
          <cell r="D8086" t="e">
            <v>#N/A</v>
          </cell>
        </row>
        <row r="8087">
          <cell r="A8087" t="str">
            <v>Rafael Otavio Mariano</v>
          </cell>
          <cell r="B8087">
            <v>37012654</v>
          </cell>
          <cell r="C8087">
            <v>20051234</v>
          </cell>
          <cell r="D8087">
            <v>45083</v>
          </cell>
        </row>
        <row r="8088">
          <cell r="A8088" t="str">
            <v>Rafael Augusto Soares Tiburcio</v>
          </cell>
          <cell r="B8088">
            <v>37010880</v>
          </cell>
          <cell r="C8088">
            <v>20041230</v>
          </cell>
          <cell r="D8088">
            <v>44942</v>
          </cell>
        </row>
        <row r="8089">
          <cell r="A8089" t="str">
            <v>Matheus Felipe Da Silva</v>
          </cell>
          <cell r="B8089">
            <v>37010989</v>
          </cell>
          <cell r="C8089">
            <v>20041800</v>
          </cell>
          <cell r="D8089">
            <v>44958</v>
          </cell>
        </row>
        <row r="8090">
          <cell r="A8090" t="str">
            <v>Raelson Nunes Ferreira</v>
          </cell>
          <cell r="B8090">
            <v>37014634</v>
          </cell>
          <cell r="C8090">
            <v>20059373</v>
          </cell>
          <cell r="D8090">
            <v>45188</v>
          </cell>
        </row>
        <row r="8091">
          <cell r="A8091" t="str">
            <v>Lucio Mauro Ricardo</v>
          </cell>
          <cell r="B8091">
            <v>37012885</v>
          </cell>
          <cell r="C8091">
            <v>20051943</v>
          </cell>
          <cell r="D8091">
            <v>45090</v>
          </cell>
        </row>
        <row r="8092">
          <cell r="A8092" t="str">
            <v>Renato Aparecido Teixeira</v>
          </cell>
          <cell r="B8092">
            <v>37015386</v>
          </cell>
          <cell r="C8092">
            <v>20062395</v>
          </cell>
          <cell r="D8092">
            <v>45251</v>
          </cell>
        </row>
        <row r="8093">
          <cell r="A8093" t="str">
            <v>Joao Rafael Blanco De Carvalho</v>
          </cell>
          <cell r="B8093">
            <v>37015801</v>
          </cell>
          <cell r="C8093">
            <v>20063524</v>
          </cell>
          <cell r="D8093">
            <v>45307</v>
          </cell>
        </row>
        <row r="8094">
          <cell r="A8094" t="str">
            <v>Adriano Marques da Silva</v>
          </cell>
          <cell r="B8094">
            <v>37015504</v>
          </cell>
          <cell r="C8094">
            <v>20062755</v>
          </cell>
          <cell r="D8094">
            <v>45265</v>
          </cell>
        </row>
        <row r="8095">
          <cell r="A8095" t="str">
            <v>Fabio Donizeti Mendes Junior</v>
          </cell>
          <cell r="B8095">
            <v>37008836</v>
          </cell>
          <cell r="C8095">
            <v>20034931</v>
          </cell>
          <cell r="D8095">
            <v>44777</v>
          </cell>
        </row>
        <row r="8096">
          <cell r="A8096" t="str">
            <v>Alencar Dias da Motta</v>
          </cell>
          <cell r="B8096">
            <v>37014692</v>
          </cell>
          <cell r="C8096">
            <v>20059453</v>
          </cell>
          <cell r="D8096">
            <v>45188</v>
          </cell>
        </row>
        <row r="8097">
          <cell r="A8097" t="str">
            <v>Vinicius Guilhem Giacometti</v>
          </cell>
          <cell r="B8097">
            <v>37002617</v>
          </cell>
          <cell r="C8097">
            <v>20010015</v>
          </cell>
          <cell r="D8097">
            <v>43409</v>
          </cell>
        </row>
        <row r="8098">
          <cell r="A8098" t="str">
            <v>Mateus Felipe Salgado Dos Santos</v>
          </cell>
          <cell r="B8098">
            <v>37018537</v>
          </cell>
          <cell r="C8098">
            <v>20032389</v>
          </cell>
          <cell r="D8098">
            <v>45483</v>
          </cell>
        </row>
        <row r="8099">
          <cell r="A8099" t="str">
            <v>Caio De Oliveira Loconte</v>
          </cell>
          <cell r="B8099">
            <v>37003020</v>
          </cell>
          <cell r="C8099">
            <v>20008735</v>
          </cell>
          <cell r="D8099">
            <v>43542</v>
          </cell>
        </row>
        <row r="8100">
          <cell r="A8100" t="str">
            <v>Carlos Alexandre Barbosa</v>
          </cell>
          <cell r="B8100">
            <v>37015358</v>
          </cell>
          <cell r="C8100">
            <v>20062367</v>
          </cell>
          <cell r="D8100">
            <v>45251</v>
          </cell>
        </row>
        <row r="8101">
          <cell r="A8101" t="str">
            <v>Paulo Henrique Marcon Junior</v>
          </cell>
          <cell r="B8101">
            <v>37015365</v>
          </cell>
          <cell r="C8101">
            <v>20062374</v>
          </cell>
          <cell r="D8101">
            <v>45251</v>
          </cell>
        </row>
        <row r="8102">
          <cell r="A8102" t="str">
            <v>Marcos Rogerio Domingues Vertuan</v>
          </cell>
          <cell r="B8102">
            <v>37018565</v>
          </cell>
          <cell r="C8102">
            <v>20074115</v>
          </cell>
          <cell r="D8102">
            <v>45489</v>
          </cell>
        </row>
        <row r="8103">
          <cell r="A8103" t="str">
            <v>Marcos Jose Martins Gimenes</v>
          </cell>
          <cell r="B8103">
            <v>37018566</v>
          </cell>
          <cell r="C8103">
            <v>20074116</v>
          </cell>
          <cell r="D8103">
            <v>45489</v>
          </cell>
        </row>
        <row r="8104">
          <cell r="A8104" t="str">
            <v>Luís Gustavo Gonçalves Lopes</v>
          </cell>
          <cell r="B8104">
            <v>37018567</v>
          </cell>
          <cell r="C8104">
            <v>20074117</v>
          </cell>
          <cell r="D8104">
            <v>45483</v>
          </cell>
        </row>
        <row r="8105">
          <cell r="A8105" t="str">
            <v>Ingrid Rayana Barbosa</v>
          </cell>
          <cell r="B8105">
            <v>37018568</v>
          </cell>
          <cell r="C8105">
            <v>20074118</v>
          </cell>
          <cell r="D8105">
            <v>45489</v>
          </cell>
        </row>
        <row r="8106">
          <cell r="A8106" t="str">
            <v>Guilherme Henrique Vieira Da Silva</v>
          </cell>
          <cell r="B8106">
            <v>37018569</v>
          </cell>
          <cell r="C8106">
            <v>20074119</v>
          </cell>
          <cell r="D8106">
            <v>45489</v>
          </cell>
        </row>
        <row r="8107">
          <cell r="A8107" t="str">
            <v>Brenon Diennevan Souza Barbosa</v>
          </cell>
          <cell r="B8107">
            <v>37018570</v>
          </cell>
          <cell r="C8107">
            <v>20074120</v>
          </cell>
          <cell r="D8107">
            <v>45489</v>
          </cell>
        </row>
        <row r="8108">
          <cell r="A8108" t="str">
            <v>Rafael Balbino Da Silva</v>
          </cell>
          <cell r="B8108">
            <v>37018576</v>
          </cell>
          <cell r="C8108">
            <v>20074130</v>
          </cell>
          <cell r="D8108">
            <v>45489</v>
          </cell>
        </row>
        <row r="8109">
          <cell r="A8109" t="str">
            <v>Anderson Roberto Terenciano</v>
          </cell>
          <cell r="B8109">
            <v>37018571</v>
          </cell>
          <cell r="C8109">
            <v>20074121</v>
          </cell>
          <cell r="D8109">
            <v>45489</v>
          </cell>
        </row>
        <row r="8110">
          <cell r="A8110" t="str">
            <v>Ueder Aurelio Silva</v>
          </cell>
          <cell r="B8110">
            <v>37018574</v>
          </cell>
          <cell r="C8110">
            <v>20074124</v>
          </cell>
          <cell r="D8110">
            <v>45489</v>
          </cell>
        </row>
        <row r="8111">
          <cell r="A8111" t="str">
            <v>Peterson Henrique Fachina</v>
          </cell>
          <cell r="B8111">
            <v>37018578</v>
          </cell>
          <cell r="C8111">
            <v>20074132</v>
          </cell>
          <cell r="D8111">
            <v>45489</v>
          </cell>
        </row>
        <row r="8112">
          <cell r="A8112" t="str">
            <v>Alex Fernando Lopes Pereira</v>
          </cell>
          <cell r="B8112">
            <v>37018579</v>
          </cell>
          <cell r="C8112">
            <v>20074133</v>
          </cell>
          <cell r="D8112">
            <v>45489</v>
          </cell>
        </row>
        <row r="8113">
          <cell r="A8113" t="str">
            <v>Ediane Alves de Lima</v>
          </cell>
          <cell r="B8113">
            <v>37018588</v>
          </cell>
          <cell r="C8113">
            <v>20074160</v>
          </cell>
          <cell r="D8113">
            <v>45489</v>
          </cell>
        </row>
        <row r="8114">
          <cell r="A8114" t="str">
            <v>Gladstone Rodrigues Cais</v>
          </cell>
          <cell r="B8114">
            <v>37018585</v>
          </cell>
          <cell r="C8114">
            <v>20074157</v>
          </cell>
          <cell r="D8114">
            <v>45489</v>
          </cell>
        </row>
        <row r="8115">
          <cell r="A8115" t="str">
            <v>Mario Sergio da Silva</v>
          </cell>
          <cell r="B8115">
            <v>37018587</v>
          </cell>
          <cell r="C8115">
            <v>20074159</v>
          </cell>
          <cell r="D8115">
            <v>45489</v>
          </cell>
        </row>
        <row r="8116">
          <cell r="A8116" t="str">
            <v>Rafael Venancio Dos Santos</v>
          </cell>
          <cell r="B8116">
            <v>37018600</v>
          </cell>
          <cell r="C8116">
            <v>20074177</v>
          </cell>
          <cell r="D8116">
            <v>45489</v>
          </cell>
        </row>
        <row r="8117">
          <cell r="A8117" t="str">
            <v>Fabio Augusto De Oliveira</v>
          </cell>
          <cell r="B8117">
            <v>37018632</v>
          </cell>
          <cell r="C8117">
            <v>20074180</v>
          </cell>
          <cell r="D8117">
            <v>45489</v>
          </cell>
        </row>
        <row r="8118">
          <cell r="A8118" t="str">
            <v>Jorge Fabiano De Moraes</v>
          </cell>
          <cell r="B8118">
            <v>37018604</v>
          </cell>
          <cell r="C8118">
            <v>20074182</v>
          </cell>
          <cell r="D8118">
            <v>45489</v>
          </cell>
        </row>
        <row r="8119">
          <cell r="A8119" t="str">
            <v>Brenda Fernandes da Silva</v>
          </cell>
          <cell r="B8119">
            <v>37018591</v>
          </cell>
          <cell r="C8119">
            <v>20074163</v>
          </cell>
          <cell r="D8119">
            <v>45510</v>
          </cell>
        </row>
        <row r="8120">
          <cell r="A8120" t="str">
            <v>Adiel Ribeiro Lopes</v>
          </cell>
          <cell r="B8120">
            <v>37018592</v>
          </cell>
          <cell r="C8120">
            <v>20074164</v>
          </cell>
          <cell r="D8120">
            <v>45489</v>
          </cell>
        </row>
        <row r="8121">
          <cell r="A8121" t="str">
            <v>João Vitor Hernandes</v>
          </cell>
          <cell r="B8121">
            <v>37018593</v>
          </cell>
          <cell r="C8121">
            <v>20074165</v>
          </cell>
          <cell r="D8121">
            <v>45489</v>
          </cell>
        </row>
        <row r="8122">
          <cell r="A8122" t="str">
            <v>Leonardo Henrique Miguel</v>
          </cell>
          <cell r="B8122">
            <v>37018594</v>
          </cell>
          <cell r="C8122">
            <v>20074167</v>
          </cell>
          <cell r="D8122">
            <v>45510</v>
          </cell>
        </row>
        <row r="8123">
          <cell r="A8123" t="str">
            <v>Vinicius Luciano Menezes Cotrim</v>
          </cell>
          <cell r="B8123">
            <v>37018595</v>
          </cell>
          <cell r="C8123">
            <v>20074168</v>
          </cell>
          <cell r="D8123">
            <v>45489</v>
          </cell>
        </row>
        <row r="8124">
          <cell r="A8124" t="str">
            <v>Weverton José Cavinato</v>
          </cell>
          <cell r="B8124">
            <v>37018598</v>
          </cell>
          <cell r="C8124">
            <v>20074173</v>
          </cell>
          <cell r="D8124">
            <v>45489</v>
          </cell>
        </row>
        <row r="8125">
          <cell r="A8125" t="str">
            <v>Leticia Soares Goncalves</v>
          </cell>
          <cell r="B8125">
            <v>37018601</v>
          </cell>
          <cell r="C8125">
            <v>20074178</v>
          </cell>
          <cell r="D8125">
            <v>45489</v>
          </cell>
        </row>
        <row r="8126">
          <cell r="A8126" t="str">
            <v>Yanna Carolina Da Silva Pereira</v>
          </cell>
          <cell r="B8126">
            <v>37018602</v>
          </cell>
          <cell r="C8126">
            <v>20074179</v>
          </cell>
          <cell r="D8126">
            <v>45489</v>
          </cell>
        </row>
        <row r="8127">
          <cell r="A8127" t="str">
            <v>Rafael da Costa Ribeiro</v>
          </cell>
          <cell r="B8127">
            <v>37018603</v>
          </cell>
          <cell r="C8127">
            <v>20074181</v>
          </cell>
          <cell r="D8127">
            <v>45489</v>
          </cell>
        </row>
        <row r="8128">
          <cell r="A8128" t="str">
            <v>Francisco Josimar de Souza Rodrigues</v>
          </cell>
          <cell r="B8128">
            <v>37018608</v>
          </cell>
          <cell r="C8128">
            <v>20074186</v>
          </cell>
          <cell r="D8128">
            <v>45489</v>
          </cell>
        </row>
        <row r="8129">
          <cell r="A8129" t="str">
            <v>Gabriel Augusto Poderoso</v>
          </cell>
          <cell r="B8129">
            <v>37018614</v>
          </cell>
          <cell r="C8129">
            <v>20074192</v>
          </cell>
          <cell r="D8129">
            <v>45489</v>
          </cell>
        </row>
        <row r="8130">
          <cell r="A8130" t="str">
            <v>Orlando Silva Filho</v>
          </cell>
          <cell r="B8130">
            <v>37018581</v>
          </cell>
          <cell r="C8130">
            <v>20032978</v>
          </cell>
          <cell r="D8130">
            <v>45489</v>
          </cell>
        </row>
        <row r="8131">
          <cell r="A8131" t="str">
            <v>Paulo Sergio de Mira</v>
          </cell>
          <cell r="B8131">
            <v>37018617</v>
          </cell>
          <cell r="C8131">
            <v>20074195</v>
          </cell>
          <cell r="D8131">
            <v>45489</v>
          </cell>
        </row>
        <row r="8132">
          <cell r="A8132" t="str">
            <v>Luis Carlos De Jesus Sousa</v>
          </cell>
          <cell r="B8132">
            <v>37018618</v>
          </cell>
          <cell r="C8132">
            <v>20074196</v>
          </cell>
          <cell r="D8132">
            <v>45489</v>
          </cell>
        </row>
        <row r="8133">
          <cell r="A8133" t="str">
            <v>Wilson Lucas da Silva Soares</v>
          </cell>
          <cell r="B8133">
            <v>37018616</v>
          </cell>
          <cell r="C8133">
            <v>20074194</v>
          </cell>
          <cell r="D8133">
            <v>45489</v>
          </cell>
        </row>
        <row r="8134">
          <cell r="A8134" t="str">
            <v>Alexandre Eldes Dos Santos De Oliveira</v>
          </cell>
          <cell r="B8134">
            <v>37018621</v>
          </cell>
          <cell r="C8134">
            <v>20074199</v>
          </cell>
          <cell r="D8134">
            <v>45489</v>
          </cell>
        </row>
        <row r="8135">
          <cell r="A8135" t="str">
            <v>Luan Fernando Alves Dos Santos</v>
          </cell>
          <cell r="B8135">
            <v>37018622</v>
          </cell>
          <cell r="C8135">
            <v>20074200</v>
          </cell>
          <cell r="D8135">
            <v>45489</v>
          </cell>
        </row>
        <row r="8136">
          <cell r="A8136" t="str">
            <v>Juarez De Lima Poli</v>
          </cell>
          <cell r="B8136">
            <v>37018623</v>
          </cell>
          <cell r="C8136">
            <v>20074201</v>
          </cell>
          <cell r="D8136">
            <v>45489</v>
          </cell>
        </row>
        <row r="8137">
          <cell r="A8137" t="str">
            <v>Evandro Aparecido Igiano</v>
          </cell>
          <cell r="B8137">
            <v>37018627</v>
          </cell>
          <cell r="C8137">
            <v>20074205</v>
          </cell>
          <cell r="D8137">
            <v>45489</v>
          </cell>
        </row>
        <row r="8138">
          <cell r="A8138" t="str">
            <v>Adelio Pereira Cancian</v>
          </cell>
          <cell r="B8138">
            <v>37018582</v>
          </cell>
          <cell r="C8138">
            <v>20037210</v>
          </cell>
          <cell r="D8138">
            <v>45489</v>
          </cell>
        </row>
        <row r="8139">
          <cell r="A8139" t="str">
            <v>Maicon Willian Do Pradro Chagas</v>
          </cell>
          <cell r="B8139">
            <v>37018625</v>
          </cell>
          <cell r="C8139">
            <v>20074203</v>
          </cell>
          <cell r="D8139">
            <v>45489</v>
          </cell>
        </row>
        <row r="8140">
          <cell r="A8140" t="str">
            <v>Luis Felipe Francisco Moreira</v>
          </cell>
          <cell r="B8140">
            <v>37018626</v>
          </cell>
          <cell r="C8140">
            <v>20074204</v>
          </cell>
          <cell r="D8140">
            <v>45489</v>
          </cell>
        </row>
        <row r="8141">
          <cell r="A8141" t="str">
            <v>Maria Eduarda Bertolotti Burgareli</v>
          </cell>
          <cell r="B8141">
            <v>37007513</v>
          </cell>
          <cell r="C8141">
            <v>20025609</v>
          </cell>
          <cell r="D8141">
            <v>44671</v>
          </cell>
        </row>
        <row r="8142">
          <cell r="A8142" t="str">
            <v>Jaciel Soares Dos Santos</v>
          </cell>
          <cell r="B8142">
            <v>37018636</v>
          </cell>
          <cell r="C8142">
            <v>20074426</v>
          </cell>
          <cell r="D8142">
            <v>45489</v>
          </cell>
        </row>
        <row r="8143">
          <cell r="A8143" t="str">
            <v>Josiana de Paula Bento</v>
          </cell>
          <cell r="B8143">
            <v>37018637</v>
          </cell>
          <cell r="C8143">
            <v>20074427</v>
          </cell>
          <cell r="D8143">
            <v>45489</v>
          </cell>
        </row>
        <row r="8144">
          <cell r="A8144" t="str">
            <v>Rafaela Valdinete da Silva</v>
          </cell>
          <cell r="B8144">
            <v>37018641</v>
          </cell>
          <cell r="C8144">
            <v>20074431</v>
          </cell>
          <cell r="D8144">
            <v>45489</v>
          </cell>
        </row>
        <row r="8145">
          <cell r="A8145" t="str">
            <v>Fernando Santos Boggiani</v>
          </cell>
          <cell r="B8145">
            <v>37018643</v>
          </cell>
          <cell r="C8145">
            <v>20074433</v>
          </cell>
          <cell r="D8145">
            <v>45489</v>
          </cell>
        </row>
        <row r="8146">
          <cell r="A8146" t="str">
            <v>Daniel Soares Brito</v>
          </cell>
          <cell r="B8146">
            <v>37009726</v>
          </cell>
          <cell r="C8146">
            <v>20036011</v>
          </cell>
          <cell r="D8146">
            <v>44851</v>
          </cell>
        </row>
        <row r="8147">
          <cell r="A8147" t="str">
            <v>Patricia Ribeiro</v>
          </cell>
          <cell r="B8147">
            <v>37018644</v>
          </cell>
          <cell r="C8147">
            <v>20074434</v>
          </cell>
          <cell r="D8147">
            <v>45489</v>
          </cell>
        </row>
        <row r="8148">
          <cell r="A8148" t="str">
            <v>Claudineia Cristina Salles</v>
          </cell>
          <cell r="B8148">
            <v>37018646</v>
          </cell>
          <cell r="C8148">
            <v>20074436</v>
          </cell>
          <cell r="D8148">
            <v>45489</v>
          </cell>
        </row>
        <row r="8149">
          <cell r="A8149" t="str">
            <v>Gabriel Elias Almeida Pinto</v>
          </cell>
          <cell r="B8149" t="e">
            <v>#N/A</v>
          </cell>
          <cell r="C8149">
            <v>20074438</v>
          </cell>
          <cell r="D8149" t="e">
            <v>#N/A</v>
          </cell>
        </row>
        <row r="8150">
          <cell r="A8150" t="str">
            <v>Debora Carolina Isidoro de Oliveira</v>
          </cell>
          <cell r="B8150">
            <v>37018650</v>
          </cell>
          <cell r="C8150">
            <v>20074440</v>
          </cell>
          <cell r="D8150">
            <v>45489</v>
          </cell>
        </row>
        <row r="8151">
          <cell r="A8151" t="str">
            <v>Marcelane Alves da Silva</v>
          </cell>
          <cell r="B8151">
            <v>37018639</v>
          </cell>
          <cell r="C8151">
            <v>20074429</v>
          </cell>
          <cell r="D8151">
            <v>45489</v>
          </cell>
        </row>
        <row r="8152">
          <cell r="A8152" t="str">
            <v>Francineia Soares da Silva Paiva</v>
          </cell>
          <cell r="B8152">
            <v>37018642</v>
          </cell>
          <cell r="C8152">
            <v>20074432</v>
          </cell>
          <cell r="D8152">
            <v>45489</v>
          </cell>
        </row>
        <row r="8153">
          <cell r="A8153" t="str">
            <v>Fernando da Silva Rodrigues</v>
          </cell>
          <cell r="B8153">
            <v>37018645</v>
          </cell>
          <cell r="C8153">
            <v>20074435</v>
          </cell>
          <cell r="D8153">
            <v>45489</v>
          </cell>
        </row>
        <row r="8154">
          <cell r="A8154" t="str">
            <v>Fabiano da Rocha Batista</v>
          </cell>
          <cell r="B8154">
            <v>37018647</v>
          </cell>
          <cell r="C8154">
            <v>20074437</v>
          </cell>
          <cell r="D8154">
            <v>45489</v>
          </cell>
        </row>
        <row r="8155">
          <cell r="A8155" t="str">
            <v>Mayara Rossin Teodoro Calixto</v>
          </cell>
          <cell r="B8155">
            <v>37018649</v>
          </cell>
          <cell r="C8155">
            <v>20074439</v>
          </cell>
          <cell r="D8155">
            <v>45489</v>
          </cell>
        </row>
        <row r="8156">
          <cell r="A8156" t="str">
            <v>Debora Cristina Galdino Gonçalves</v>
          </cell>
          <cell r="B8156">
            <v>37018652</v>
          </cell>
          <cell r="C8156">
            <v>20074442</v>
          </cell>
          <cell r="D8156">
            <v>45489</v>
          </cell>
        </row>
        <row r="8157">
          <cell r="A8157" t="str">
            <v>Rita de Cassia Marques dos Santos</v>
          </cell>
          <cell r="B8157">
            <v>37018654</v>
          </cell>
          <cell r="C8157">
            <v>20074444</v>
          </cell>
          <cell r="D8157">
            <v>45489</v>
          </cell>
        </row>
        <row r="8158">
          <cell r="A8158" t="str">
            <v>Nicolas Felix Martins</v>
          </cell>
          <cell r="B8158">
            <v>37018653</v>
          </cell>
          <cell r="C8158">
            <v>20074443</v>
          </cell>
          <cell r="D8158">
            <v>45489</v>
          </cell>
        </row>
        <row r="8159">
          <cell r="A8159" t="str">
            <v>Alfredo Ferreira Portugal</v>
          </cell>
          <cell r="B8159">
            <v>37018655</v>
          </cell>
          <cell r="C8159">
            <v>20040535</v>
          </cell>
          <cell r="D8159">
            <v>45489</v>
          </cell>
        </row>
        <row r="8160">
          <cell r="A8160" t="str">
            <v>Marlon Willian Pires De Camargo</v>
          </cell>
          <cell r="B8160">
            <v>37018658</v>
          </cell>
          <cell r="C8160">
            <v>20074634</v>
          </cell>
          <cell r="D8160">
            <v>45489</v>
          </cell>
        </row>
        <row r="8161">
          <cell r="A8161" t="str">
            <v>Paulo Wellington De Souza</v>
          </cell>
          <cell r="B8161">
            <v>37018660</v>
          </cell>
          <cell r="C8161">
            <v>20074636</v>
          </cell>
          <cell r="D8161">
            <v>45489</v>
          </cell>
        </row>
        <row r="8162">
          <cell r="A8162" t="str">
            <v>Cleiton Da Silva Reis</v>
          </cell>
          <cell r="B8162">
            <v>37018661</v>
          </cell>
          <cell r="C8162">
            <v>20074637</v>
          </cell>
          <cell r="D8162">
            <v>45489</v>
          </cell>
        </row>
        <row r="8163">
          <cell r="A8163" t="str">
            <v>Lucas Henrique Seviero Theodoro</v>
          </cell>
          <cell r="B8163">
            <v>37018663</v>
          </cell>
          <cell r="C8163">
            <v>20074640</v>
          </cell>
          <cell r="D8163">
            <v>45489</v>
          </cell>
        </row>
        <row r="8164">
          <cell r="A8164" t="str">
            <v>ELIAS PERES</v>
          </cell>
          <cell r="B8164">
            <v>37018620</v>
          </cell>
          <cell r="C8164">
            <v>20074198</v>
          </cell>
          <cell r="D8164">
            <v>45489</v>
          </cell>
        </row>
        <row r="8165">
          <cell r="A8165" t="str">
            <v>Jefferson Prestelo Da Silva</v>
          </cell>
          <cell r="B8165">
            <v>37018665</v>
          </cell>
          <cell r="C8165">
            <v>20074642</v>
          </cell>
          <cell r="D8165">
            <v>45489</v>
          </cell>
        </row>
        <row r="8166">
          <cell r="A8166" t="str">
            <v>Jairo Pires De Camargo Filho</v>
          </cell>
          <cell r="B8166">
            <v>37018666</v>
          </cell>
          <cell r="C8166">
            <v>20074643</v>
          </cell>
          <cell r="D8166">
            <v>45489</v>
          </cell>
        </row>
        <row r="8167">
          <cell r="A8167" t="str">
            <v>Ana Paula Trettene De Souza</v>
          </cell>
          <cell r="B8167">
            <v>37018667</v>
          </cell>
          <cell r="C8167">
            <v>20074644</v>
          </cell>
          <cell r="D8167">
            <v>45489</v>
          </cell>
        </row>
        <row r="8168">
          <cell r="A8168" t="str">
            <v>Antonia Luciana Brasileiro de Souza</v>
          </cell>
          <cell r="B8168">
            <v>37018656</v>
          </cell>
          <cell r="C8168">
            <v>20074632</v>
          </cell>
          <cell r="D8168">
            <v>45489</v>
          </cell>
        </row>
        <row r="8169">
          <cell r="A8169" t="str">
            <v>Matheus Henrique Pereira Da Silva</v>
          </cell>
          <cell r="B8169">
            <v>37018657</v>
          </cell>
          <cell r="C8169">
            <v>20074633</v>
          </cell>
          <cell r="D8169">
            <v>45489</v>
          </cell>
        </row>
        <row r="8170">
          <cell r="A8170" t="str">
            <v>Graciele de Oliveira Paranhos</v>
          </cell>
          <cell r="B8170">
            <v>37018659</v>
          </cell>
          <cell r="C8170">
            <v>20074635</v>
          </cell>
          <cell r="D8170">
            <v>45489</v>
          </cell>
        </row>
        <row r="8171">
          <cell r="A8171" t="str">
            <v>Roberto Pereira Lopes</v>
          </cell>
          <cell r="B8171">
            <v>37018662</v>
          </cell>
          <cell r="C8171">
            <v>20074638</v>
          </cell>
          <cell r="D8171">
            <v>45489</v>
          </cell>
        </row>
        <row r="8172">
          <cell r="A8172" t="str">
            <v>Joao Lenon Batista Dos Santos</v>
          </cell>
          <cell r="B8172">
            <v>37018664</v>
          </cell>
          <cell r="C8172">
            <v>20074641</v>
          </cell>
          <cell r="D8172">
            <v>45489</v>
          </cell>
        </row>
        <row r="8173">
          <cell r="A8173" t="str">
            <v>Everton Jose Alves De Souza Xavier</v>
          </cell>
          <cell r="B8173">
            <v>37018668</v>
          </cell>
          <cell r="C8173">
            <v>20074645</v>
          </cell>
          <cell r="D8173">
            <v>45489</v>
          </cell>
        </row>
        <row r="8174">
          <cell r="A8174" t="str">
            <v>Antonio Henrique Da Silva</v>
          </cell>
          <cell r="B8174">
            <v>37018670</v>
          </cell>
          <cell r="C8174">
            <v>20074647</v>
          </cell>
          <cell r="D8174">
            <v>45489</v>
          </cell>
        </row>
        <row r="8175">
          <cell r="A8175" t="str">
            <v>Maria do Socorro Alves Brito</v>
          </cell>
          <cell r="B8175">
            <v>37018671</v>
          </cell>
          <cell r="C8175">
            <v>20074648</v>
          </cell>
          <cell r="D8175">
            <v>45489</v>
          </cell>
        </row>
        <row r="8176">
          <cell r="A8176" t="str">
            <v>Daniel Nunes Mendes</v>
          </cell>
          <cell r="B8176">
            <v>37018672</v>
          </cell>
          <cell r="C8176">
            <v>20074649</v>
          </cell>
          <cell r="D8176">
            <v>45489</v>
          </cell>
        </row>
        <row r="8177">
          <cell r="A8177" t="str">
            <v>Gabriel De Oliveira Rodrigues</v>
          </cell>
          <cell r="B8177">
            <v>37018674</v>
          </cell>
          <cell r="C8177">
            <v>20074651</v>
          </cell>
          <cell r="D8177">
            <v>45489</v>
          </cell>
        </row>
        <row r="8178">
          <cell r="A8178" t="str">
            <v>Flavio Raymundo Lacerda</v>
          </cell>
          <cell r="B8178">
            <v>37013711</v>
          </cell>
          <cell r="C8178">
            <v>20056306</v>
          </cell>
          <cell r="D8178">
            <v>45153</v>
          </cell>
        </row>
        <row r="8179">
          <cell r="A8179" t="str">
            <v>Ednan Bruno Da Silva</v>
          </cell>
          <cell r="B8179">
            <v>37018669</v>
          </cell>
          <cell r="C8179">
            <v>20074646</v>
          </cell>
          <cell r="D8179">
            <v>45489</v>
          </cell>
        </row>
        <row r="8180">
          <cell r="A8180" t="str">
            <v>Jackehilda Mangueira da Silva</v>
          </cell>
          <cell r="B8180">
            <v>37018673</v>
          </cell>
          <cell r="C8180">
            <v>20074650</v>
          </cell>
          <cell r="D8180">
            <v>45489</v>
          </cell>
        </row>
        <row r="8181">
          <cell r="A8181" t="str">
            <v>Ivonis Rodrigues dos Santos</v>
          </cell>
          <cell r="B8181">
            <v>37018676</v>
          </cell>
          <cell r="C8181">
            <v>20074653</v>
          </cell>
          <cell r="D8181">
            <v>45489</v>
          </cell>
        </row>
        <row r="8182">
          <cell r="A8182" t="str">
            <v>Valdineia Teles</v>
          </cell>
          <cell r="B8182">
            <v>37018678</v>
          </cell>
          <cell r="C8182">
            <v>20074655</v>
          </cell>
          <cell r="D8182">
            <v>45489</v>
          </cell>
        </row>
        <row r="8183">
          <cell r="A8183" t="str">
            <v>Mateus Henrique Gregório Barbosa</v>
          </cell>
          <cell r="B8183">
            <v>37018679</v>
          </cell>
          <cell r="C8183">
            <v>20074656</v>
          </cell>
          <cell r="D8183">
            <v>45489</v>
          </cell>
        </row>
        <row r="8184">
          <cell r="A8184" t="str">
            <v>Luciana de Lima Marques</v>
          </cell>
          <cell r="B8184">
            <v>37018675</v>
          </cell>
          <cell r="C8184">
            <v>20074652</v>
          </cell>
          <cell r="D8184">
            <v>45489</v>
          </cell>
        </row>
        <row r="8185">
          <cell r="A8185" t="str">
            <v>Fabio Henrique Deronzi</v>
          </cell>
          <cell r="B8185">
            <v>37018677</v>
          </cell>
          <cell r="C8185">
            <v>20074654</v>
          </cell>
          <cell r="D8185">
            <v>45489</v>
          </cell>
        </row>
        <row r="8186">
          <cell r="A8186" t="str">
            <v>Paulo Mateus Vagula</v>
          </cell>
          <cell r="B8186">
            <v>37012007</v>
          </cell>
          <cell r="C8186">
            <v>20047084</v>
          </cell>
          <cell r="D8186">
            <v>45019</v>
          </cell>
        </row>
        <row r="8187">
          <cell r="A8187" t="str">
            <v>Davi Miguel Barbosa</v>
          </cell>
          <cell r="B8187">
            <v>37014611</v>
          </cell>
          <cell r="C8187">
            <v>20059349</v>
          </cell>
          <cell r="D8187">
            <v>45188</v>
          </cell>
        </row>
        <row r="8188">
          <cell r="A8188" t="str">
            <v>Marcos Alexandre Silveira Filho Cardoso</v>
          </cell>
          <cell r="B8188">
            <v>37014622</v>
          </cell>
          <cell r="C8188">
            <v>20059361</v>
          </cell>
          <cell r="D8188">
            <v>45188</v>
          </cell>
        </row>
        <row r="8189">
          <cell r="A8189" t="str">
            <v>Felipe Artur Dos Santos Rodrigues</v>
          </cell>
          <cell r="B8189">
            <v>37012726</v>
          </cell>
          <cell r="C8189">
            <v>20051310</v>
          </cell>
          <cell r="D8189">
            <v>45083</v>
          </cell>
        </row>
        <row r="8190">
          <cell r="A8190" t="str">
            <v>Vitor Henrique Arruda Queiroz</v>
          </cell>
          <cell r="B8190">
            <v>37015783</v>
          </cell>
          <cell r="C8190">
            <v>20063495</v>
          </cell>
          <cell r="D8190">
            <v>45307</v>
          </cell>
        </row>
        <row r="8191">
          <cell r="A8191" t="str">
            <v>Lewdson William Carneiro Lins</v>
          </cell>
          <cell r="B8191">
            <v>37015392</v>
          </cell>
          <cell r="C8191">
            <v>20062401</v>
          </cell>
          <cell r="D8191">
            <v>45251</v>
          </cell>
        </row>
        <row r="8192">
          <cell r="A8192" t="str">
            <v>Marcelo de Souza Arantes</v>
          </cell>
          <cell r="B8192">
            <v>37013012</v>
          </cell>
          <cell r="C8192">
            <v>20052429</v>
          </cell>
          <cell r="D8192">
            <v>45083</v>
          </cell>
        </row>
        <row r="8193">
          <cell r="A8193" t="str">
            <v>Enoque Vieira De Paulo</v>
          </cell>
          <cell r="B8193">
            <v>37018691</v>
          </cell>
          <cell r="C8193">
            <v>20074848</v>
          </cell>
          <cell r="D8193">
            <v>45510</v>
          </cell>
        </row>
        <row r="8194">
          <cell r="A8194" t="str">
            <v>Esau Vieira De Paulo</v>
          </cell>
          <cell r="B8194">
            <v>37018692</v>
          </cell>
          <cell r="C8194">
            <v>20074849</v>
          </cell>
          <cell r="D8194">
            <v>45510</v>
          </cell>
        </row>
        <row r="8195">
          <cell r="A8195" t="str">
            <v>Benedito Honorio Neto</v>
          </cell>
          <cell r="B8195">
            <v>37017979</v>
          </cell>
          <cell r="C8195">
            <v>20071247</v>
          </cell>
          <cell r="D8195">
            <v>45447</v>
          </cell>
        </row>
        <row r="8196">
          <cell r="A8196" t="str">
            <v>Rafael Carlos De Oliveira Panizza</v>
          </cell>
          <cell r="B8196">
            <v>37018702</v>
          </cell>
          <cell r="C8196">
            <v>20074870</v>
          </cell>
          <cell r="D8196">
            <v>45510</v>
          </cell>
        </row>
        <row r="8197">
          <cell r="A8197" t="str">
            <v>Misael Victorio Justino Ribeiro</v>
          </cell>
          <cell r="B8197">
            <v>37018703</v>
          </cell>
          <cell r="C8197">
            <v>20074871</v>
          </cell>
          <cell r="D8197">
            <v>45510</v>
          </cell>
        </row>
        <row r="8198">
          <cell r="A8198" t="str">
            <v>Andrey Rezendes Do Amaral</v>
          </cell>
          <cell r="B8198">
            <v>37017973</v>
          </cell>
          <cell r="C8198">
            <v>20071241</v>
          </cell>
          <cell r="D8198">
            <v>45447</v>
          </cell>
        </row>
        <row r="8199">
          <cell r="A8199" t="str">
            <v>Eder Maldonado</v>
          </cell>
          <cell r="B8199">
            <v>37018700</v>
          </cell>
          <cell r="C8199">
            <v>20074868</v>
          </cell>
          <cell r="D8199">
            <v>45510</v>
          </cell>
        </row>
        <row r="8200">
          <cell r="A8200" t="str">
            <v>Ronaldo Silva Santos</v>
          </cell>
          <cell r="B8200">
            <v>37018701</v>
          </cell>
          <cell r="C8200">
            <v>20074869</v>
          </cell>
          <cell r="D8200">
            <v>45510</v>
          </cell>
        </row>
        <row r="8201">
          <cell r="A8201" t="str">
            <v>Silvio De Freitas</v>
          </cell>
          <cell r="B8201">
            <v>37018706</v>
          </cell>
          <cell r="C8201">
            <v>20074874</v>
          </cell>
          <cell r="D8201">
            <v>45510</v>
          </cell>
        </row>
        <row r="8202">
          <cell r="A8202" t="str">
            <v>Jander Olímpio Stefanato</v>
          </cell>
          <cell r="B8202">
            <v>37018704</v>
          </cell>
          <cell r="C8202">
            <v>20074872</v>
          </cell>
          <cell r="D8202">
            <v>45510</v>
          </cell>
        </row>
        <row r="8203">
          <cell r="A8203" t="str">
            <v>Joelson Paulino Do Nascimento</v>
          </cell>
          <cell r="B8203">
            <v>37018707</v>
          </cell>
          <cell r="C8203">
            <v>20074875</v>
          </cell>
          <cell r="D8203">
            <v>45510</v>
          </cell>
        </row>
        <row r="8204">
          <cell r="A8204" t="str">
            <v>Cintia Martins de Athayde</v>
          </cell>
          <cell r="B8204">
            <v>37010063</v>
          </cell>
          <cell r="C8204">
            <v>20038168</v>
          </cell>
          <cell r="D8204">
            <v>44881</v>
          </cell>
        </row>
        <row r="8205">
          <cell r="A8205" t="str">
            <v>LUIZ EDGAR DA SILVA GASPARINI</v>
          </cell>
          <cell r="B8205">
            <v>37011758</v>
          </cell>
          <cell r="C8205">
            <v>20045707</v>
          </cell>
          <cell r="D8205">
            <v>44998</v>
          </cell>
        </row>
        <row r="8206">
          <cell r="A8206" t="str">
            <v>Bruno Henrique De Sousa Silva</v>
          </cell>
          <cell r="B8206">
            <v>37018713</v>
          </cell>
          <cell r="C8206">
            <v>20074881</v>
          </cell>
          <cell r="D8206">
            <v>45510</v>
          </cell>
        </row>
        <row r="8207">
          <cell r="A8207" t="str">
            <v>Daniel Henrique Nunes</v>
          </cell>
          <cell r="B8207">
            <v>37018715</v>
          </cell>
          <cell r="C8207">
            <v>20071223</v>
          </cell>
          <cell r="D8207">
            <v>45510</v>
          </cell>
        </row>
        <row r="8208">
          <cell r="A8208" t="str">
            <v>Marcelo Augusto Paixao Vieira</v>
          </cell>
          <cell r="B8208">
            <v>37018718</v>
          </cell>
          <cell r="C8208">
            <v>20074904</v>
          </cell>
          <cell r="D8208">
            <v>45510</v>
          </cell>
        </row>
        <row r="8209">
          <cell r="A8209" t="str">
            <v>Carlos Augusto Fialho Alves</v>
          </cell>
          <cell r="B8209">
            <v>37018721</v>
          </cell>
          <cell r="C8209">
            <v>20074907</v>
          </cell>
          <cell r="D8209">
            <v>45510</v>
          </cell>
        </row>
        <row r="8210">
          <cell r="A8210" t="str">
            <v>Renato Gomes Dias</v>
          </cell>
          <cell r="B8210">
            <v>37018722</v>
          </cell>
          <cell r="C8210">
            <v>20074908</v>
          </cell>
          <cell r="D8210">
            <v>45510</v>
          </cell>
        </row>
        <row r="8211">
          <cell r="A8211" t="str">
            <v>Jose Marcos Da Silva</v>
          </cell>
          <cell r="B8211">
            <v>37018724</v>
          </cell>
          <cell r="C8211">
            <v>20074910</v>
          </cell>
          <cell r="D8211">
            <v>45510</v>
          </cell>
        </row>
        <row r="8212">
          <cell r="A8212" t="str">
            <v>Camila Franciele Pereira Araújo</v>
          </cell>
          <cell r="B8212">
            <v>37018725</v>
          </cell>
          <cell r="C8212">
            <v>20074911</v>
          </cell>
          <cell r="D8212">
            <v>45510</v>
          </cell>
        </row>
        <row r="8213">
          <cell r="A8213" t="str">
            <v>Wevertton Alves Domingues</v>
          </cell>
          <cell r="B8213">
            <v>37018714</v>
          </cell>
          <cell r="C8213">
            <v>20036627</v>
          </cell>
          <cell r="D8213">
            <v>45510</v>
          </cell>
        </row>
        <row r="8214">
          <cell r="A8214" t="str">
            <v>Anderson Emidio De Moura</v>
          </cell>
          <cell r="B8214">
            <v>37018726</v>
          </cell>
          <cell r="C8214">
            <v>20074912</v>
          </cell>
          <cell r="D8214">
            <v>45510</v>
          </cell>
        </row>
        <row r="8215">
          <cell r="A8215" t="str">
            <v>Oscar Da Costa Machado Da costa Machado</v>
          </cell>
          <cell r="B8215">
            <v>37018732</v>
          </cell>
          <cell r="C8215">
            <v>20074932</v>
          </cell>
          <cell r="D8215">
            <v>45510</v>
          </cell>
        </row>
        <row r="8216">
          <cell r="A8216" t="str">
            <v>Ana Flávia Da Silva</v>
          </cell>
          <cell r="B8216">
            <v>37018733</v>
          </cell>
          <cell r="C8216">
            <v>20074933</v>
          </cell>
          <cell r="D8216">
            <v>45510</v>
          </cell>
        </row>
        <row r="8217">
          <cell r="A8217" t="str">
            <v>Andreza de Fátima Rodrigues Francisco</v>
          </cell>
          <cell r="B8217">
            <v>37018734</v>
          </cell>
          <cell r="C8217">
            <v>20074934</v>
          </cell>
          <cell r="D8217">
            <v>45510</v>
          </cell>
        </row>
        <row r="8218">
          <cell r="A8218" t="str">
            <v>Diego Rafael da Silva Lima</v>
          </cell>
          <cell r="B8218">
            <v>37018740</v>
          </cell>
          <cell r="C8218">
            <v>20074954</v>
          </cell>
          <cell r="D8218">
            <v>45510</v>
          </cell>
        </row>
        <row r="8219">
          <cell r="A8219" t="str">
            <v>Bruno Varella Baptista</v>
          </cell>
          <cell r="B8219">
            <v>37018741</v>
          </cell>
          <cell r="C8219">
            <v>20074955</v>
          </cell>
          <cell r="D8219">
            <v>45510</v>
          </cell>
        </row>
        <row r="8220">
          <cell r="A8220" t="str">
            <v>Wilson Vicente</v>
          </cell>
          <cell r="B8220">
            <v>37018736</v>
          </cell>
          <cell r="C8220">
            <v>20074936</v>
          </cell>
          <cell r="D8220">
            <v>45510</v>
          </cell>
        </row>
        <row r="8221">
          <cell r="A8221" t="str">
            <v>Dagmar Daniel de Andrade Silva</v>
          </cell>
          <cell r="B8221">
            <v>37018738</v>
          </cell>
          <cell r="C8221">
            <v>20074938</v>
          </cell>
          <cell r="D8221">
            <v>45510</v>
          </cell>
        </row>
        <row r="8222">
          <cell r="A8222" t="str">
            <v>Kevin Ezequiel da Silva Salviano da Conceicao</v>
          </cell>
          <cell r="B8222">
            <v>37018739</v>
          </cell>
          <cell r="C8222">
            <v>20074953</v>
          </cell>
          <cell r="D8222">
            <v>45510</v>
          </cell>
        </row>
        <row r="8223">
          <cell r="A8223" t="str">
            <v>Vitor Alexandre Souza Oliveira</v>
          </cell>
          <cell r="B8223">
            <v>37018742</v>
          </cell>
          <cell r="C8223">
            <v>20074959</v>
          </cell>
          <cell r="D8223">
            <v>45510</v>
          </cell>
        </row>
        <row r="8224">
          <cell r="A8224" t="str">
            <v>Ederson Calixto</v>
          </cell>
          <cell r="B8224">
            <v>37018744</v>
          </cell>
          <cell r="C8224">
            <v>20074961</v>
          </cell>
          <cell r="D8224">
            <v>45510</v>
          </cell>
        </row>
        <row r="8225">
          <cell r="A8225" t="str">
            <v>Michael Alves de Oliveira</v>
          </cell>
          <cell r="B8225">
            <v>37018746</v>
          </cell>
          <cell r="C8225">
            <v>20074963</v>
          </cell>
          <cell r="D8225">
            <v>45510</v>
          </cell>
        </row>
        <row r="8226">
          <cell r="A8226" t="str">
            <v>JOAO VICTOR FERNANDES DE PAULA</v>
          </cell>
          <cell r="B8226">
            <v>37018752</v>
          </cell>
          <cell r="C8226">
            <v>20074969</v>
          </cell>
          <cell r="D8226">
            <v>45510</v>
          </cell>
        </row>
        <row r="8227">
          <cell r="A8227" t="str">
            <v>Douglas de Oliveira da Silva</v>
          </cell>
          <cell r="B8227">
            <v>37018743</v>
          </cell>
          <cell r="C8227">
            <v>20074960</v>
          </cell>
          <cell r="D8227">
            <v>45510</v>
          </cell>
        </row>
        <row r="8228">
          <cell r="A8228" t="str">
            <v>Claudinei Ferraz</v>
          </cell>
          <cell r="B8228">
            <v>37018745</v>
          </cell>
          <cell r="C8228">
            <v>20074962</v>
          </cell>
          <cell r="D8228">
            <v>45510</v>
          </cell>
        </row>
        <row r="8229">
          <cell r="A8229" t="str">
            <v>VALDECI VIEIRA</v>
          </cell>
          <cell r="B8229">
            <v>37018748</v>
          </cell>
          <cell r="C8229">
            <v>20074965</v>
          </cell>
          <cell r="D8229">
            <v>45510</v>
          </cell>
        </row>
        <row r="8230">
          <cell r="A8230" t="str">
            <v>VICTORIA STEFANE DA SILVA OLIVEIRA</v>
          </cell>
          <cell r="B8230">
            <v>37018749</v>
          </cell>
          <cell r="C8230">
            <v>20074966</v>
          </cell>
          <cell r="D8230">
            <v>45510</v>
          </cell>
        </row>
        <row r="8231">
          <cell r="A8231" t="str">
            <v>Weverton Leoncio Dias</v>
          </cell>
          <cell r="B8231">
            <v>37018751</v>
          </cell>
          <cell r="C8231">
            <v>20074968</v>
          </cell>
          <cell r="D8231">
            <v>45510</v>
          </cell>
        </row>
        <row r="8232">
          <cell r="A8232" t="str">
            <v>Jeferson Ortiz Machado</v>
          </cell>
          <cell r="B8232">
            <v>37018753</v>
          </cell>
          <cell r="C8232">
            <v>20074970</v>
          </cell>
          <cell r="D8232">
            <v>45510</v>
          </cell>
        </row>
        <row r="8233">
          <cell r="A8233" t="str">
            <v>Edenil Celso Paschoalinotto</v>
          </cell>
          <cell r="B8233">
            <v>37018758</v>
          </cell>
          <cell r="C8233">
            <v>20075044</v>
          </cell>
          <cell r="D8233">
            <v>45510</v>
          </cell>
        </row>
        <row r="8234">
          <cell r="A8234" t="str">
            <v>Taina Belo Santos</v>
          </cell>
          <cell r="B8234">
            <v>37018762</v>
          </cell>
          <cell r="C8234">
            <v>20075048</v>
          </cell>
          <cell r="D8234">
            <v>45510</v>
          </cell>
        </row>
        <row r="8235">
          <cell r="A8235" t="str">
            <v>Edenilson Burato</v>
          </cell>
          <cell r="B8235">
            <v>37018764</v>
          </cell>
          <cell r="C8235">
            <v>20075050</v>
          </cell>
          <cell r="D8235">
            <v>45510</v>
          </cell>
        </row>
        <row r="8236">
          <cell r="A8236" t="str">
            <v>Vinícius José Duarte</v>
          </cell>
          <cell r="B8236">
            <v>37018760</v>
          </cell>
          <cell r="C8236">
            <v>20075046</v>
          </cell>
          <cell r="D8236">
            <v>45510</v>
          </cell>
        </row>
        <row r="8237">
          <cell r="A8237" t="str">
            <v>Mizael Barbosa De Carvalho</v>
          </cell>
          <cell r="B8237">
            <v>37018765</v>
          </cell>
          <cell r="C8237">
            <v>20075051</v>
          </cell>
          <cell r="D8237">
            <v>45510</v>
          </cell>
        </row>
        <row r="8238">
          <cell r="A8238" t="str">
            <v>Fernanda Aparecida Silva</v>
          </cell>
          <cell r="B8238">
            <v>37018766</v>
          </cell>
          <cell r="C8238">
            <v>20075052</v>
          </cell>
          <cell r="D8238">
            <v>45510</v>
          </cell>
        </row>
        <row r="8239">
          <cell r="A8239" t="str">
            <v>Cleonice Machado</v>
          </cell>
          <cell r="B8239">
            <v>37018771</v>
          </cell>
          <cell r="C8239">
            <v>20075057</v>
          </cell>
          <cell r="D8239">
            <v>45510</v>
          </cell>
        </row>
        <row r="8240">
          <cell r="A8240" t="str">
            <v>Fernando Dos Santos</v>
          </cell>
          <cell r="B8240">
            <v>37018772</v>
          </cell>
          <cell r="C8240">
            <v>20075058</v>
          </cell>
          <cell r="D8240">
            <v>45510</v>
          </cell>
        </row>
        <row r="8241">
          <cell r="A8241" t="str">
            <v>Robson Manoel Francisco</v>
          </cell>
          <cell r="B8241">
            <v>37018775</v>
          </cell>
          <cell r="C8241">
            <v>20075061</v>
          </cell>
          <cell r="D8241">
            <v>45510</v>
          </cell>
        </row>
        <row r="8242">
          <cell r="A8242" t="str">
            <v>Isadora Almeida Rezende</v>
          </cell>
          <cell r="B8242">
            <v>37018776</v>
          </cell>
          <cell r="C8242">
            <v>20075062</v>
          </cell>
          <cell r="D8242">
            <v>45510</v>
          </cell>
        </row>
        <row r="8243">
          <cell r="A8243" t="str">
            <v>Cheila Palmira Candido</v>
          </cell>
          <cell r="B8243">
            <v>37018780</v>
          </cell>
          <cell r="C8243">
            <v>20075066</v>
          </cell>
          <cell r="D8243">
            <v>45510</v>
          </cell>
        </row>
        <row r="8244">
          <cell r="A8244" t="str">
            <v>Douglas Rodrigues dos Santos</v>
          </cell>
          <cell r="B8244">
            <v>37018773</v>
          </cell>
          <cell r="C8244">
            <v>20075059</v>
          </cell>
          <cell r="D8244">
            <v>45510</v>
          </cell>
        </row>
        <row r="8245">
          <cell r="A8245" t="str">
            <v>Erick Gabriel Silva de Godoy</v>
          </cell>
          <cell r="B8245">
            <v>37018774</v>
          </cell>
          <cell r="C8245">
            <v>20075060</v>
          </cell>
          <cell r="D8245">
            <v>45510</v>
          </cell>
        </row>
        <row r="8246">
          <cell r="A8246" t="str">
            <v>Gileno Dos Santos Oliveira</v>
          </cell>
          <cell r="B8246">
            <v>37018778</v>
          </cell>
          <cell r="C8246">
            <v>20075064</v>
          </cell>
          <cell r="D8246">
            <v>45510</v>
          </cell>
        </row>
        <row r="8247">
          <cell r="A8247" t="str">
            <v>Marcelo Antônio Simões</v>
          </cell>
          <cell r="B8247">
            <v>37018782</v>
          </cell>
          <cell r="C8247">
            <v>20075068</v>
          </cell>
          <cell r="D8247">
            <v>45510</v>
          </cell>
        </row>
        <row r="8248">
          <cell r="A8248" t="str">
            <v>João Borges</v>
          </cell>
          <cell r="B8248">
            <v>37018787</v>
          </cell>
          <cell r="C8248">
            <v>20075073</v>
          </cell>
          <cell r="D8248">
            <v>45510</v>
          </cell>
        </row>
        <row r="8249">
          <cell r="A8249" t="str">
            <v>Celso Humberto Dos Santos Junior</v>
          </cell>
          <cell r="B8249">
            <v>37018792</v>
          </cell>
          <cell r="C8249">
            <v>20075078</v>
          </cell>
          <cell r="D8249">
            <v>45510</v>
          </cell>
        </row>
        <row r="8250">
          <cell r="A8250" t="str">
            <v>Divino Aparecido Rosalin Bernardes Rosalin Rosalin</v>
          </cell>
          <cell r="B8250">
            <v>37018785</v>
          </cell>
          <cell r="C8250">
            <v>20075071</v>
          </cell>
          <cell r="D8250">
            <v>45510</v>
          </cell>
        </row>
        <row r="8251">
          <cell r="A8251" t="str">
            <v>Rogerio Rodrigues</v>
          </cell>
          <cell r="B8251">
            <v>37018788</v>
          </cell>
          <cell r="C8251">
            <v>20075074</v>
          </cell>
          <cell r="D8251">
            <v>45510</v>
          </cell>
        </row>
        <row r="8252">
          <cell r="A8252" t="str">
            <v>Paulo Henrique Jordão</v>
          </cell>
          <cell r="B8252">
            <v>37018791</v>
          </cell>
          <cell r="C8252">
            <v>20075077</v>
          </cell>
          <cell r="D8252">
            <v>45510</v>
          </cell>
        </row>
        <row r="8253">
          <cell r="A8253" t="str">
            <v>Telmo da Silva e Souza</v>
          </cell>
          <cell r="B8253">
            <v>37018795</v>
          </cell>
          <cell r="C8253">
            <v>20075081</v>
          </cell>
          <cell r="D8253">
            <v>45510</v>
          </cell>
        </row>
        <row r="8254">
          <cell r="A8254" t="str">
            <v>Marcela Aparecida Dos Santos</v>
          </cell>
          <cell r="B8254">
            <v>37018800</v>
          </cell>
          <cell r="C8254">
            <v>20075086</v>
          </cell>
          <cell r="D8254">
            <v>45510</v>
          </cell>
        </row>
        <row r="8255">
          <cell r="A8255" t="str">
            <v>Gislaine Renata Cassiano da Silva Santos</v>
          </cell>
          <cell r="B8255">
            <v>37018802</v>
          </cell>
          <cell r="C8255">
            <v>20075088</v>
          </cell>
          <cell r="D8255">
            <v>45510</v>
          </cell>
        </row>
        <row r="8256">
          <cell r="A8256" t="str">
            <v>Gizeli Renata Cassiano da Silva Do Prado</v>
          </cell>
          <cell r="B8256">
            <v>37018794</v>
          </cell>
          <cell r="C8256">
            <v>20075080</v>
          </cell>
          <cell r="D8256">
            <v>45510</v>
          </cell>
        </row>
        <row r="8257">
          <cell r="A8257" t="str">
            <v>Waldeir Ribas Barboza</v>
          </cell>
          <cell r="B8257">
            <v>37018797</v>
          </cell>
          <cell r="C8257">
            <v>20075083</v>
          </cell>
          <cell r="D8257">
            <v>45510</v>
          </cell>
        </row>
        <row r="8258">
          <cell r="A8258" t="str">
            <v>Ingrid Yasmin de Oliveira Mizael</v>
          </cell>
          <cell r="B8258">
            <v>37018798</v>
          </cell>
          <cell r="C8258">
            <v>20075084</v>
          </cell>
          <cell r="D8258">
            <v>45510</v>
          </cell>
        </row>
        <row r="8259">
          <cell r="A8259" t="str">
            <v>Joel Aparecido Quirino</v>
          </cell>
          <cell r="B8259">
            <v>37018803</v>
          </cell>
          <cell r="C8259">
            <v>20075089</v>
          </cell>
          <cell r="D8259">
            <v>45510</v>
          </cell>
        </row>
        <row r="8260">
          <cell r="A8260" t="str">
            <v>Jone Cesar Gomes</v>
          </cell>
          <cell r="B8260">
            <v>37018810</v>
          </cell>
          <cell r="C8260">
            <v>20075105</v>
          </cell>
          <cell r="D8260">
            <v>45510</v>
          </cell>
        </row>
        <row r="8261">
          <cell r="A8261" t="str">
            <v>Querem Hapuque Cristina Pereira</v>
          </cell>
          <cell r="B8261">
            <v>37018815</v>
          </cell>
          <cell r="C8261">
            <v>20075110</v>
          </cell>
          <cell r="D8261">
            <v>45510</v>
          </cell>
        </row>
        <row r="8262">
          <cell r="A8262" t="str">
            <v>Paulo Edson Conceição Pereira</v>
          </cell>
          <cell r="B8262">
            <v>37018816</v>
          </cell>
          <cell r="C8262">
            <v>20075111</v>
          </cell>
          <cell r="D8262">
            <v>45510</v>
          </cell>
        </row>
        <row r="8263">
          <cell r="A8263" t="str">
            <v>Carlos Eduardo Batista Alves</v>
          </cell>
          <cell r="B8263">
            <v>37018812</v>
          </cell>
          <cell r="C8263">
            <v>20075107</v>
          </cell>
          <cell r="D8263">
            <v>45510</v>
          </cell>
        </row>
        <row r="8264">
          <cell r="A8264" t="str">
            <v>Marcos Vinicius Barbosa Da Silva</v>
          </cell>
          <cell r="B8264">
            <v>37018820</v>
          </cell>
          <cell r="C8264">
            <v>20075115</v>
          </cell>
          <cell r="D8264">
            <v>45510</v>
          </cell>
        </row>
        <row r="8265">
          <cell r="A8265" t="str">
            <v>Vitor Gabriel da Silva Pereira</v>
          </cell>
          <cell r="B8265">
            <v>37018822</v>
          </cell>
          <cell r="C8265">
            <v>20075117</v>
          </cell>
          <cell r="D8265">
            <v>45510</v>
          </cell>
        </row>
        <row r="8266">
          <cell r="A8266" t="str">
            <v>Wagner Ricardo Antunes Simon Macedo</v>
          </cell>
          <cell r="B8266">
            <v>37018823</v>
          </cell>
          <cell r="C8266">
            <v>20075118</v>
          </cell>
          <cell r="D8266">
            <v>45510</v>
          </cell>
        </row>
        <row r="8267">
          <cell r="A8267" t="str">
            <v>Maria Jose Ferreira da Silva</v>
          </cell>
          <cell r="B8267">
            <v>37018826</v>
          </cell>
          <cell r="C8267">
            <v>20075121</v>
          </cell>
          <cell r="D8267">
            <v>45510</v>
          </cell>
        </row>
        <row r="8268">
          <cell r="A8268" t="str">
            <v>Rodrigo Da Costa Vasconcellos</v>
          </cell>
          <cell r="B8268">
            <v>37018828</v>
          </cell>
          <cell r="C8268">
            <v>20075123</v>
          </cell>
          <cell r="D8268">
            <v>45510</v>
          </cell>
        </row>
        <row r="8269">
          <cell r="A8269" t="str">
            <v>Giuliano Carilo Póvoas</v>
          </cell>
          <cell r="B8269">
            <v>37018833</v>
          </cell>
          <cell r="C8269">
            <v>20075128</v>
          </cell>
          <cell r="D8269">
            <v>45510</v>
          </cell>
        </row>
        <row r="8270">
          <cell r="A8270" t="str">
            <v>Geovanna Gabriely Carvalho Silva</v>
          </cell>
          <cell r="B8270">
            <v>37018837</v>
          </cell>
          <cell r="C8270">
            <v>20075132</v>
          </cell>
          <cell r="D8270">
            <v>45510</v>
          </cell>
        </row>
        <row r="8271">
          <cell r="A8271" t="str">
            <v>Diego dos Santos Marciano</v>
          </cell>
          <cell r="B8271">
            <v>37018838</v>
          </cell>
          <cell r="C8271">
            <v>20075133</v>
          </cell>
          <cell r="D8271">
            <v>45510</v>
          </cell>
        </row>
        <row r="8272">
          <cell r="A8272" t="str">
            <v>Welison Carlos da Silva</v>
          </cell>
          <cell r="B8272">
            <v>37018843</v>
          </cell>
          <cell r="C8272">
            <v>20075138</v>
          </cell>
          <cell r="D8272">
            <v>45510</v>
          </cell>
        </row>
        <row r="8273">
          <cell r="A8273" t="str">
            <v>Fernando Ribeiro Da Rocha</v>
          </cell>
          <cell r="B8273">
            <v>37018840</v>
          </cell>
          <cell r="C8273">
            <v>20075135</v>
          </cell>
          <cell r="D8273">
            <v>45510</v>
          </cell>
        </row>
        <row r="8274">
          <cell r="A8274" t="str">
            <v>Ortides Menezes Souza</v>
          </cell>
          <cell r="B8274">
            <v>37018842</v>
          </cell>
          <cell r="C8274">
            <v>20075137</v>
          </cell>
          <cell r="D8274">
            <v>45510</v>
          </cell>
        </row>
        <row r="8275">
          <cell r="A8275" t="str">
            <v>Joelmir Aparecido de Oliveira Silva</v>
          </cell>
          <cell r="B8275">
            <v>37018847</v>
          </cell>
          <cell r="C8275">
            <v>20075142</v>
          </cell>
          <cell r="D8275">
            <v>45510</v>
          </cell>
        </row>
        <row r="8276">
          <cell r="A8276" t="str">
            <v>Jefersson Antônio Ferreira</v>
          </cell>
          <cell r="B8276">
            <v>37018849</v>
          </cell>
          <cell r="C8276">
            <v>20075144</v>
          </cell>
          <cell r="D8276">
            <v>45510</v>
          </cell>
        </row>
        <row r="8277">
          <cell r="A8277" t="str">
            <v>Rogerio Aparecido Delfino</v>
          </cell>
          <cell r="B8277">
            <v>37018850</v>
          </cell>
          <cell r="C8277">
            <v>20075145</v>
          </cell>
          <cell r="D8277">
            <v>45510</v>
          </cell>
        </row>
        <row r="8278">
          <cell r="A8278" t="str">
            <v>Marcos Antonio de Oliveira</v>
          </cell>
          <cell r="B8278">
            <v>37018805</v>
          </cell>
          <cell r="C8278">
            <v>20037424</v>
          </cell>
          <cell r="D8278">
            <v>45510</v>
          </cell>
        </row>
        <row r="8279">
          <cell r="A8279" t="str">
            <v>Josue Aparecido Granado</v>
          </cell>
          <cell r="B8279">
            <v>37018845</v>
          </cell>
          <cell r="C8279">
            <v>20075140</v>
          </cell>
          <cell r="D8279">
            <v>45510</v>
          </cell>
        </row>
        <row r="8280">
          <cell r="A8280" t="str">
            <v>Israel Feitosa de Oliveira</v>
          </cell>
          <cell r="B8280">
            <v>37018808</v>
          </cell>
          <cell r="C8280">
            <v>20066640</v>
          </cell>
          <cell r="D8280">
            <v>45510</v>
          </cell>
        </row>
        <row r="8281">
          <cell r="A8281" t="str">
            <v>Wellington Lopes Cordeiro Enoque</v>
          </cell>
          <cell r="B8281">
            <v>37010059</v>
          </cell>
          <cell r="C8281">
            <v>20038164</v>
          </cell>
          <cell r="D8281">
            <v>44881</v>
          </cell>
        </row>
        <row r="8282">
          <cell r="A8282" t="str">
            <v>Wendel de Souza Micadei</v>
          </cell>
          <cell r="B8282">
            <v>37011893</v>
          </cell>
          <cell r="C8282">
            <v>20046462</v>
          </cell>
          <cell r="D8282">
            <v>45005</v>
          </cell>
        </row>
        <row r="8283">
          <cell r="A8283" t="str">
            <v>Lucas Antonio Faustino Da Silva</v>
          </cell>
          <cell r="B8283">
            <v>37004491</v>
          </cell>
          <cell r="C8283">
            <v>20009507</v>
          </cell>
          <cell r="D8283">
            <v>43906</v>
          </cell>
        </row>
        <row r="8284">
          <cell r="A8284" t="str">
            <v>Jose Heitor Fortunato Do Nascimento</v>
          </cell>
          <cell r="B8284">
            <v>37007726</v>
          </cell>
          <cell r="C8284">
            <v>20025806</v>
          </cell>
          <cell r="D8284">
            <v>44697</v>
          </cell>
        </row>
        <row r="8285">
          <cell r="A8285" t="str">
            <v>Reginaldo Costa Ferraz</v>
          </cell>
          <cell r="B8285">
            <v>37014646</v>
          </cell>
          <cell r="C8285">
            <v>20059385</v>
          </cell>
          <cell r="D8285">
            <v>45188</v>
          </cell>
        </row>
        <row r="8286">
          <cell r="A8286" t="str">
            <v>Thiago Rogerio Cano</v>
          </cell>
          <cell r="B8286">
            <v>37015469</v>
          </cell>
          <cell r="C8286">
            <v>20062718</v>
          </cell>
          <cell r="D8286">
            <v>45265</v>
          </cell>
        </row>
        <row r="8287">
          <cell r="A8287" t="str">
            <v>Marcos Rogerio Teixeira</v>
          </cell>
          <cell r="B8287">
            <v>37014708</v>
          </cell>
          <cell r="C8287">
            <v>20059360</v>
          </cell>
          <cell r="D8287">
            <v>45188</v>
          </cell>
        </row>
        <row r="8288">
          <cell r="A8288" t="str">
            <v>Jose Eduardo Da Silva</v>
          </cell>
          <cell r="B8288">
            <v>37000640</v>
          </cell>
          <cell r="C8288">
            <v>20009389</v>
          </cell>
          <cell r="D8288">
            <v>39573</v>
          </cell>
        </row>
        <row r="8289">
          <cell r="A8289" t="str">
            <v>Priscilla Sena Reuter</v>
          </cell>
          <cell r="B8289">
            <v>37008591</v>
          </cell>
          <cell r="C8289">
            <v>20024729</v>
          </cell>
          <cell r="D8289">
            <v>44700</v>
          </cell>
        </row>
        <row r="8290">
          <cell r="A8290" t="str">
            <v>Silvana Ventura Henrique Ventura Henrique</v>
          </cell>
          <cell r="B8290">
            <v>37018853</v>
          </cell>
          <cell r="C8290">
            <v>20075159</v>
          </cell>
          <cell r="D8290">
            <v>45510</v>
          </cell>
        </row>
        <row r="8291">
          <cell r="A8291" t="str">
            <v>Carolina Fogliarini Parcianello</v>
          </cell>
          <cell r="B8291">
            <v>37013161</v>
          </cell>
          <cell r="C8291">
            <v>20053288</v>
          </cell>
          <cell r="D8291">
            <v>45111</v>
          </cell>
        </row>
        <row r="8292">
          <cell r="A8292" t="str">
            <v>João Lucas Nunes Rodrigues</v>
          </cell>
          <cell r="B8292">
            <v>37018858</v>
          </cell>
          <cell r="C8292">
            <v>20075181</v>
          </cell>
          <cell r="D8292">
            <v>45510</v>
          </cell>
        </row>
        <row r="8293">
          <cell r="A8293" t="str">
            <v>Marcelo Vargas Braseiro</v>
          </cell>
          <cell r="B8293">
            <v>37010755</v>
          </cell>
          <cell r="C8293">
            <v>20040965</v>
          </cell>
          <cell r="D8293">
            <v>44935</v>
          </cell>
        </row>
        <row r="8294">
          <cell r="A8294" t="str">
            <v>Thasso José Silva Sousa</v>
          </cell>
          <cell r="B8294">
            <v>37018863</v>
          </cell>
          <cell r="C8294">
            <v>20075476</v>
          </cell>
          <cell r="D8294">
            <v>45517</v>
          </cell>
        </row>
        <row r="8295">
          <cell r="A8295" t="str">
            <v>Daniele Soares Felipe</v>
          </cell>
          <cell r="B8295">
            <v>37018864</v>
          </cell>
          <cell r="C8295">
            <v>20075477</v>
          </cell>
          <cell r="D8295">
            <v>45517</v>
          </cell>
        </row>
        <row r="8296">
          <cell r="A8296" t="str">
            <v>Luan De Souza Fogo</v>
          </cell>
          <cell r="B8296">
            <v>37018865</v>
          </cell>
          <cell r="C8296">
            <v>20075479</v>
          </cell>
          <cell r="D8296">
            <v>45517</v>
          </cell>
        </row>
        <row r="8297">
          <cell r="A8297" t="str">
            <v>Rogerio Rodrigues Dos Santos</v>
          </cell>
          <cell r="B8297">
            <v>37004310</v>
          </cell>
          <cell r="C8297">
            <v>20008303</v>
          </cell>
          <cell r="D8297">
            <v>43864</v>
          </cell>
        </row>
        <row r="8298">
          <cell r="A8298" t="str">
            <v>Jhon Felipe Senoski</v>
          </cell>
          <cell r="B8298">
            <v>37005275</v>
          </cell>
          <cell r="C8298">
            <v>20011084</v>
          </cell>
          <cell r="D8298">
            <v>44152</v>
          </cell>
        </row>
        <row r="8299">
          <cell r="A8299" t="str">
            <v>Claudio Fernandes Reche</v>
          </cell>
          <cell r="B8299">
            <v>37018868</v>
          </cell>
          <cell r="C8299">
            <v>20075482</v>
          </cell>
          <cell r="D8299">
            <v>45517</v>
          </cell>
        </row>
        <row r="8300">
          <cell r="A8300" t="str">
            <v>Macivaldo Ribeiro Bousse</v>
          </cell>
          <cell r="B8300">
            <v>37018869</v>
          </cell>
          <cell r="C8300">
            <v>20075483</v>
          </cell>
          <cell r="D8300">
            <v>45517</v>
          </cell>
        </row>
        <row r="8301">
          <cell r="A8301" t="str">
            <v>Sandro Machado dos Santos</v>
          </cell>
          <cell r="B8301">
            <v>37018871</v>
          </cell>
          <cell r="C8301">
            <v>20075485</v>
          </cell>
          <cell r="D8301">
            <v>45517</v>
          </cell>
        </row>
        <row r="8302">
          <cell r="A8302" t="str">
            <v>Antonio Barbosa da Silva</v>
          </cell>
          <cell r="B8302">
            <v>37018874</v>
          </cell>
          <cell r="C8302">
            <v>20075496</v>
          </cell>
          <cell r="D8302">
            <v>45517</v>
          </cell>
        </row>
        <row r="8303">
          <cell r="A8303" t="str">
            <v>Gilson Ramos de Souza Junior</v>
          </cell>
          <cell r="B8303">
            <v>37018876</v>
          </cell>
          <cell r="C8303">
            <v>20075498</v>
          </cell>
          <cell r="D8303">
            <v>45517</v>
          </cell>
        </row>
        <row r="8304">
          <cell r="A8304" t="str">
            <v>Ana Elisa Chagas Oliveira</v>
          </cell>
          <cell r="B8304">
            <v>37018875</v>
          </cell>
          <cell r="C8304">
            <v>20075497</v>
          </cell>
          <cell r="D8304">
            <v>45517</v>
          </cell>
        </row>
        <row r="8305">
          <cell r="A8305" t="str">
            <v>Weslei Vaz Da Silva</v>
          </cell>
          <cell r="B8305">
            <v>37018878</v>
          </cell>
          <cell r="C8305">
            <v>20075500</v>
          </cell>
          <cell r="D8305">
            <v>45517</v>
          </cell>
        </row>
        <row r="8306">
          <cell r="A8306" t="str">
            <v>Thiago Geraldo da Silva</v>
          </cell>
          <cell r="B8306">
            <v>37018883</v>
          </cell>
          <cell r="C8306">
            <v>20075507</v>
          </cell>
          <cell r="D8306">
            <v>45517</v>
          </cell>
        </row>
        <row r="8307">
          <cell r="A8307" t="str">
            <v>Adriano Jordao</v>
          </cell>
          <cell r="B8307">
            <v>37013627</v>
          </cell>
          <cell r="C8307">
            <v>20055886</v>
          </cell>
          <cell r="D8307">
            <v>45125</v>
          </cell>
        </row>
        <row r="8308">
          <cell r="A8308" t="str">
            <v>Wagner Jose Custodio</v>
          </cell>
          <cell r="B8308">
            <v>37016156</v>
          </cell>
          <cell r="C8308">
            <v>20063810</v>
          </cell>
          <cell r="D8308">
            <v>45307</v>
          </cell>
        </row>
        <row r="8309">
          <cell r="A8309" t="str">
            <v>Leandro Oliveira Costa</v>
          </cell>
          <cell r="B8309">
            <v>37018881</v>
          </cell>
          <cell r="C8309">
            <v>20075505</v>
          </cell>
          <cell r="D8309">
            <v>45517</v>
          </cell>
        </row>
        <row r="8310">
          <cell r="A8310" t="str">
            <v>Rafael Luis Batista</v>
          </cell>
          <cell r="B8310">
            <v>37018708</v>
          </cell>
          <cell r="C8310">
            <v>20074876</v>
          </cell>
          <cell r="D8310">
            <v>45510</v>
          </cell>
        </row>
        <row r="8311">
          <cell r="A8311" t="str">
            <v>Bruno Pisani Verciano</v>
          </cell>
          <cell r="B8311">
            <v>37014401</v>
          </cell>
          <cell r="C8311">
            <v>20058553</v>
          </cell>
          <cell r="D8311">
            <v>45174</v>
          </cell>
        </row>
        <row r="8312">
          <cell r="A8312" t="str">
            <v>Vanderlei Jose Honorio</v>
          </cell>
          <cell r="B8312">
            <v>37005557</v>
          </cell>
          <cell r="C8312">
            <v>20013587</v>
          </cell>
          <cell r="D8312">
            <v>44291</v>
          </cell>
        </row>
        <row r="8313">
          <cell r="A8313" t="str">
            <v>Elieser De Souza Prado</v>
          </cell>
          <cell r="B8313">
            <v>37009031</v>
          </cell>
          <cell r="C8313">
            <v>20031117</v>
          </cell>
          <cell r="D8313">
            <v>44781</v>
          </cell>
        </row>
        <row r="8314">
          <cell r="A8314" t="str">
            <v>Thiago Ferreira da Paixao</v>
          </cell>
          <cell r="B8314">
            <v>37011936</v>
          </cell>
          <cell r="C8314">
            <v>20046765</v>
          </cell>
          <cell r="D8314">
            <v>45019</v>
          </cell>
        </row>
        <row r="8315">
          <cell r="A8315" t="str">
            <v>Victor Davi Martins Benjamin</v>
          </cell>
          <cell r="B8315">
            <v>37006660</v>
          </cell>
          <cell r="C8315">
            <v>20018744</v>
          </cell>
          <cell r="D8315">
            <v>44503</v>
          </cell>
        </row>
        <row r="8316">
          <cell r="A8316" t="str">
            <v>Michael Fernandes De Oliveira</v>
          </cell>
          <cell r="B8316">
            <v>37004843</v>
          </cell>
          <cell r="C8316">
            <v>20008118</v>
          </cell>
          <cell r="D8316">
            <v>44082</v>
          </cell>
        </row>
        <row r="8317">
          <cell r="A8317" t="str">
            <v>Kelly Fabiani Da Silva Machado</v>
          </cell>
          <cell r="B8317">
            <v>37006440</v>
          </cell>
          <cell r="C8317">
            <v>20017842</v>
          </cell>
          <cell r="D8317">
            <v>44459</v>
          </cell>
        </row>
        <row r="8318">
          <cell r="A8318" t="str">
            <v>Karine Silva Madruga</v>
          </cell>
          <cell r="B8318">
            <v>37003713</v>
          </cell>
          <cell r="C8318">
            <v>20009448</v>
          </cell>
          <cell r="D8318">
            <v>43740</v>
          </cell>
        </row>
        <row r="8319">
          <cell r="A8319" t="str">
            <v>Amanda Ritz Cerqueira</v>
          </cell>
          <cell r="B8319">
            <v>37015389</v>
          </cell>
          <cell r="C8319">
            <v>20062398</v>
          </cell>
          <cell r="D8319">
            <v>45251</v>
          </cell>
        </row>
        <row r="8320">
          <cell r="A8320" t="str">
            <v>Luan Antonio Marques</v>
          </cell>
          <cell r="B8320">
            <v>37018887</v>
          </cell>
          <cell r="C8320">
            <v>20075511</v>
          </cell>
          <cell r="D8320">
            <v>45517</v>
          </cell>
        </row>
        <row r="8321">
          <cell r="A8321" t="str">
            <v>Murilo Vieira Martins</v>
          </cell>
          <cell r="B8321">
            <v>37018888</v>
          </cell>
          <cell r="C8321">
            <v>20075512</v>
          </cell>
          <cell r="D8321">
            <v>45517</v>
          </cell>
        </row>
        <row r="8322">
          <cell r="A8322" t="str">
            <v>Ricardo Pisani Da Silva</v>
          </cell>
          <cell r="B8322">
            <v>37013308</v>
          </cell>
          <cell r="C8322">
            <v>20053670</v>
          </cell>
          <cell r="D8322">
            <v>45111</v>
          </cell>
        </row>
        <row r="8323">
          <cell r="A8323" t="str">
            <v>Juliana Dos Santos Prado</v>
          </cell>
          <cell r="B8323">
            <v>37018886</v>
          </cell>
          <cell r="C8323">
            <v>20075510</v>
          </cell>
          <cell r="D8323">
            <v>45517</v>
          </cell>
        </row>
        <row r="8324">
          <cell r="A8324" t="str">
            <v>Osvaldo Gomes</v>
          </cell>
          <cell r="B8324">
            <v>37007146</v>
          </cell>
          <cell r="C8324">
            <v>20022950</v>
          </cell>
          <cell r="D8324">
            <v>44606</v>
          </cell>
        </row>
        <row r="8325">
          <cell r="A8325" t="str">
            <v>Nereu Moraes De Oliveira</v>
          </cell>
          <cell r="B8325">
            <v>37005363</v>
          </cell>
          <cell r="C8325">
            <v>20015983</v>
          </cell>
          <cell r="D8325">
            <v>44244</v>
          </cell>
        </row>
        <row r="8326">
          <cell r="A8326" t="str">
            <v>Rogerio Fernando Simoes</v>
          </cell>
          <cell r="B8326">
            <v>37013476</v>
          </cell>
          <cell r="C8326">
            <v>20055372</v>
          </cell>
          <cell r="D8326">
            <v>45125</v>
          </cell>
        </row>
        <row r="8327">
          <cell r="A8327" t="str">
            <v>Marcio Lima Da Silva</v>
          </cell>
          <cell r="B8327">
            <v>37010413</v>
          </cell>
          <cell r="C8327">
            <v>20039717</v>
          </cell>
          <cell r="D8327">
            <v>44907</v>
          </cell>
        </row>
        <row r="8328">
          <cell r="A8328" t="str">
            <v>Carlos Eduardo Pinto</v>
          </cell>
          <cell r="B8328">
            <v>37007736</v>
          </cell>
          <cell r="C8328">
            <v>20025821</v>
          </cell>
          <cell r="D8328">
            <v>44697</v>
          </cell>
        </row>
        <row r="8329">
          <cell r="A8329" t="str">
            <v>Kaio Vinicios Dos Santos</v>
          </cell>
          <cell r="B8329">
            <v>37018890</v>
          </cell>
          <cell r="C8329">
            <v>20075546</v>
          </cell>
          <cell r="D8329">
            <v>45517</v>
          </cell>
        </row>
        <row r="8330">
          <cell r="A8330" t="str">
            <v>Silvio Aparecido Albino</v>
          </cell>
          <cell r="B8330">
            <v>37018895</v>
          </cell>
          <cell r="C8330">
            <v>20075551</v>
          </cell>
          <cell r="D8330">
            <v>45524</v>
          </cell>
        </row>
        <row r="8331">
          <cell r="A8331" t="str">
            <v>LEANDRO BENEDITO PEREIRA DA SILVA</v>
          </cell>
          <cell r="B8331">
            <v>37018891</v>
          </cell>
          <cell r="C8331">
            <v>20075547</v>
          </cell>
          <cell r="D8331">
            <v>45517</v>
          </cell>
        </row>
        <row r="8332">
          <cell r="A8332" t="str">
            <v>Paulo Ricardo Monteiro Lourenco</v>
          </cell>
          <cell r="B8332">
            <v>37018893</v>
          </cell>
          <cell r="C8332">
            <v>20075549</v>
          </cell>
          <cell r="D8332">
            <v>45524</v>
          </cell>
        </row>
        <row r="8333">
          <cell r="A8333" t="str">
            <v>Maico Veronez</v>
          </cell>
          <cell r="B8333">
            <v>37007109</v>
          </cell>
          <cell r="C8333">
            <v>20022918</v>
          </cell>
          <cell r="D8333">
            <v>44599</v>
          </cell>
        </row>
        <row r="8334">
          <cell r="A8334" t="str">
            <v>Mauricio Ribeiro da Silva</v>
          </cell>
          <cell r="B8334">
            <v>37011782</v>
          </cell>
          <cell r="C8334">
            <v>20045757</v>
          </cell>
          <cell r="D8334">
            <v>45005</v>
          </cell>
        </row>
        <row r="8335">
          <cell r="A8335" t="str">
            <v>Luiz Carlos Oliveira Dos Santos</v>
          </cell>
          <cell r="B8335">
            <v>37009424</v>
          </cell>
          <cell r="C8335">
            <v>20033738</v>
          </cell>
          <cell r="D8335">
            <v>44823</v>
          </cell>
        </row>
        <row r="8336">
          <cell r="A8336" t="str">
            <v>Roberto Carlos Thomas</v>
          </cell>
          <cell r="B8336">
            <v>37008970</v>
          </cell>
          <cell r="C8336">
            <v>20030117</v>
          </cell>
          <cell r="D8336">
            <v>44777</v>
          </cell>
        </row>
        <row r="8337">
          <cell r="A8337" t="str">
            <v>Andre Luis Da Silva</v>
          </cell>
          <cell r="B8337">
            <v>37014821</v>
          </cell>
          <cell r="C8337">
            <v>20032404</v>
          </cell>
          <cell r="D8337">
            <v>45209</v>
          </cell>
        </row>
        <row r="8338">
          <cell r="A8338" t="str">
            <v>Fabiano Da Cruz Santiago</v>
          </cell>
          <cell r="B8338">
            <v>37013025</v>
          </cell>
          <cell r="C8338">
            <v>20052319</v>
          </cell>
          <cell r="D8338">
            <v>45097</v>
          </cell>
        </row>
        <row r="8339">
          <cell r="A8339" t="str">
            <v>Vinicius Souza de Oliveira</v>
          </cell>
          <cell r="B8339">
            <v>37013148</v>
          </cell>
          <cell r="C8339">
            <v>20052342</v>
          </cell>
          <cell r="D8339">
            <v>45097</v>
          </cell>
        </row>
        <row r="8340">
          <cell r="A8340" t="str">
            <v>Adilson Nogueira Bresio</v>
          </cell>
          <cell r="B8340">
            <v>37012144</v>
          </cell>
          <cell r="C8340">
            <v>20047779</v>
          </cell>
          <cell r="D8340">
            <v>45034</v>
          </cell>
        </row>
        <row r="8341">
          <cell r="A8341" t="str">
            <v>Rodrigo Felix da Silva</v>
          </cell>
          <cell r="B8341">
            <v>37013062</v>
          </cell>
          <cell r="C8341">
            <v>20052479</v>
          </cell>
          <cell r="D8341">
            <v>45097</v>
          </cell>
        </row>
        <row r="8342">
          <cell r="A8342" t="str">
            <v>Paulo Jose Moreira Camargo</v>
          </cell>
          <cell r="B8342">
            <v>37013031</v>
          </cell>
          <cell r="C8342">
            <v>20052325</v>
          </cell>
          <cell r="D8342">
            <v>45097</v>
          </cell>
        </row>
        <row r="8343">
          <cell r="A8343" t="str">
            <v>Nathan Santos lima</v>
          </cell>
          <cell r="B8343">
            <v>37013035</v>
          </cell>
          <cell r="C8343">
            <v>20052329</v>
          </cell>
          <cell r="D8343">
            <v>45097</v>
          </cell>
        </row>
        <row r="8344">
          <cell r="A8344" t="str">
            <v>Fabio Felipe Seviero Theodoro</v>
          </cell>
          <cell r="B8344">
            <v>37013443</v>
          </cell>
          <cell r="C8344">
            <v>20054938</v>
          </cell>
          <cell r="D8344">
            <v>45125</v>
          </cell>
        </row>
        <row r="8345">
          <cell r="A8345" t="str">
            <v>Walter Zacarias Bernardo Junior</v>
          </cell>
          <cell r="B8345">
            <v>37011343</v>
          </cell>
          <cell r="C8345">
            <v>20043191</v>
          </cell>
          <cell r="D8345">
            <v>44973</v>
          </cell>
        </row>
        <row r="8346">
          <cell r="A8346" t="str">
            <v>Willian Henrique Dos Santos</v>
          </cell>
          <cell r="B8346">
            <v>37011661</v>
          </cell>
          <cell r="C8346">
            <v>20044830</v>
          </cell>
          <cell r="D8346">
            <v>45005</v>
          </cell>
        </row>
        <row r="8347">
          <cell r="A8347" t="str">
            <v>Joao Vitor Da Silva Moreira</v>
          </cell>
          <cell r="B8347">
            <v>37009743</v>
          </cell>
          <cell r="C8347">
            <v>20036467</v>
          </cell>
          <cell r="D8347">
            <v>44851</v>
          </cell>
        </row>
        <row r="8348">
          <cell r="A8348" t="str">
            <v>Jose Antonio De Souza Pereira</v>
          </cell>
          <cell r="B8348">
            <v>37013067</v>
          </cell>
          <cell r="C8348">
            <v>20052484</v>
          </cell>
          <cell r="D8348">
            <v>45097</v>
          </cell>
        </row>
        <row r="8349">
          <cell r="A8349" t="str">
            <v>Matheus Amaral Camargo</v>
          </cell>
          <cell r="B8349">
            <v>37010800</v>
          </cell>
          <cell r="C8349">
            <v>20041182</v>
          </cell>
          <cell r="D8349">
            <v>44942</v>
          </cell>
        </row>
        <row r="8350">
          <cell r="A8350" t="str">
            <v>Wellington Samuel Fragoso Da Silva</v>
          </cell>
          <cell r="B8350">
            <v>37011337</v>
          </cell>
          <cell r="C8350">
            <v>20043185</v>
          </cell>
          <cell r="D8350">
            <v>44973</v>
          </cell>
        </row>
        <row r="8351">
          <cell r="A8351" t="str">
            <v>Luiza Olbera Riehl</v>
          </cell>
          <cell r="B8351">
            <v>37014506</v>
          </cell>
          <cell r="C8351">
            <v>20059029</v>
          </cell>
          <cell r="D8351">
            <v>45181</v>
          </cell>
        </row>
        <row r="8352">
          <cell r="A8352" t="str">
            <v>Clesio Prates Nascimento</v>
          </cell>
          <cell r="B8352">
            <v>37003082</v>
          </cell>
          <cell r="C8352">
            <v>20008827</v>
          </cell>
          <cell r="D8352">
            <v>43570</v>
          </cell>
        </row>
        <row r="8353">
          <cell r="A8353" t="str">
            <v>Joarez Pais Lopes</v>
          </cell>
          <cell r="B8353">
            <v>37006431</v>
          </cell>
          <cell r="C8353">
            <v>20017827</v>
          </cell>
          <cell r="D8353">
            <v>44459</v>
          </cell>
        </row>
        <row r="8354">
          <cell r="A8354" t="str">
            <v>Giovani Oliveira De Mello</v>
          </cell>
          <cell r="B8354">
            <v>37014192</v>
          </cell>
          <cell r="C8354">
            <v>20057991</v>
          </cell>
          <cell r="D8354">
            <v>45174</v>
          </cell>
        </row>
        <row r="8355">
          <cell r="A8355" t="str">
            <v>Marcos Aurelio Montesso</v>
          </cell>
          <cell r="B8355">
            <v>37007696</v>
          </cell>
          <cell r="C8355">
            <v>20025758</v>
          </cell>
          <cell r="D8355">
            <v>44690</v>
          </cell>
        </row>
        <row r="8356">
          <cell r="A8356" t="str">
            <v>Jose Roberto Eduardo</v>
          </cell>
          <cell r="B8356">
            <v>37000094</v>
          </cell>
          <cell r="C8356">
            <v>20009411</v>
          </cell>
          <cell r="D8356">
            <v>33820</v>
          </cell>
        </row>
        <row r="8357">
          <cell r="A8357" t="str">
            <v>Jose Augusto Batista Lima</v>
          </cell>
          <cell r="B8357">
            <v>37018918</v>
          </cell>
          <cell r="C8357">
            <v>20076052</v>
          </cell>
          <cell r="D8357">
            <v>45524</v>
          </cell>
        </row>
        <row r="8358">
          <cell r="A8358" t="str">
            <v>Guilherme Inoue Nascimento</v>
          </cell>
          <cell r="B8358">
            <v>37018919</v>
          </cell>
          <cell r="C8358">
            <v>20076053</v>
          </cell>
          <cell r="D8358">
            <v>45524</v>
          </cell>
        </row>
        <row r="8359">
          <cell r="A8359" t="str">
            <v>Ronei Marcio Barbosa</v>
          </cell>
          <cell r="B8359">
            <v>37018908</v>
          </cell>
          <cell r="C8359">
            <v>20076042</v>
          </cell>
          <cell r="D8359">
            <v>45524</v>
          </cell>
        </row>
        <row r="8360">
          <cell r="A8360" t="str">
            <v>Leandro Campos Pacheco</v>
          </cell>
          <cell r="B8360">
            <v>37018910</v>
          </cell>
          <cell r="C8360">
            <v>20076044</v>
          </cell>
          <cell r="D8360">
            <v>45524</v>
          </cell>
        </row>
        <row r="8361">
          <cell r="A8361" t="str">
            <v>Marilene Araujo de Freitas</v>
          </cell>
          <cell r="B8361">
            <v>37018923</v>
          </cell>
          <cell r="C8361">
            <v>20076057</v>
          </cell>
          <cell r="D8361">
            <v>45524</v>
          </cell>
        </row>
        <row r="8362">
          <cell r="A8362" t="str">
            <v>Priscila Aparecida Barbosa da Silva</v>
          </cell>
          <cell r="B8362">
            <v>37018924</v>
          </cell>
          <cell r="C8362">
            <v>20076058</v>
          </cell>
          <cell r="D8362">
            <v>45524</v>
          </cell>
        </row>
        <row r="8363">
          <cell r="A8363" t="str">
            <v>Adriana Azevedo</v>
          </cell>
          <cell r="B8363">
            <v>37018926</v>
          </cell>
          <cell r="C8363">
            <v>20076060</v>
          </cell>
          <cell r="D8363">
            <v>45524</v>
          </cell>
        </row>
        <row r="8364">
          <cell r="A8364" t="str">
            <v>Renata Prado Ferre</v>
          </cell>
          <cell r="B8364">
            <v>37018928</v>
          </cell>
          <cell r="C8364">
            <v>20076062</v>
          </cell>
          <cell r="D8364">
            <v>45524</v>
          </cell>
        </row>
        <row r="8365">
          <cell r="A8365" t="str">
            <v>Ellen Sales de Carvalho</v>
          </cell>
          <cell r="B8365">
            <v>37018932</v>
          </cell>
          <cell r="C8365">
            <v>20076066</v>
          </cell>
          <cell r="D8365">
            <v>45524</v>
          </cell>
        </row>
        <row r="8366">
          <cell r="A8366" t="str">
            <v>Adilson Segura Molina Junior</v>
          </cell>
          <cell r="B8366">
            <v>37018937</v>
          </cell>
          <cell r="C8366">
            <v>20076071</v>
          </cell>
          <cell r="D8366">
            <v>45524</v>
          </cell>
        </row>
        <row r="8367">
          <cell r="A8367" t="str">
            <v>Henrique Ramos Barbosa</v>
          </cell>
          <cell r="B8367">
            <v>37018939</v>
          </cell>
          <cell r="C8367">
            <v>20076073</v>
          </cell>
          <cell r="D8367">
            <v>45524</v>
          </cell>
        </row>
        <row r="8368">
          <cell r="A8368" t="str">
            <v>Luan Henrique De Lima Gomes</v>
          </cell>
          <cell r="B8368">
            <v>37018941</v>
          </cell>
          <cell r="C8368">
            <v>20076075</v>
          </cell>
          <cell r="D8368">
            <v>45524</v>
          </cell>
        </row>
        <row r="8369">
          <cell r="A8369" t="str">
            <v>Ana Claudia Garcia Pinto</v>
          </cell>
          <cell r="B8369">
            <v>37018942</v>
          </cell>
          <cell r="C8369">
            <v>20076076</v>
          </cell>
          <cell r="D8369">
            <v>45524</v>
          </cell>
        </row>
        <row r="8370">
          <cell r="A8370" t="str">
            <v>Luiz Roberto Barbosa</v>
          </cell>
          <cell r="B8370">
            <v>37018945</v>
          </cell>
          <cell r="C8370">
            <v>20076079</v>
          </cell>
          <cell r="D8370">
            <v>45524</v>
          </cell>
        </row>
        <row r="8371">
          <cell r="A8371" t="str">
            <v>Marcela Cristina Vicente Ferreira</v>
          </cell>
          <cell r="B8371">
            <v>37018946</v>
          </cell>
          <cell r="C8371">
            <v>20076080</v>
          </cell>
          <cell r="D8371">
            <v>45524</v>
          </cell>
        </row>
        <row r="8372">
          <cell r="A8372" t="str">
            <v>Maycon Felipe Soares De Campos</v>
          </cell>
          <cell r="B8372">
            <v>37018925</v>
          </cell>
          <cell r="C8372">
            <v>20076059</v>
          </cell>
          <cell r="D8372">
            <v>45524</v>
          </cell>
        </row>
        <row r="8373">
          <cell r="A8373" t="str">
            <v>David Luiz De Oliveira</v>
          </cell>
          <cell r="B8373">
            <v>37018930</v>
          </cell>
          <cell r="C8373">
            <v>20076064</v>
          </cell>
          <cell r="D8373">
            <v>45524</v>
          </cell>
        </row>
        <row r="8374">
          <cell r="A8374" t="str">
            <v>Allan Paulo Alves Do Rego</v>
          </cell>
          <cell r="B8374">
            <v>37018931</v>
          </cell>
          <cell r="C8374">
            <v>20076065</v>
          </cell>
          <cell r="D8374">
            <v>45524</v>
          </cell>
        </row>
        <row r="8375">
          <cell r="A8375" t="str">
            <v>Azarias Simplício Carneiro</v>
          </cell>
          <cell r="B8375">
            <v>37018933</v>
          </cell>
          <cell r="C8375">
            <v>20076067</v>
          </cell>
          <cell r="D8375">
            <v>45524</v>
          </cell>
        </row>
        <row r="8376">
          <cell r="A8376" t="str">
            <v>Alessandra Campanholi de Araújo</v>
          </cell>
          <cell r="B8376">
            <v>37018934</v>
          </cell>
          <cell r="C8376">
            <v>20076068</v>
          </cell>
          <cell r="D8376">
            <v>45524</v>
          </cell>
        </row>
        <row r="8377">
          <cell r="A8377" t="str">
            <v>Viviane Cristina Dos Santos</v>
          </cell>
          <cell r="B8377">
            <v>37018936</v>
          </cell>
          <cell r="C8377">
            <v>20076070</v>
          </cell>
          <cell r="D8377">
            <v>45524</v>
          </cell>
        </row>
        <row r="8378">
          <cell r="A8378" t="str">
            <v>Leandro Santos Da costa</v>
          </cell>
          <cell r="B8378">
            <v>37018938</v>
          </cell>
          <cell r="C8378">
            <v>20076072</v>
          </cell>
          <cell r="D8378">
            <v>45524</v>
          </cell>
        </row>
        <row r="8379">
          <cell r="A8379" t="str">
            <v>Lucas Antonio Faria</v>
          </cell>
          <cell r="B8379">
            <v>37018943</v>
          </cell>
          <cell r="C8379">
            <v>20076077</v>
          </cell>
          <cell r="D8379">
            <v>45524</v>
          </cell>
        </row>
        <row r="8380">
          <cell r="A8380" t="str">
            <v>Iderli Santos Ramos</v>
          </cell>
          <cell r="B8380">
            <v>37018944</v>
          </cell>
          <cell r="C8380">
            <v>20076078</v>
          </cell>
          <cell r="D8380">
            <v>45524</v>
          </cell>
        </row>
        <row r="8381">
          <cell r="A8381" t="str">
            <v>Wagner Luiz Siqueira</v>
          </cell>
          <cell r="B8381">
            <v>37018947</v>
          </cell>
          <cell r="C8381">
            <v>20076081</v>
          </cell>
          <cell r="D8381">
            <v>45524</v>
          </cell>
        </row>
        <row r="8382">
          <cell r="A8382" t="str">
            <v>Tabata Camargo De Almeida</v>
          </cell>
          <cell r="B8382">
            <v>37018951</v>
          </cell>
          <cell r="C8382">
            <v>20076085</v>
          </cell>
          <cell r="D8382">
            <v>45524</v>
          </cell>
        </row>
        <row r="8383">
          <cell r="A8383" t="str">
            <v>Angela Maria da Silva</v>
          </cell>
          <cell r="B8383">
            <v>37018954</v>
          </cell>
          <cell r="C8383">
            <v>20076088</v>
          </cell>
          <cell r="D8383">
            <v>45524</v>
          </cell>
        </row>
        <row r="8384">
          <cell r="A8384" t="str">
            <v>Rogerio Bernardino De Oliveira</v>
          </cell>
          <cell r="B8384">
            <v>37018948</v>
          </cell>
          <cell r="C8384">
            <v>20076082</v>
          </cell>
          <cell r="D8384">
            <v>45524</v>
          </cell>
        </row>
        <row r="8385">
          <cell r="A8385" t="str">
            <v>Carlindo Jose da Silva</v>
          </cell>
          <cell r="B8385">
            <v>37018950</v>
          </cell>
          <cell r="C8385">
            <v>20076084</v>
          </cell>
          <cell r="D8385">
            <v>45524</v>
          </cell>
        </row>
        <row r="8386">
          <cell r="A8386" t="str">
            <v>Vinicius Ferreira Mendes</v>
          </cell>
          <cell r="B8386">
            <v>37018953</v>
          </cell>
          <cell r="C8386">
            <v>20076087</v>
          </cell>
          <cell r="D8386">
            <v>45524</v>
          </cell>
        </row>
        <row r="8387">
          <cell r="A8387" t="str">
            <v>Reginaldo De Sousa</v>
          </cell>
          <cell r="B8387">
            <v>37018955</v>
          </cell>
          <cell r="C8387">
            <v>20076089</v>
          </cell>
          <cell r="D8387">
            <v>45524</v>
          </cell>
        </row>
        <row r="8388">
          <cell r="A8388" t="str">
            <v>Carlos Clementino Carvalho</v>
          </cell>
          <cell r="B8388">
            <v>37018959</v>
          </cell>
          <cell r="C8388">
            <v>20076093</v>
          </cell>
          <cell r="D8388">
            <v>45524</v>
          </cell>
        </row>
        <row r="8389">
          <cell r="A8389" t="str">
            <v>Ivanildo Gonçalves Da Silva</v>
          </cell>
          <cell r="B8389">
            <v>37018960</v>
          </cell>
          <cell r="C8389">
            <v>20076094</v>
          </cell>
          <cell r="D8389">
            <v>45524</v>
          </cell>
        </row>
        <row r="8390">
          <cell r="A8390" t="str">
            <v>Oseias de Paula Ribeiro</v>
          </cell>
          <cell r="B8390">
            <v>37018966</v>
          </cell>
          <cell r="C8390">
            <v>20076100</v>
          </cell>
          <cell r="D8390">
            <v>45524</v>
          </cell>
        </row>
        <row r="8391">
          <cell r="A8391" t="str">
            <v>Abia Leticia Cassiano Basilio</v>
          </cell>
          <cell r="B8391">
            <v>37018963</v>
          </cell>
          <cell r="C8391">
            <v>20076097</v>
          </cell>
          <cell r="D8391">
            <v>45524</v>
          </cell>
        </row>
        <row r="8392">
          <cell r="A8392" t="str">
            <v>Paulo Sergio Barroso Da Silva Junior</v>
          </cell>
          <cell r="B8392">
            <v>37018964</v>
          </cell>
          <cell r="C8392">
            <v>20076098</v>
          </cell>
          <cell r="D8392">
            <v>45524</v>
          </cell>
        </row>
        <row r="8393">
          <cell r="A8393" t="str">
            <v>Ricardo Gonzaga Da Silva</v>
          </cell>
          <cell r="B8393">
            <v>37018965</v>
          </cell>
          <cell r="C8393">
            <v>20076099</v>
          </cell>
          <cell r="D8393">
            <v>45524</v>
          </cell>
        </row>
        <row r="8394">
          <cell r="A8394" t="str">
            <v>Marcia Moreira Dos Anjos</v>
          </cell>
          <cell r="B8394">
            <v>37018967</v>
          </cell>
          <cell r="C8394">
            <v>20076101</v>
          </cell>
          <cell r="D8394">
            <v>45524</v>
          </cell>
        </row>
        <row r="8395">
          <cell r="A8395" t="str">
            <v>Luciano Lucas Da Silva</v>
          </cell>
          <cell r="B8395">
            <v>37018907</v>
          </cell>
          <cell r="C8395">
            <v>20025542</v>
          </cell>
          <cell r="D8395">
            <v>45524</v>
          </cell>
        </row>
        <row r="8396">
          <cell r="A8396" t="str">
            <v>David Viana Damasceno</v>
          </cell>
          <cell r="B8396">
            <v>37018969</v>
          </cell>
          <cell r="C8396">
            <v>20076180</v>
          </cell>
          <cell r="D8396">
            <v>45524</v>
          </cell>
        </row>
        <row r="8397">
          <cell r="A8397" t="str">
            <v>Marcelo Calandria Bencici</v>
          </cell>
          <cell r="B8397">
            <v>37018973</v>
          </cell>
          <cell r="C8397">
            <v>20076184</v>
          </cell>
          <cell r="D8397">
            <v>45524</v>
          </cell>
        </row>
        <row r="8398">
          <cell r="A8398" t="str">
            <v>Denis Visael Guerra Valdiviezo</v>
          </cell>
          <cell r="B8398">
            <v>37018974</v>
          </cell>
          <cell r="C8398">
            <v>20076185</v>
          </cell>
          <cell r="D8398">
            <v>45524</v>
          </cell>
        </row>
        <row r="8399">
          <cell r="A8399" t="str">
            <v>Marisa Sueli Da Silva</v>
          </cell>
          <cell r="B8399">
            <v>37018979</v>
          </cell>
          <cell r="C8399">
            <v>20076198</v>
          </cell>
          <cell r="D8399">
            <v>45538</v>
          </cell>
        </row>
        <row r="8400">
          <cell r="A8400" t="str">
            <v>Adeilton Marcos De Sousa</v>
          </cell>
          <cell r="B8400">
            <v>37018978</v>
          </cell>
          <cell r="C8400">
            <v>20076197</v>
          </cell>
          <cell r="D8400">
            <v>45538</v>
          </cell>
        </row>
        <row r="8401">
          <cell r="A8401" t="str">
            <v>Wellington Dos Santos Pinto</v>
          </cell>
          <cell r="B8401">
            <v>37018982</v>
          </cell>
          <cell r="C8401">
            <v>20076208</v>
          </cell>
          <cell r="D8401">
            <v>45538</v>
          </cell>
        </row>
        <row r="8402">
          <cell r="A8402" t="str">
            <v>Alex Santos de Jesus</v>
          </cell>
          <cell r="B8402">
            <v>37018985</v>
          </cell>
          <cell r="C8402">
            <v>20076760</v>
          </cell>
          <cell r="D8402">
            <v>45527</v>
          </cell>
        </row>
        <row r="8403">
          <cell r="A8403" t="str">
            <v>Aline Cristina Nunes</v>
          </cell>
          <cell r="B8403">
            <v>37018988</v>
          </cell>
          <cell r="C8403">
            <v>20076795</v>
          </cell>
          <cell r="D8403">
            <v>45527</v>
          </cell>
        </row>
        <row r="8404">
          <cell r="A8404" t="str">
            <v>Edvania Vital de Oliveira</v>
          </cell>
          <cell r="B8404">
            <v>37018989</v>
          </cell>
          <cell r="C8404">
            <v>20076796</v>
          </cell>
          <cell r="D8404">
            <v>45527</v>
          </cell>
        </row>
        <row r="8405">
          <cell r="A8405" t="str">
            <v>João Paulo Lima</v>
          </cell>
          <cell r="B8405">
            <v>37018992</v>
          </cell>
          <cell r="C8405">
            <v>20076799</v>
          </cell>
          <cell r="D8405">
            <v>45527</v>
          </cell>
        </row>
        <row r="8406">
          <cell r="A8406" t="str">
            <v>Magda Alves Vaz Dos Santos</v>
          </cell>
          <cell r="B8406">
            <v>37018993</v>
          </cell>
          <cell r="C8406">
            <v>20076800</v>
          </cell>
          <cell r="D8406">
            <v>45527</v>
          </cell>
        </row>
        <row r="8407">
          <cell r="A8407" t="str">
            <v>Eliziane Aparecida De Oliveira</v>
          </cell>
          <cell r="B8407">
            <v>37019001</v>
          </cell>
          <cell r="C8407">
            <v>20076808</v>
          </cell>
          <cell r="D8407">
            <v>45527</v>
          </cell>
        </row>
        <row r="8408">
          <cell r="A8408" t="str">
            <v>Luciana Oliveira</v>
          </cell>
          <cell r="B8408">
            <v>37019002</v>
          </cell>
          <cell r="C8408">
            <v>20076809</v>
          </cell>
          <cell r="D8408">
            <v>45527</v>
          </cell>
        </row>
        <row r="8409">
          <cell r="A8409" t="str">
            <v>Maicon Clayton Alves</v>
          </cell>
          <cell r="B8409">
            <v>37019006</v>
          </cell>
          <cell r="C8409">
            <v>20076813</v>
          </cell>
          <cell r="D8409">
            <v>45527</v>
          </cell>
        </row>
        <row r="8410">
          <cell r="A8410" t="str">
            <v>Grace Raquel Da Silva</v>
          </cell>
          <cell r="B8410">
            <v>37018990</v>
          </cell>
          <cell r="C8410">
            <v>20076797</v>
          </cell>
          <cell r="D8410">
            <v>45527</v>
          </cell>
        </row>
        <row r="8411">
          <cell r="A8411" t="str">
            <v>Aparecida de Fatima Marcelino</v>
          </cell>
          <cell r="B8411">
            <v>37018991</v>
          </cell>
          <cell r="C8411">
            <v>20076798</v>
          </cell>
          <cell r="D8411">
            <v>45527</v>
          </cell>
        </row>
        <row r="8412">
          <cell r="A8412" t="str">
            <v>Daniel Donizete de Souza</v>
          </cell>
          <cell r="B8412">
            <v>37018994</v>
          </cell>
          <cell r="C8412">
            <v>20076801</v>
          </cell>
          <cell r="D8412">
            <v>45527</v>
          </cell>
        </row>
        <row r="8413">
          <cell r="A8413" t="str">
            <v>Silvana De Oliveira Souza</v>
          </cell>
          <cell r="B8413">
            <v>37018995</v>
          </cell>
          <cell r="C8413">
            <v>20076802</v>
          </cell>
          <cell r="D8413">
            <v>45527</v>
          </cell>
        </row>
        <row r="8414">
          <cell r="A8414" t="str">
            <v>Carla Regina da Silva Ito</v>
          </cell>
          <cell r="B8414">
            <v>37018996</v>
          </cell>
          <cell r="C8414">
            <v>20076803</v>
          </cell>
          <cell r="D8414">
            <v>45527</v>
          </cell>
        </row>
        <row r="8415">
          <cell r="A8415" t="str">
            <v>Antonio Aparecido da Silva</v>
          </cell>
          <cell r="B8415">
            <v>37018997</v>
          </cell>
          <cell r="C8415">
            <v>20076804</v>
          </cell>
          <cell r="D8415">
            <v>45527</v>
          </cell>
        </row>
        <row r="8416">
          <cell r="A8416" t="str">
            <v>Sarah Cezario Ferreira</v>
          </cell>
          <cell r="B8416">
            <v>37018998</v>
          </cell>
          <cell r="C8416">
            <v>20076805</v>
          </cell>
          <cell r="D8416">
            <v>45527</v>
          </cell>
        </row>
        <row r="8417">
          <cell r="A8417" t="str">
            <v>Jose Anderson Alves do Nascimento</v>
          </cell>
          <cell r="B8417">
            <v>37018999</v>
          </cell>
          <cell r="C8417">
            <v>20076806</v>
          </cell>
          <cell r="D8417">
            <v>45527</v>
          </cell>
        </row>
        <row r="8418">
          <cell r="A8418" t="str">
            <v>Jessica Larissa Vaz</v>
          </cell>
          <cell r="B8418">
            <v>37019000</v>
          </cell>
          <cell r="C8418">
            <v>20076807</v>
          </cell>
          <cell r="D8418">
            <v>45527</v>
          </cell>
        </row>
        <row r="8419">
          <cell r="A8419" t="str">
            <v>Valdirene de Fatima Pereira</v>
          </cell>
          <cell r="B8419">
            <v>37019003</v>
          </cell>
          <cell r="C8419">
            <v>20076810</v>
          </cell>
          <cell r="D8419">
            <v>45527</v>
          </cell>
        </row>
        <row r="8420">
          <cell r="A8420" t="str">
            <v>Maria Luiza Alves Lamim</v>
          </cell>
          <cell r="B8420">
            <v>37019004</v>
          </cell>
          <cell r="C8420">
            <v>20076811</v>
          </cell>
          <cell r="D8420">
            <v>45527</v>
          </cell>
        </row>
        <row r="8421">
          <cell r="A8421" t="str">
            <v>Paulo Ricardo Barbosa Da Silva</v>
          </cell>
          <cell r="B8421">
            <v>37019005</v>
          </cell>
          <cell r="C8421">
            <v>20076812</v>
          </cell>
          <cell r="D8421">
            <v>45527</v>
          </cell>
        </row>
        <row r="8422">
          <cell r="A8422" t="str">
            <v>Elizandra Aparecida Dos Santos Conrado</v>
          </cell>
          <cell r="B8422">
            <v>37019009</v>
          </cell>
          <cell r="C8422">
            <v>20076816</v>
          </cell>
          <cell r="D8422">
            <v>45527</v>
          </cell>
        </row>
        <row r="8423">
          <cell r="A8423" t="str">
            <v>Valquiria Domingues</v>
          </cell>
          <cell r="B8423">
            <v>37019013</v>
          </cell>
          <cell r="C8423">
            <v>20076820</v>
          </cell>
          <cell r="D8423">
            <v>45527</v>
          </cell>
        </row>
        <row r="8424">
          <cell r="A8424" t="str">
            <v>Antonia Marcelina dos Santos</v>
          </cell>
          <cell r="B8424">
            <v>37019008</v>
          </cell>
          <cell r="C8424">
            <v>20076815</v>
          </cell>
          <cell r="D8424">
            <v>45527</v>
          </cell>
        </row>
        <row r="8425">
          <cell r="A8425" t="str">
            <v>Roseli Da Silva</v>
          </cell>
          <cell r="B8425">
            <v>37019010</v>
          </cell>
          <cell r="C8425">
            <v>20076817</v>
          </cell>
          <cell r="D8425">
            <v>45527</v>
          </cell>
        </row>
        <row r="8426">
          <cell r="A8426" t="str">
            <v>Thais Fabiana De Souza</v>
          </cell>
          <cell r="B8426">
            <v>37019011</v>
          </cell>
          <cell r="C8426">
            <v>20076818</v>
          </cell>
          <cell r="D8426">
            <v>45527</v>
          </cell>
        </row>
        <row r="8427">
          <cell r="A8427" t="str">
            <v>Marcela De Oliveira Sanches</v>
          </cell>
          <cell r="B8427">
            <v>37019012</v>
          </cell>
          <cell r="C8427">
            <v>20076819</v>
          </cell>
          <cell r="D8427">
            <v>45527</v>
          </cell>
        </row>
        <row r="8428">
          <cell r="A8428" t="str">
            <v>Sintia Dos Santos Nascimento</v>
          </cell>
          <cell r="B8428">
            <v>37019015</v>
          </cell>
          <cell r="C8428">
            <v>20076839</v>
          </cell>
          <cell r="D8428">
            <v>45527</v>
          </cell>
        </row>
        <row r="8429">
          <cell r="A8429" t="str">
            <v>Diego Dos Santos Nascimento</v>
          </cell>
          <cell r="B8429">
            <v>37005929</v>
          </cell>
          <cell r="C8429">
            <v>20016745</v>
          </cell>
          <cell r="D8429">
            <v>44382</v>
          </cell>
        </row>
        <row r="8430">
          <cell r="A8430" t="str">
            <v>Pedro Lucas Ferreira Da Silva</v>
          </cell>
          <cell r="B8430">
            <v>37019018</v>
          </cell>
          <cell r="C8430">
            <v>20076842</v>
          </cell>
          <cell r="D8430">
            <v>45538</v>
          </cell>
        </row>
        <row r="8431">
          <cell r="A8431" t="str">
            <v>ELVIS HENRIQUE LUCAS</v>
          </cell>
          <cell r="B8431">
            <v>37019019</v>
          </cell>
          <cell r="C8431">
            <v>20076843</v>
          </cell>
          <cell r="D8431">
            <v>45538</v>
          </cell>
        </row>
        <row r="8432">
          <cell r="A8432" t="str">
            <v>LUCAS BARBOSA PINHEIRO</v>
          </cell>
          <cell r="B8432">
            <v>37019020</v>
          </cell>
          <cell r="C8432">
            <v>20076844</v>
          </cell>
          <cell r="D8432">
            <v>45538</v>
          </cell>
        </row>
        <row r="8433">
          <cell r="A8433" t="str">
            <v>Silvana De Oliveira Souza</v>
          </cell>
          <cell r="B8433">
            <v>37019014</v>
          </cell>
          <cell r="C8433">
            <v>20076838</v>
          </cell>
          <cell r="D8433">
            <v>45527</v>
          </cell>
        </row>
        <row r="8434">
          <cell r="A8434" t="str">
            <v>Ana Maria Rodrigues</v>
          </cell>
          <cell r="B8434">
            <v>37019016</v>
          </cell>
          <cell r="C8434">
            <v>20076840</v>
          </cell>
          <cell r="D8434">
            <v>45527</v>
          </cell>
        </row>
        <row r="8435">
          <cell r="A8435" t="str">
            <v>Vanessa Marçal de Andrade Gratieri</v>
          </cell>
          <cell r="B8435">
            <v>37019021</v>
          </cell>
          <cell r="C8435">
            <v>20076845</v>
          </cell>
          <cell r="D8435">
            <v>45538</v>
          </cell>
        </row>
        <row r="8436">
          <cell r="A8436" t="str">
            <v>ROBERTO JANUARIO DO NASCIMENTO</v>
          </cell>
          <cell r="B8436">
            <v>37019022</v>
          </cell>
          <cell r="C8436">
            <v>20076846</v>
          </cell>
          <cell r="D8436">
            <v>45538</v>
          </cell>
        </row>
        <row r="8437">
          <cell r="A8437" t="str">
            <v>Maciel da Silva</v>
          </cell>
          <cell r="B8437">
            <v>37019024</v>
          </cell>
          <cell r="C8437">
            <v>20076848</v>
          </cell>
          <cell r="D8437">
            <v>45527</v>
          </cell>
        </row>
        <row r="8438">
          <cell r="A8438" t="str">
            <v>Ezequiel De Lima Rodrigues</v>
          </cell>
          <cell r="B8438">
            <v>37006685</v>
          </cell>
          <cell r="C8438">
            <v>20019980</v>
          </cell>
          <cell r="D8438">
            <v>44503</v>
          </cell>
        </row>
        <row r="8439">
          <cell r="A8439" t="str">
            <v>Marcelo Claudino</v>
          </cell>
          <cell r="B8439">
            <v>37019023</v>
          </cell>
          <cell r="C8439">
            <v>20076847</v>
          </cell>
          <cell r="D8439">
            <v>45538</v>
          </cell>
        </row>
        <row r="8440">
          <cell r="A8440" t="str">
            <v>Amanda Regina Vieira Da Paixão</v>
          </cell>
          <cell r="B8440">
            <v>37019025</v>
          </cell>
          <cell r="C8440">
            <v>20076849</v>
          </cell>
          <cell r="D8440">
            <v>45538</v>
          </cell>
        </row>
        <row r="8441">
          <cell r="A8441" t="str">
            <v>Antonio Santos</v>
          </cell>
          <cell r="B8441">
            <v>37019026</v>
          </cell>
          <cell r="C8441">
            <v>20076850</v>
          </cell>
          <cell r="D8441">
            <v>45538</v>
          </cell>
        </row>
        <row r="8442">
          <cell r="A8442" t="str">
            <v>THAUAN ANDERSON DO AMARAL</v>
          </cell>
          <cell r="B8442">
            <v>37019028</v>
          </cell>
          <cell r="C8442">
            <v>20076852</v>
          </cell>
          <cell r="D8442">
            <v>45538</v>
          </cell>
        </row>
        <row r="8443">
          <cell r="A8443" t="str">
            <v>Jackson Azevedo Balbino</v>
          </cell>
          <cell r="B8443">
            <v>37019030</v>
          </cell>
          <cell r="C8443">
            <v>20076869</v>
          </cell>
          <cell r="D8443">
            <v>45538</v>
          </cell>
        </row>
        <row r="8444">
          <cell r="A8444" t="str">
            <v>Clesio Silva Santana</v>
          </cell>
          <cell r="B8444">
            <v>37019035</v>
          </cell>
          <cell r="C8444">
            <v>20076887</v>
          </cell>
          <cell r="D8444">
            <v>45538</v>
          </cell>
        </row>
        <row r="8445">
          <cell r="A8445" t="str">
            <v>Wanderley Arruda de Arruda</v>
          </cell>
          <cell r="B8445">
            <v>37019038</v>
          </cell>
          <cell r="C8445">
            <v>20076890</v>
          </cell>
          <cell r="D8445">
            <v>45538</v>
          </cell>
        </row>
        <row r="8446">
          <cell r="A8446" t="str">
            <v>Dario Franco</v>
          </cell>
          <cell r="B8446">
            <v>37019039</v>
          </cell>
          <cell r="C8446">
            <v>20076891</v>
          </cell>
          <cell r="D8446">
            <v>45538</v>
          </cell>
        </row>
        <row r="8447">
          <cell r="A8447" t="str">
            <v>João Lucas Correa de Mello</v>
          </cell>
          <cell r="B8447">
            <v>37019046</v>
          </cell>
          <cell r="C8447">
            <v>20076898</v>
          </cell>
          <cell r="D8447">
            <v>45538</v>
          </cell>
        </row>
        <row r="8448">
          <cell r="A8448" t="str">
            <v>Danilo Sargi</v>
          </cell>
          <cell r="B8448">
            <v>37019033</v>
          </cell>
          <cell r="C8448">
            <v>20076885</v>
          </cell>
          <cell r="D8448">
            <v>45538</v>
          </cell>
        </row>
        <row r="8449">
          <cell r="A8449" t="str">
            <v>Julio Cesar da Silva Pisano</v>
          </cell>
          <cell r="B8449">
            <v>37019041</v>
          </cell>
          <cell r="C8449">
            <v>20076893</v>
          </cell>
          <cell r="D8449">
            <v>45545</v>
          </cell>
        </row>
        <row r="8450">
          <cell r="A8450" t="str">
            <v>GILMAR CRISTIANO ZANGARELLI</v>
          </cell>
          <cell r="B8450">
            <v>37019042</v>
          </cell>
          <cell r="C8450">
            <v>20076894</v>
          </cell>
          <cell r="D8450">
            <v>45538</v>
          </cell>
        </row>
        <row r="8451">
          <cell r="A8451" t="str">
            <v>Egleriel aparecido Da silva Lopes</v>
          </cell>
          <cell r="B8451">
            <v>37019043</v>
          </cell>
          <cell r="C8451">
            <v>20076895</v>
          </cell>
          <cell r="D8451">
            <v>45538</v>
          </cell>
        </row>
        <row r="8452">
          <cell r="A8452" t="str">
            <v>Rafael Rufino</v>
          </cell>
          <cell r="B8452">
            <v>37019044</v>
          </cell>
          <cell r="C8452">
            <v>20076896</v>
          </cell>
          <cell r="D8452">
            <v>45538</v>
          </cell>
        </row>
        <row r="8453">
          <cell r="A8453" t="str">
            <v>Giovanna Nalhiati</v>
          </cell>
          <cell r="B8453">
            <v>37019047</v>
          </cell>
          <cell r="C8453">
            <v>20076899</v>
          </cell>
          <cell r="D8453">
            <v>45538</v>
          </cell>
        </row>
        <row r="8454">
          <cell r="A8454" t="str">
            <v>Lucas Augusto Dias</v>
          </cell>
          <cell r="B8454">
            <v>37019052</v>
          </cell>
          <cell r="C8454">
            <v>20076904</v>
          </cell>
          <cell r="D8454">
            <v>45538</v>
          </cell>
        </row>
        <row r="8455">
          <cell r="A8455" t="str">
            <v>Evellyn Vitoria Paixao Gonçalves</v>
          </cell>
          <cell r="B8455">
            <v>37019053</v>
          </cell>
          <cell r="C8455">
            <v>20076905</v>
          </cell>
          <cell r="D8455">
            <v>45538</v>
          </cell>
        </row>
        <row r="8456">
          <cell r="A8456" t="str">
            <v>Jaiuto Rocha Pereira</v>
          </cell>
          <cell r="B8456">
            <v>37019062</v>
          </cell>
          <cell r="C8456">
            <v>20076915</v>
          </cell>
          <cell r="D8456">
            <v>45538</v>
          </cell>
        </row>
        <row r="8457">
          <cell r="A8457" t="str">
            <v>Douglas de Sousa Oliveira</v>
          </cell>
          <cell r="B8457">
            <v>37019063</v>
          </cell>
          <cell r="C8457">
            <v>20076916</v>
          </cell>
          <cell r="D8457">
            <v>45538</v>
          </cell>
        </row>
        <row r="8458">
          <cell r="A8458" t="str">
            <v>Douglas Oliveira Dos Santos</v>
          </cell>
          <cell r="B8458">
            <v>37019064</v>
          </cell>
          <cell r="C8458">
            <v>20076917</v>
          </cell>
          <cell r="D8458">
            <v>45538</v>
          </cell>
        </row>
        <row r="8459">
          <cell r="A8459" t="str">
            <v>Ednaldo Marcelino</v>
          </cell>
          <cell r="B8459">
            <v>37019067</v>
          </cell>
          <cell r="C8459">
            <v>20076920</v>
          </cell>
          <cell r="D8459">
            <v>45538</v>
          </cell>
        </row>
        <row r="8460">
          <cell r="A8460" t="str">
            <v>Valdenei Carneiro Nascimento</v>
          </cell>
          <cell r="B8460">
            <v>37019073</v>
          </cell>
          <cell r="C8460">
            <v>20076926</v>
          </cell>
          <cell r="D8460">
            <v>45538</v>
          </cell>
        </row>
        <row r="8461">
          <cell r="A8461" t="str">
            <v>Lucas Ribeiro Silva</v>
          </cell>
          <cell r="B8461">
            <v>37019074</v>
          </cell>
          <cell r="C8461">
            <v>20076927</v>
          </cell>
          <cell r="D8461">
            <v>45538</v>
          </cell>
        </row>
        <row r="8462">
          <cell r="A8462" t="str">
            <v>Alan Mendes Garcia</v>
          </cell>
          <cell r="B8462">
            <v>37019078</v>
          </cell>
          <cell r="C8462">
            <v>20076931</v>
          </cell>
          <cell r="D8462">
            <v>45538</v>
          </cell>
        </row>
        <row r="8463">
          <cell r="A8463" t="str">
            <v>Leticia Cunha Antonio</v>
          </cell>
          <cell r="B8463">
            <v>37019083</v>
          </cell>
          <cell r="C8463">
            <v>20076936</v>
          </cell>
          <cell r="D8463">
            <v>45538</v>
          </cell>
        </row>
        <row r="8464">
          <cell r="A8464" t="str">
            <v>Jose Hermano Do Carmo</v>
          </cell>
          <cell r="B8464">
            <v>37019084</v>
          </cell>
          <cell r="C8464">
            <v>20076937</v>
          </cell>
          <cell r="D8464">
            <v>45545</v>
          </cell>
        </row>
        <row r="8465">
          <cell r="A8465" t="str">
            <v>Luis Carlos Da Silva</v>
          </cell>
          <cell r="B8465">
            <v>37019085</v>
          </cell>
          <cell r="C8465">
            <v>20076938</v>
          </cell>
          <cell r="D8465">
            <v>45538</v>
          </cell>
        </row>
        <row r="8466">
          <cell r="A8466" t="str">
            <v>Marcio de Jesus Almeida Junior</v>
          </cell>
          <cell r="B8466">
            <v>37019080</v>
          </cell>
          <cell r="C8466">
            <v>20076933</v>
          </cell>
          <cell r="D8466">
            <v>45538</v>
          </cell>
        </row>
        <row r="8467">
          <cell r="A8467" t="str">
            <v>Fabio Luiz Candido</v>
          </cell>
          <cell r="B8467">
            <v>37019081</v>
          </cell>
          <cell r="C8467">
            <v>20076934</v>
          </cell>
          <cell r="D8467">
            <v>45538</v>
          </cell>
        </row>
        <row r="8468">
          <cell r="A8468" t="str">
            <v>Cesio Cristiano de Pontes</v>
          </cell>
          <cell r="B8468">
            <v>37019086</v>
          </cell>
          <cell r="C8468">
            <v>20076939</v>
          </cell>
          <cell r="D8468">
            <v>45545</v>
          </cell>
        </row>
        <row r="8469">
          <cell r="A8469" t="str">
            <v>Rafael Eduardo Padilha Da Silva</v>
          </cell>
          <cell r="B8469">
            <v>37014204</v>
          </cell>
          <cell r="C8469">
            <v>20058024</v>
          </cell>
          <cell r="D8469">
            <v>45160</v>
          </cell>
        </row>
        <row r="8470">
          <cell r="A8470" t="str">
            <v>Fabio Teles Ramos De Souza</v>
          </cell>
          <cell r="B8470">
            <v>37018075</v>
          </cell>
          <cell r="C8470">
            <v>20071743</v>
          </cell>
          <cell r="D8470">
            <v>45453</v>
          </cell>
        </row>
        <row r="8471">
          <cell r="A8471" t="str">
            <v>Reginaldo Aparecido Vaz</v>
          </cell>
          <cell r="B8471">
            <v>37014355</v>
          </cell>
          <cell r="C8471">
            <v>20058490</v>
          </cell>
          <cell r="D8471">
            <v>45174</v>
          </cell>
        </row>
        <row r="8472">
          <cell r="A8472" t="str">
            <v>Rodrigo Sousa De Moraes</v>
          </cell>
          <cell r="B8472">
            <v>37001973</v>
          </cell>
          <cell r="C8472">
            <v>20009873</v>
          </cell>
          <cell r="D8472">
            <v>42919</v>
          </cell>
        </row>
        <row r="8473">
          <cell r="A8473" t="str">
            <v>Mariana Menezes de Sousa</v>
          </cell>
          <cell r="B8473">
            <v>37017252</v>
          </cell>
          <cell r="C8473">
            <v>20068489</v>
          </cell>
          <cell r="D8473">
            <v>45398</v>
          </cell>
        </row>
        <row r="8474">
          <cell r="A8474" t="str">
            <v>Cleiton Junior De Tolentino</v>
          </cell>
          <cell r="B8474">
            <v>37018112</v>
          </cell>
          <cell r="C8474">
            <v>20071977</v>
          </cell>
          <cell r="D8474">
            <v>45454</v>
          </cell>
        </row>
        <row r="8475">
          <cell r="A8475" t="str">
            <v>Cristofer Valeriano</v>
          </cell>
          <cell r="B8475">
            <v>37013515</v>
          </cell>
          <cell r="C8475">
            <v>20055411</v>
          </cell>
          <cell r="D8475">
            <v>45125</v>
          </cell>
        </row>
        <row r="8476">
          <cell r="A8476" t="str">
            <v>William De Jesus Bueno</v>
          </cell>
          <cell r="B8476">
            <v>37019117</v>
          </cell>
          <cell r="C8476">
            <v>20077269</v>
          </cell>
          <cell r="D8476">
            <v>45545</v>
          </cell>
        </row>
        <row r="8477">
          <cell r="A8477" t="str">
            <v>Lucimara Da Silva</v>
          </cell>
          <cell r="B8477">
            <v>37010555</v>
          </cell>
          <cell r="C8477">
            <v>20040292</v>
          </cell>
          <cell r="D8477">
            <v>44914</v>
          </cell>
        </row>
        <row r="8478">
          <cell r="A8478" t="str">
            <v>Janison Morais Bernardo</v>
          </cell>
          <cell r="B8478">
            <v>37013475</v>
          </cell>
          <cell r="C8478">
            <v>20055371</v>
          </cell>
          <cell r="D8478">
            <v>45139</v>
          </cell>
        </row>
        <row r="8479">
          <cell r="A8479" t="str">
            <v>Gabriel Correia De Oliveira</v>
          </cell>
          <cell r="B8479">
            <v>37010789</v>
          </cell>
          <cell r="C8479">
            <v>20041171</v>
          </cell>
          <cell r="D8479">
            <v>44942</v>
          </cell>
        </row>
        <row r="8480">
          <cell r="A8480" t="str">
            <v>Eleandro Maradones Monteiro</v>
          </cell>
          <cell r="B8480">
            <v>37000837</v>
          </cell>
          <cell r="C8480">
            <v>20008975</v>
          </cell>
          <cell r="D8480">
            <v>40588</v>
          </cell>
        </row>
        <row r="8481">
          <cell r="A8481" t="str">
            <v>Gustavo Henrique Dos Santos Goncalves</v>
          </cell>
          <cell r="B8481">
            <v>37005554</v>
          </cell>
          <cell r="C8481">
            <v>20013585</v>
          </cell>
          <cell r="D8481">
            <v>44291</v>
          </cell>
        </row>
        <row r="8482">
          <cell r="A8482" t="str">
            <v>Millena Duarte Machado</v>
          </cell>
          <cell r="B8482">
            <v>37014003</v>
          </cell>
          <cell r="C8482">
            <v>20057493</v>
          </cell>
          <cell r="D8482">
            <v>45153</v>
          </cell>
        </row>
        <row r="8483">
          <cell r="A8483" t="str">
            <v>John Helberton Da Cruz Silva</v>
          </cell>
          <cell r="B8483">
            <v>37002571</v>
          </cell>
          <cell r="C8483">
            <v>15008291</v>
          </cell>
          <cell r="D8483">
            <v>43388</v>
          </cell>
        </row>
        <row r="8484">
          <cell r="A8484" t="str">
            <v>Aparecido Donizete da Silva Junior</v>
          </cell>
          <cell r="B8484">
            <v>37011496</v>
          </cell>
          <cell r="C8484">
            <v>20044115</v>
          </cell>
          <cell r="D8484">
            <v>44991</v>
          </cell>
        </row>
        <row r="8485">
          <cell r="A8485" t="str">
            <v>Jose Valmir De Oliveira</v>
          </cell>
          <cell r="B8485">
            <v>37015575</v>
          </cell>
          <cell r="C8485">
            <v>20062963</v>
          </cell>
          <cell r="D8485">
            <v>45272</v>
          </cell>
        </row>
        <row r="8486">
          <cell r="A8486" t="str">
            <v>Carlos Henrique De Oliveira Alves</v>
          </cell>
          <cell r="B8486">
            <v>37015450</v>
          </cell>
          <cell r="C8486">
            <v>20062664</v>
          </cell>
          <cell r="D8486">
            <v>45265</v>
          </cell>
        </row>
        <row r="8487">
          <cell r="A8487" t="str">
            <v>Guilherme Godoy Garigo</v>
          </cell>
          <cell r="B8487">
            <v>37016358</v>
          </cell>
          <cell r="C8487">
            <v>20064104</v>
          </cell>
          <cell r="D8487">
            <v>45314</v>
          </cell>
        </row>
        <row r="8488">
          <cell r="A8488" t="str">
            <v>Thais de Oliveira Dias</v>
          </cell>
          <cell r="B8488">
            <v>37014327</v>
          </cell>
          <cell r="C8488">
            <v>20058428</v>
          </cell>
          <cell r="D8488">
            <v>45174</v>
          </cell>
        </row>
        <row r="8489">
          <cell r="A8489" t="str">
            <v>Sibele Errador Barbosa Ravacci</v>
          </cell>
          <cell r="B8489">
            <v>37014944</v>
          </cell>
          <cell r="C8489">
            <v>20060550</v>
          </cell>
          <cell r="D8489">
            <v>45215</v>
          </cell>
        </row>
        <row r="8490">
          <cell r="A8490" t="str">
            <v>Gabriel Cabreira Pires</v>
          </cell>
          <cell r="B8490">
            <v>37006189</v>
          </cell>
          <cell r="C8490">
            <v>20016948</v>
          </cell>
          <cell r="D8490">
            <v>44424</v>
          </cell>
        </row>
        <row r="8491">
          <cell r="A8491" t="str">
            <v>Frederico Pozenato Moreira De Oliveira</v>
          </cell>
          <cell r="B8491">
            <v>37006527</v>
          </cell>
          <cell r="C8491">
            <v>20019965</v>
          </cell>
          <cell r="D8491">
            <v>44473</v>
          </cell>
        </row>
        <row r="8492">
          <cell r="A8492" t="str">
            <v>Denis Miranda De Oliveira</v>
          </cell>
          <cell r="B8492">
            <v>37016643</v>
          </cell>
          <cell r="C8492">
            <v>20064744</v>
          </cell>
          <cell r="D8492">
            <v>45342</v>
          </cell>
        </row>
        <row r="8493">
          <cell r="A8493" t="str">
            <v>Emerson José Dos Santos Ferreira</v>
          </cell>
          <cell r="B8493">
            <v>37014696</v>
          </cell>
          <cell r="C8493">
            <v>20059457</v>
          </cell>
          <cell r="D8493">
            <v>45188</v>
          </cell>
        </row>
        <row r="8494">
          <cell r="A8494" t="str">
            <v>Rodrigo Dos Santos Moreira</v>
          </cell>
          <cell r="B8494">
            <v>37015470</v>
          </cell>
          <cell r="C8494">
            <v>20062719</v>
          </cell>
          <cell r="D8494">
            <v>45272</v>
          </cell>
        </row>
        <row r="8495">
          <cell r="A8495" t="str">
            <v>Paulo Rodrigo dos Santos</v>
          </cell>
          <cell r="B8495">
            <v>37014052</v>
          </cell>
          <cell r="C8495">
            <v>20057738</v>
          </cell>
          <cell r="D8495">
            <v>45160</v>
          </cell>
        </row>
        <row r="8496">
          <cell r="A8496" t="str">
            <v>Maria Angelita Fernandes Reche</v>
          </cell>
          <cell r="B8496">
            <v>37012194</v>
          </cell>
          <cell r="C8496">
            <v>20048545</v>
          </cell>
          <cell r="D8496">
            <v>45034</v>
          </cell>
        </row>
        <row r="8497">
          <cell r="A8497" t="str">
            <v>Marcio Aparecido Gomes</v>
          </cell>
          <cell r="B8497">
            <v>37019118</v>
          </cell>
          <cell r="C8497">
            <v>20077270</v>
          </cell>
          <cell r="D8497">
            <v>45545</v>
          </cell>
        </row>
        <row r="8498">
          <cell r="A8498" t="str">
            <v>Tiago Gomes Araujo</v>
          </cell>
          <cell r="B8498">
            <v>37018079</v>
          </cell>
          <cell r="C8498">
            <v>20071747</v>
          </cell>
          <cell r="D8498">
            <v>45453</v>
          </cell>
        </row>
        <row r="8499">
          <cell r="A8499" t="str">
            <v>Jose Donizette Luiz</v>
          </cell>
          <cell r="B8499">
            <v>37006674</v>
          </cell>
          <cell r="C8499">
            <v>20019979</v>
          </cell>
          <cell r="D8499">
            <v>44503</v>
          </cell>
        </row>
        <row r="8500">
          <cell r="A8500" t="str">
            <v>Isadora Ferraz da Silva</v>
          </cell>
          <cell r="B8500">
            <v>37019121</v>
          </cell>
          <cell r="C8500">
            <v>20045925</v>
          </cell>
          <cell r="D8500">
            <v>45538</v>
          </cell>
        </row>
        <row r="8501">
          <cell r="A8501" t="str">
            <v>João Miranda Oliveira</v>
          </cell>
          <cell r="B8501">
            <v>37019126</v>
          </cell>
          <cell r="C8501">
            <v>20077310</v>
          </cell>
          <cell r="D8501">
            <v>45545</v>
          </cell>
        </row>
        <row r="8502">
          <cell r="A8502" t="str">
            <v>Meidson Lucas Romão Pedro</v>
          </cell>
          <cell r="B8502">
            <v>37019132</v>
          </cell>
          <cell r="C8502">
            <v>20077316</v>
          </cell>
          <cell r="D8502">
            <v>45545</v>
          </cell>
        </row>
        <row r="8503">
          <cell r="A8503" t="str">
            <v>Andrius Washington Vicente</v>
          </cell>
          <cell r="B8503">
            <v>37019133</v>
          </cell>
          <cell r="C8503">
            <v>20077317</v>
          </cell>
          <cell r="D8503">
            <v>45545</v>
          </cell>
        </row>
        <row r="8504">
          <cell r="A8504" t="str">
            <v>Nilson Dos Santos Lucio</v>
          </cell>
          <cell r="B8504">
            <v>37005251</v>
          </cell>
          <cell r="C8504">
            <v>20011117</v>
          </cell>
          <cell r="D8504">
            <v>44138</v>
          </cell>
        </row>
        <row r="8505">
          <cell r="A8505" t="str">
            <v>Luiz Henrique de Oliveira</v>
          </cell>
          <cell r="B8505">
            <v>37019128</v>
          </cell>
          <cell r="C8505">
            <v>20077312</v>
          </cell>
          <cell r="D8505">
            <v>45545</v>
          </cell>
        </row>
        <row r="8506">
          <cell r="A8506" t="str">
            <v>Caio Henrique Dos Santos da Costa</v>
          </cell>
          <cell r="B8506">
            <v>37019130</v>
          </cell>
          <cell r="C8506">
            <v>20077314</v>
          </cell>
          <cell r="D8506">
            <v>45545</v>
          </cell>
        </row>
        <row r="8507">
          <cell r="A8507" t="str">
            <v>Sergio Novak</v>
          </cell>
          <cell r="B8507">
            <v>37015166</v>
          </cell>
          <cell r="C8507">
            <v>20016021</v>
          </cell>
          <cell r="D8507">
            <v>45237</v>
          </cell>
        </row>
        <row r="8508">
          <cell r="A8508" t="str">
            <v>Danilo Vinicius Da Costa Nascimento</v>
          </cell>
          <cell r="B8508">
            <v>37011340</v>
          </cell>
          <cell r="C8508">
            <v>20043188</v>
          </cell>
          <cell r="D8508">
            <v>44973</v>
          </cell>
        </row>
        <row r="8509">
          <cell r="A8509" t="str">
            <v>Fernanda Reginaldo Rosa Dias Dos Santos</v>
          </cell>
          <cell r="B8509">
            <v>37019135</v>
          </cell>
          <cell r="C8509">
            <v>20077320</v>
          </cell>
          <cell r="D8509">
            <v>45544</v>
          </cell>
        </row>
        <row r="8510">
          <cell r="A8510" t="str">
            <v>Beatriz Aquino</v>
          </cell>
          <cell r="B8510">
            <v>37005238</v>
          </cell>
          <cell r="C8510">
            <v>20011056</v>
          </cell>
          <cell r="D8510">
            <v>44138</v>
          </cell>
        </row>
        <row r="8511">
          <cell r="A8511" t="str">
            <v>Fabiana Cardoso</v>
          </cell>
          <cell r="B8511">
            <v>37019136</v>
          </cell>
          <cell r="C8511">
            <v>20077321</v>
          </cell>
          <cell r="D8511">
            <v>45544</v>
          </cell>
        </row>
        <row r="8512">
          <cell r="A8512" t="str">
            <v>Celso Dias Barbosa</v>
          </cell>
          <cell r="B8512">
            <v>37019137</v>
          </cell>
          <cell r="C8512">
            <v>20077322</v>
          </cell>
          <cell r="D8512">
            <v>45545</v>
          </cell>
        </row>
        <row r="8513">
          <cell r="A8513" t="str">
            <v>Edson Lacerda</v>
          </cell>
          <cell r="B8513">
            <v>37019138</v>
          </cell>
          <cell r="C8513">
            <v>20077323</v>
          </cell>
          <cell r="D8513">
            <v>45545</v>
          </cell>
        </row>
        <row r="8514">
          <cell r="A8514" t="str">
            <v>Jhon Cresler Primo</v>
          </cell>
          <cell r="B8514">
            <v>37018072</v>
          </cell>
          <cell r="C8514">
            <v>20041601</v>
          </cell>
          <cell r="D8514">
            <v>45453</v>
          </cell>
        </row>
        <row r="8515">
          <cell r="A8515" t="str">
            <v>Leson Ricki Teodoro de Souza</v>
          </cell>
          <cell r="B8515">
            <v>37019141</v>
          </cell>
          <cell r="C8515">
            <v>20077327</v>
          </cell>
          <cell r="D8515">
            <v>45545</v>
          </cell>
        </row>
        <row r="8516">
          <cell r="A8516" t="str">
            <v>Jose Carlos Dos Santos  Junior</v>
          </cell>
          <cell r="B8516">
            <v>37019142</v>
          </cell>
          <cell r="C8516">
            <v>20077342</v>
          </cell>
          <cell r="D8516">
            <v>45544</v>
          </cell>
        </row>
        <row r="8517">
          <cell r="A8517" t="str">
            <v>Michel Oliveira Dos Santos</v>
          </cell>
          <cell r="B8517">
            <v>37009742</v>
          </cell>
          <cell r="C8517">
            <v>20036465</v>
          </cell>
          <cell r="D8517">
            <v>44851</v>
          </cell>
        </row>
        <row r="8518">
          <cell r="A8518" t="str">
            <v>Eleandro Fernandes</v>
          </cell>
          <cell r="B8518">
            <v>37009934</v>
          </cell>
          <cell r="C8518">
            <v>20037433</v>
          </cell>
          <cell r="D8518">
            <v>44872</v>
          </cell>
        </row>
        <row r="8519">
          <cell r="A8519" t="str">
            <v>Rosiel dos Santos Rodrigues</v>
          </cell>
          <cell r="B8519">
            <v>37019144</v>
          </cell>
          <cell r="C8519">
            <v>20077351</v>
          </cell>
          <cell r="D8519">
            <v>45545</v>
          </cell>
        </row>
        <row r="8520">
          <cell r="A8520" t="str">
            <v>Joao Carlos Gadioli</v>
          </cell>
          <cell r="B8520">
            <v>37019146</v>
          </cell>
          <cell r="C8520">
            <v>20077353</v>
          </cell>
          <cell r="D8520">
            <v>45544</v>
          </cell>
        </row>
        <row r="8521">
          <cell r="A8521" t="str">
            <v>Alcides Edson Tardin Junior</v>
          </cell>
          <cell r="B8521">
            <v>37019147</v>
          </cell>
          <cell r="C8521">
            <v>20077354</v>
          </cell>
          <cell r="D8521">
            <v>45545</v>
          </cell>
        </row>
        <row r="8522">
          <cell r="A8522" t="str">
            <v>Alaor Marcolino Dos Santos</v>
          </cell>
          <cell r="B8522">
            <v>37019150</v>
          </cell>
          <cell r="C8522">
            <v>20077357</v>
          </cell>
          <cell r="D8522">
            <v>45545</v>
          </cell>
        </row>
        <row r="8523">
          <cell r="A8523" t="str">
            <v>Carlos Alberto Marciano</v>
          </cell>
          <cell r="B8523">
            <v>37019155</v>
          </cell>
          <cell r="C8523">
            <v>20077362</v>
          </cell>
          <cell r="D8523">
            <v>45544</v>
          </cell>
        </row>
        <row r="8524">
          <cell r="A8524" t="str">
            <v>Clever Torcinelli Prudencio</v>
          </cell>
          <cell r="B8524">
            <v>37013716</v>
          </cell>
          <cell r="C8524">
            <v>20056311</v>
          </cell>
          <cell r="D8524">
            <v>45153</v>
          </cell>
        </row>
        <row r="8525">
          <cell r="A8525" t="str">
            <v>Adriano Rogerio Leite</v>
          </cell>
          <cell r="B8525">
            <v>37019148</v>
          </cell>
          <cell r="C8525">
            <v>20077355</v>
          </cell>
          <cell r="D8525">
            <v>45545</v>
          </cell>
        </row>
        <row r="8526">
          <cell r="A8526" t="str">
            <v>Luan Moreira Paulino</v>
          </cell>
          <cell r="B8526">
            <v>37019151</v>
          </cell>
          <cell r="C8526">
            <v>20077358</v>
          </cell>
          <cell r="D8526">
            <v>45545</v>
          </cell>
        </row>
        <row r="8527">
          <cell r="A8527" t="str">
            <v>Rinaldo Cavalcanti</v>
          </cell>
          <cell r="B8527">
            <v>37019152</v>
          </cell>
          <cell r="C8527">
            <v>20077359</v>
          </cell>
          <cell r="D8527">
            <v>45545</v>
          </cell>
        </row>
        <row r="8528">
          <cell r="A8528" t="str">
            <v>Rodrigo Amaral de Souza</v>
          </cell>
          <cell r="B8528">
            <v>37019125</v>
          </cell>
          <cell r="C8528">
            <v>20055370</v>
          </cell>
          <cell r="D8528">
            <v>45545</v>
          </cell>
        </row>
        <row r="8529">
          <cell r="A8529" t="str">
            <v>Vitor Rogerio Chapani</v>
          </cell>
          <cell r="B8529">
            <v>37019153</v>
          </cell>
          <cell r="C8529">
            <v>20077360</v>
          </cell>
          <cell r="D8529">
            <v>45545</v>
          </cell>
        </row>
        <row r="8530">
          <cell r="A8530" t="str">
            <v>Adilson Rodrigues da Cruz</v>
          </cell>
          <cell r="B8530">
            <v>37019154</v>
          </cell>
          <cell r="C8530">
            <v>20077361</v>
          </cell>
          <cell r="D8530">
            <v>45545</v>
          </cell>
        </row>
        <row r="8531">
          <cell r="A8531" t="str">
            <v>Valdemir Adalberto Gualda</v>
          </cell>
          <cell r="B8531">
            <v>37019161</v>
          </cell>
          <cell r="C8531">
            <v>20077368</v>
          </cell>
          <cell r="D8531">
            <v>45544</v>
          </cell>
        </row>
        <row r="8532">
          <cell r="A8532" t="str">
            <v>Ronildo Andre Lopes</v>
          </cell>
          <cell r="B8532">
            <v>37019165</v>
          </cell>
          <cell r="C8532">
            <v>20077372</v>
          </cell>
          <cell r="D8532">
            <v>45545</v>
          </cell>
        </row>
        <row r="8533">
          <cell r="A8533" t="str">
            <v>Bruno Vieira Martins</v>
          </cell>
          <cell r="B8533">
            <v>37019172</v>
          </cell>
          <cell r="C8533">
            <v>20077379</v>
          </cell>
          <cell r="D8533">
            <v>45544</v>
          </cell>
        </row>
        <row r="8534">
          <cell r="A8534" t="str">
            <v>HEVERTON Bispo RAMOS</v>
          </cell>
          <cell r="B8534">
            <v>37019173</v>
          </cell>
          <cell r="C8534">
            <v>20077380</v>
          </cell>
          <cell r="D8534">
            <v>45545</v>
          </cell>
        </row>
        <row r="8535">
          <cell r="A8535" t="str">
            <v>Samuel Willames Vercosa Mendonca</v>
          </cell>
          <cell r="B8535">
            <v>37015159</v>
          </cell>
          <cell r="C8535">
            <v>20061469</v>
          </cell>
          <cell r="D8535">
            <v>45237</v>
          </cell>
        </row>
        <row r="8536">
          <cell r="A8536" t="str">
            <v>Diego Souza Alves Rosa Vieira</v>
          </cell>
          <cell r="B8536">
            <v>37013234</v>
          </cell>
          <cell r="C8536">
            <v>20053573</v>
          </cell>
          <cell r="D8536">
            <v>45111</v>
          </cell>
        </row>
        <row r="8537">
          <cell r="A8537" t="str">
            <v>Rodolfo Do Vale</v>
          </cell>
          <cell r="B8537">
            <v>37019159</v>
          </cell>
          <cell r="C8537">
            <v>20077366</v>
          </cell>
          <cell r="D8537">
            <v>45545</v>
          </cell>
        </row>
        <row r="8538">
          <cell r="A8538" t="str">
            <v>Marcelo Esposito Lima Teixeira</v>
          </cell>
          <cell r="B8538">
            <v>37019162</v>
          </cell>
          <cell r="C8538">
            <v>20077369</v>
          </cell>
          <cell r="D8538">
            <v>45545</v>
          </cell>
        </row>
        <row r="8539">
          <cell r="A8539" t="str">
            <v>Daniel Paulo Nogueira</v>
          </cell>
          <cell r="B8539">
            <v>37019163</v>
          </cell>
          <cell r="C8539">
            <v>20077370</v>
          </cell>
          <cell r="D8539">
            <v>45544</v>
          </cell>
        </row>
        <row r="8540">
          <cell r="A8540" t="str">
            <v>Mateus Ariel Pereira</v>
          </cell>
          <cell r="B8540">
            <v>37019166</v>
          </cell>
          <cell r="C8540">
            <v>20077373</v>
          </cell>
          <cell r="D8540">
            <v>45545</v>
          </cell>
        </row>
        <row r="8541">
          <cell r="A8541" t="str">
            <v>Ivo Perusin Neto</v>
          </cell>
          <cell r="B8541">
            <v>37019167</v>
          </cell>
          <cell r="C8541">
            <v>20077374</v>
          </cell>
          <cell r="D8541">
            <v>45545</v>
          </cell>
        </row>
        <row r="8542">
          <cell r="A8542" t="str">
            <v>Vagner Magalhaes Viana</v>
          </cell>
          <cell r="B8542">
            <v>37019169</v>
          </cell>
          <cell r="C8542">
            <v>20077376</v>
          </cell>
          <cell r="D8542">
            <v>45545</v>
          </cell>
        </row>
        <row r="8543">
          <cell r="A8543" t="str">
            <v>Erik Augusto Borbosa</v>
          </cell>
          <cell r="B8543">
            <v>37019171</v>
          </cell>
          <cell r="C8543">
            <v>20077378</v>
          </cell>
          <cell r="D8543">
            <v>45545</v>
          </cell>
        </row>
        <row r="8544">
          <cell r="A8544" t="str">
            <v>Cleiber Pinto Teixeira</v>
          </cell>
          <cell r="B8544">
            <v>37019174</v>
          </cell>
          <cell r="C8544">
            <v>20077381</v>
          </cell>
          <cell r="D8544">
            <v>45545</v>
          </cell>
        </row>
        <row r="8545">
          <cell r="A8545" t="str">
            <v>Nathalia Hermann Weiser</v>
          </cell>
          <cell r="B8545">
            <v>37019175</v>
          </cell>
          <cell r="C8545">
            <v>20077382</v>
          </cell>
          <cell r="D8545">
            <v>45552</v>
          </cell>
        </row>
        <row r="8546">
          <cell r="A8546" t="str">
            <v>Carlos de Aguiar Diana</v>
          </cell>
          <cell r="B8546">
            <v>37019178</v>
          </cell>
          <cell r="C8546">
            <v>20077385</v>
          </cell>
          <cell r="D8546">
            <v>45545</v>
          </cell>
        </row>
        <row r="8547">
          <cell r="A8547" t="str">
            <v>Maotze-Russel Lima Borges</v>
          </cell>
          <cell r="B8547">
            <v>37019186</v>
          </cell>
          <cell r="C8547">
            <v>20077393</v>
          </cell>
          <cell r="D8547">
            <v>45545</v>
          </cell>
        </row>
        <row r="8548">
          <cell r="A8548" t="str">
            <v>Erisvaldo Souza Amaral</v>
          </cell>
          <cell r="B8548">
            <v>37019180</v>
          </cell>
          <cell r="C8548">
            <v>20077387</v>
          </cell>
          <cell r="D8548">
            <v>45544</v>
          </cell>
        </row>
        <row r="8549">
          <cell r="A8549" t="str">
            <v>Daniel Marcelino Dos Santos</v>
          </cell>
          <cell r="B8549">
            <v>37019183</v>
          </cell>
          <cell r="C8549">
            <v>20077390</v>
          </cell>
          <cell r="D8549">
            <v>45545</v>
          </cell>
        </row>
        <row r="8550">
          <cell r="A8550" t="str">
            <v>Reginaldo Vieira De Andrade</v>
          </cell>
          <cell r="B8550">
            <v>37019184</v>
          </cell>
          <cell r="C8550">
            <v>20077391</v>
          </cell>
          <cell r="D8550">
            <v>45544</v>
          </cell>
        </row>
        <row r="8551">
          <cell r="A8551" t="str">
            <v>Raul Rodrigues de Pontes</v>
          </cell>
          <cell r="B8551">
            <v>37019185</v>
          </cell>
          <cell r="C8551">
            <v>20077392</v>
          </cell>
          <cell r="D8551">
            <v>45545</v>
          </cell>
        </row>
        <row r="8552">
          <cell r="A8552" t="str">
            <v>Jose Pedro Ribeiro Belo</v>
          </cell>
          <cell r="B8552">
            <v>37019187</v>
          </cell>
          <cell r="C8552">
            <v>20077394</v>
          </cell>
          <cell r="D8552">
            <v>45545</v>
          </cell>
        </row>
        <row r="8553">
          <cell r="A8553" t="str">
            <v>Paulo Victor De Carvalho</v>
          </cell>
          <cell r="B8553">
            <v>37011153</v>
          </cell>
          <cell r="C8553">
            <v>20042499</v>
          </cell>
          <cell r="D8553">
            <v>44970</v>
          </cell>
        </row>
        <row r="8554">
          <cell r="A8554" t="str">
            <v>Fausto Costa Simonetti</v>
          </cell>
          <cell r="B8554">
            <v>37009422</v>
          </cell>
          <cell r="C8554">
            <v>20033736</v>
          </cell>
          <cell r="D8554">
            <v>44823</v>
          </cell>
        </row>
        <row r="8555">
          <cell r="A8555" t="str">
            <v>Murilo Castelhano</v>
          </cell>
          <cell r="B8555">
            <v>37012826</v>
          </cell>
          <cell r="C8555">
            <v>20051781</v>
          </cell>
          <cell r="D8555">
            <v>45083</v>
          </cell>
        </row>
        <row r="8556">
          <cell r="A8556" t="str">
            <v>Helio Fogaca</v>
          </cell>
          <cell r="B8556">
            <v>37016442</v>
          </cell>
          <cell r="C8556">
            <v>20064186</v>
          </cell>
          <cell r="D8556">
            <v>45370</v>
          </cell>
        </row>
        <row r="8557">
          <cell r="A8557" t="str">
            <v>Guilherme Milani</v>
          </cell>
          <cell r="B8557">
            <v>37016669</v>
          </cell>
          <cell r="C8557">
            <v>20064770</v>
          </cell>
          <cell r="D8557">
            <v>45342</v>
          </cell>
        </row>
        <row r="8558">
          <cell r="A8558" t="str">
            <v>Junio Fernando Oliveira Souza</v>
          </cell>
          <cell r="B8558">
            <v>37014556</v>
          </cell>
          <cell r="C8558">
            <v>20059127</v>
          </cell>
          <cell r="D8558">
            <v>45181</v>
          </cell>
        </row>
        <row r="8559">
          <cell r="A8559" t="str">
            <v>Adley Alexsander Pio</v>
          </cell>
          <cell r="B8559">
            <v>37019228</v>
          </cell>
          <cell r="C8559">
            <v>20077873</v>
          </cell>
          <cell r="D8559">
            <v>45552</v>
          </cell>
        </row>
        <row r="8560">
          <cell r="A8560" t="str">
            <v>João Guilherme Garcia Habache</v>
          </cell>
          <cell r="B8560">
            <v>37019206</v>
          </cell>
          <cell r="C8560">
            <v>20032983</v>
          </cell>
          <cell r="D8560">
            <v>45545</v>
          </cell>
        </row>
        <row r="8561">
          <cell r="A8561" t="str">
            <v>Larissa Carlos Ferreira</v>
          </cell>
          <cell r="B8561">
            <v>37019231</v>
          </cell>
          <cell r="C8561">
            <v>20077893</v>
          </cell>
          <cell r="D8561">
            <v>45552</v>
          </cell>
        </row>
        <row r="8562">
          <cell r="A8562" t="str">
            <v>Charles Tadeu Fernandes Dos Santos</v>
          </cell>
          <cell r="B8562">
            <v>37019234</v>
          </cell>
          <cell r="C8562">
            <v>20077896</v>
          </cell>
          <cell r="D8562">
            <v>45552</v>
          </cell>
        </row>
        <row r="8563">
          <cell r="A8563" t="str">
            <v>Leandro Jose Custodio</v>
          </cell>
          <cell r="B8563">
            <v>37019232</v>
          </cell>
          <cell r="C8563">
            <v>20077894</v>
          </cell>
          <cell r="D8563">
            <v>45552</v>
          </cell>
        </row>
        <row r="8564">
          <cell r="A8564" t="str">
            <v>Matheus Henrique Gonzaga Martins</v>
          </cell>
          <cell r="B8564">
            <v>37019233</v>
          </cell>
          <cell r="C8564">
            <v>20077895</v>
          </cell>
          <cell r="D8564">
            <v>45552</v>
          </cell>
        </row>
        <row r="8565">
          <cell r="A8565" t="str">
            <v>Guilherme Dalalio</v>
          </cell>
          <cell r="B8565">
            <v>37019235</v>
          </cell>
          <cell r="C8565">
            <v>20077897</v>
          </cell>
          <cell r="D8565">
            <v>45552</v>
          </cell>
        </row>
        <row r="8566">
          <cell r="A8566" t="str">
            <v>Tiago Batista Dos Santos Nogueira</v>
          </cell>
          <cell r="B8566">
            <v>37019236</v>
          </cell>
          <cell r="C8566">
            <v>20077898</v>
          </cell>
          <cell r="D8566">
            <v>45552</v>
          </cell>
        </row>
        <row r="8567">
          <cell r="A8567" t="str">
            <v>Paulo da Costa</v>
          </cell>
          <cell r="B8567">
            <v>37019238</v>
          </cell>
          <cell r="C8567">
            <v>20077900</v>
          </cell>
          <cell r="D8567">
            <v>45552</v>
          </cell>
        </row>
        <row r="8568">
          <cell r="A8568" t="str">
            <v>Francisco De Assis de Souza Duarte</v>
          </cell>
          <cell r="B8568">
            <v>37014869</v>
          </cell>
          <cell r="C8568">
            <v>20060450</v>
          </cell>
          <cell r="D8568">
            <v>45209</v>
          </cell>
        </row>
        <row r="8569">
          <cell r="A8569" t="str">
            <v>Adriano Oliveira Pontes dos Santos</v>
          </cell>
          <cell r="B8569">
            <v>37019242</v>
          </cell>
          <cell r="C8569">
            <v>20077923</v>
          </cell>
          <cell r="D8569">
            <v>45552</v>
          </cell>
        </row>
        <row r="8570">
          <cell r="A8570" t="str">
            <v>Leandro De Mira Inacio</v>
          </cell>
          <cell r="B8570">
            <v>37019240</v>
          </cell>
          <cell r="C8570">
            <v>20077921</v>
          </cell>
          <cell r="D8570">
            <v>45552</v>
          </cell>
        </row>
        <row r="8571">
          <cell r="A8571" t="str">
            <v>Gustavo Henrique Benjamin</v>
          </cell>
          <cell r="B8571">
            <v>37019241</v>
          </cell>
          <cell r="C8571">
            <v>20077922</v>
          </cell>
          <cell r="D8571">
            <v>45552</v>
          </cell>
        </row>
        <row r="8572">
          <cell r="A8572" t="str">
            <v>Giovana Fialho da Silva</v>
          </cell>
          <cell r="B8572">
            <v>37019244</v>
          </cell>
          <cell r="C8572">
            <v>20077925</v>
          </cell>
          <cell r="D8572">
            <v>45552</v>
          </cell>
        </row>
        <row r="8573">
          <cell r="A8573" t="str">
            <v>Sebastião Batista Silvestre Pessoa</v>
          </cell>
          <cell r="B8573">
            <v>37019248</v>
          </cell>
          <cell r="C8573">
            <v>20077929</v>
          </cell>
          <cell r="D8573">
            <v>45552</v>
          </cell>
        </row>
        <row r="8574">
          <cell r="A8574" t="str">
            <v>Gabriel Bento Guedes</v>
          </cell>
          <cell r="B8574">
            <v>37019243</v>
          </cell>
          <cell r="C8574">
            <v>20077924</v>
          </cell>
          <cell r="D8574">
            <v>45552</v>
          </cell>
        </row>
        <row r="8575">
          <cell r="A8575" t="str">
            <v>Thiago Gonçalves da Silva</v>
          </cell>
          <cell r="B8575">
            <v>37019246</v>
          </cell>
          <cell r="C8575">
            <v>20077927</v>
          </cell>
          <cell r="D8575">
            <v>45552</v>
          </cell>
        </row>
        <row r="8576">
          <cell r="A8576" t="str">
            <v>Renato Roque</v>
          </cell>
          <cell r="B8576">
            <v>37019247</v>
          </cell>
          <cell r="C8576">
            <v>20077928</v>
          </cell>
          <cell r="D8576">
            <v>45552</v>
          </cell>
        </row>
        <row r="8577">
          <cell r="A8577" t="str">
            <v>Anderson Douglas Prudencio</v>
          </cell>
          <cell r="B8577">
            <v>37019249</v>
          </cell>
          <cell r="C8577">
            <v>20077930</v>
          </cell>
          <cell r="D8577">
            <v>45552</v>
          </cell>
        </row>
        <row r="8578">
          <cell r="A8578" t="str">
            <v>Valmir De Andrade Lima</v>
          </cell>
          <cell r="B8578">
            <v>37019254</v>
          </cell>
          <cell r="C8578">
            <v>20077935</v>
          </cell>
          <cell r="D8578">
            <v>45552</v>
          </cell>
        </row>
        <row r="8579">
          <cell r="A8579" t="str">
            <v>Otavio Henrique Furno Cypriano</v>
          </cell>
          <cell r="B8579">
            <v>37019252</v>
          </cell>
          <cell r="C8579">
            <v>20077933</v>
          </cell>
          <cell r="D8579">
            <v>45552</v>
          </cell>
        </row>
        <row r="8580">
          <cell r="A8580" t="str">
            <v>Luiz Octavio da Silva Santana</v>
          </cell>
          <cell r="B8580">
            <v>37019255</v>
          </cell>
          <cell r="C8580">
            <v>20077936</v>
          </cell>
          <cell r="D8580">
            <v>45552</v>
          </cell>
        </row>
        <row r="8581">
          <cell r="A8581" t="str">
            <v>Joao Paulo Da Silva</v>
          </cell>
          <cell r="B8581">
            <v>37019256</v>
          </cell>
          <cell r="C8581">
            <v>20077937</v>
          </cell>
          <cell r="D8581">
            <v>45552</v>
          </cell>
        </row>
        <row r="8582">
          <cell r="A8582" t="str">
            <v>Jean Carlos Pereira Almeida</v>
          </cell>
          <cell r="B8582">
            <v>37019258</v>
          </cell>
          <cell r="C8582">
            <v>20077939</v>
          </cell>
          <cell r="D8582">
            <v>45552</v>
          </cell>
        </row>
        <row r="8583">
          <cell r="A8583" t="str">
            <v>Jean Junio Lopes</v>
          </cell>
          <cell r="B8583">
            <v>37019266</v>
          </cell>
          <cell r="C8583">
            <v>20077948</v>
          </cell>
          <cell r="D8583">
            <v>45552</v>
          </cell>
        </row>
        <row r="8584">
          <cell r="A8584" t="str">
            <v>Elton Rogerio Brombini</v>
          </cell>
          <cell r="B8584">
            <v>37019274</v>
          </cell>
          <cell r="C8584">
            <v>20077956</v>
          </cell>
          <cell r="D8584">
            <v>45552</v>
          </cell>
        </row>
        <row r="8585">
          <cell r="A8585" t="str">
            <v>Ronaldo Antonio Da Silva</v>
          </cell>
          <cell r="B8585">
            <v>37019283</v>
          </cell>
          <cell r="C8585">
            <v>20077965</v>
          </cell>
          <cell r="D8585">
            <v>45552</v>
          </cell>
        </row>
        <row r="8586">
          <cell r="A8586" t="str">
            <v>Nilson Romao De Paula</v>
          </cell>
          <cell r="B8586">
            <v>37019295</v>
          </cell>
          <cell r="C8586">
            <v>20077990</v>
          </cell>
          <cell r="D8586">
            <v>45552</v>
          </cell>
        </row>
        <row r="8587">
          <cell r="A8587" t="str">
            <v>Ana Claudia Chimini</v>
          </cell>
          <cell r="B8587">
            <v>37019294</v>
          </cell>
          <cell r="C8587">
            <v>20077989</v>
          </cell>
          <cell r="D8587">
            <v>45552</v>
          </cell>
        </row>
        <row r="8588">
          <cell r="A8588" t="str">
            <v>Mauricio Thomaz</v>
          </cell>
          <cell r="B8588">
            <v>37019305</v>
          </cell>
          <cell r="C8588">
            <v>20078000</v>
          </cell>
          <cell r="D8588">
            <v>45552</v>
          </cell>
        </row>
        <row r="8589">
          <cell r="A8589" t="str">
            <v>Adriano Da Silva Nascimento</v>
          </cell>
          <cell r="B8589">
            <v>37019303</v>
          </cell>
          <cell r="C8589">
            <v>20077998</v>
          </cell>
          <cell r="D8589">
            <v>45552</v>
          </cell>
        </row>
        <row r="8590">
          <cell r="A8590" t="str">
            <v>Marcos Costa Cotrim</v>
          </cell>
          <cell r="B8590">
            <v>37019306</v>
          </cell>
          <cell r="C8590">
            <v>20078001</v>
          </cell>
          <cell r="D8590">
            <v>45552</v>
          </cell>
        </row>
        <row r="8591">
          <cell r="A8591" t="str">
            <v>Luiz Fernando Alves</v>
          </cell>
          <cell r="B8591">
            <v>37019309</v>
          </cell>
          <cell r="C8591">
            <v>20078004</v>
          </cell>
          <cell r="D8591">
            <v>45552</v>
          </cell>
        </row>
        <row r="8592">
          <cell r="A8592" t="str">
            <v>Jonathan dos Santos Antiqueira</v>
          </cell>
          <cell r="B8592">
            <v>37019312</v>
          </cell>
          <cell r="C8592">
            <v>20078007</v>
          </cell>
          <cell r="D8592">
            <v>45552</v>
          </cell>
        </row>
        <row r="8593">
          <cell r="A8593" t="str">
            <v>Claudio Donizeti Moraes</v>
          </cell>
          <cell r="B8593">
            <v>37019313</v>
          </cell>
          <cell r="C8593">
            <v>20078008</v>
          </cell>
          <cell r="D8593">
            <v>45552</v>
          </cell>
        </row>
        <row r="8594">
          <cell r="A8594" t="str">
            <v>Sergio Antonio Pereira De Freitas Junior</v>
          </cell>
          <cell r="B8594">
            <v>37019317</v>
          </cell>
          <cell r="C8594">
            <v>20078012</v>
          </cell>
          <cell r="D8594">
            <v>45552</v>
          </cell>
        </row>
        <row r="8595">
          <cell r="A8595" t="str">
            <v>Andre Signoreli</v>
          </cell>
          <cell r="B8595">
            <v>37019316</v>
          </cell>
          <cell r="C8595">
            <v>20078011</v>
          </cell>
          <cell r="D8595">
            <v>45552</v>
          </cell>
        </row>
        <row r="8596">
          <cell r="A8596" t="str">
            <v>Rafael Ferreira da Luz</v>
          </cell>
          <cell r="B8596">
            <v>37019324</v>
          </cell>
          <cell r="C8596">
            <v>20078060</v>
          </cell>
          <cell r="D8596">
            <v>45552</v>
          </cell>
        </row>
        <row r="8597">
          <cell r="A8597" t="str">
            <v>Marcos Teixeira</v>
          </cell>
          <cell r="B8597">
            <v>37019333</v>
          </cell>
          <cell r="C8597">
            <v>20078110</v>
          </cell>
          <cell r="D8597">
            <v>45552</v>
          </cell>
        </row>
        <row r="8598">
          <cell r="A8598" t="str">
            <v>Flavio Augusto Mendes</v>
          </cell>
          <cell r="B8598">
            <v>37005265</v>
          </cell>
          <cell r="C8598">
            <v>20011075</v>
          </cell>
          <cell r="D8598">
            <v>44144</v>
          </cell>
        </row>
        <row r="8599">
          <cell r="A8599" t="str">
            <v>Lucas Eduardo Batista Pedroso</v>
          </cell>
          <cell r="B8599">
            <v>37011776</v>
          </cell>
          <cell r="C8599">
            <v>20045751</v>
          </cell>
          <cell r="D8599">
            <v>45005</v>
          </cell>
        </row>
        <row r="8600">
          <cell r="A8600" t="str">
            <v>Anderson Rodrigo Pacheco</v>
          </cell>
          <cell r="B8600">
            <v>37016080</v>
          </cell>
          <cell r="C8600">
            <v>20008614</v>
          </cell>
          <cell r="D8600">
            <v>45300</v>
          </cell>
        </row>
        <row r="8601">
          <cell r="A8601" t="str">
            <v>Willian Cesar De Oliveira</v>
          </cell>
          <cell r="B8601">
            <v>37012262</v>
          </cell>
          <cell r="C8601">
            <v>20049160</v>
          </cell>
          <cell r="D8601">
            <v>45048</v>
          </cell>
        </row>
        <row r="8602">
          <cell r="A8602" t="str">
            <v>Guilherme Afonso Massagli</v>
          </cell>
          <cell r="B8602">
            <v>37005769</v>
          </cell>
          <cell r="C8602">
            <v>20016042</v>
          </cell>
          <cell r="D8602">
            <v>44348</v>
          </cell>
        </row>
        <row r="8603">
          <cell r="A8603" t="str">
            <v>Carlos Felipe Paschoalinotto</v>
          </cell>
          <cell r="B8603">
            <v>37011037</v>
          </cell>
          <cell r="C8603">
            <v>20042023</v>
          </cell>
          <cell r="D8603">
            <v>44963</v>
          </cell>
        </row>
        <row r="8604">
          <cell r="A8604" t="str">
            <v>Vanderson Roger da Silva Muniz</v>
          </cell>
          <cell r="B8604">
            <v>37019337</v>
          </cell>
          <cell r="C8604">
            <v>20078196</v>
          </cell>
          <cell r="D8604">
            <v>45552</v>
          </cell>
        </row>
        <row r="8605">
          <cell r="A8605" t="str">
            <v>Gabriel Santos Silva</v>
          </cell>
          <cell r="B8605">
            <v>37019338</v>
          </cell>
          <cell r="C8605">
            <v>20078197</v>
          </cell>
          <cell r="D8605">
            <v>45552</v>
          </cell>
        </row>
        <row r="8606">
          <cell r="A8606" t="str">
            <v>Rafael Henrique Mariano</v>
          </cell>
          <cell r="B8606">
            <v>37019344</v>
          </cell>
          <cell r="C8606">
            <v>20064532</v>
          </cell>
          <cell r="D8606">
            <v>45566</v>
          </cell>
        </row>
        <row r="8607">
          <cell r="A8607" t="str">
            <v>Angélica da Silva Simões Braga</v>
          </cell>
          <cell r="B8607">
            <v>37019347</v>
          </cell>
          <cell r="C8607">
            <v>20078302</v>
          </cell>
          <cell r="D8607">
            <v>45566</v>
          </cell>
        </row>
        <row r="8608">
          <cell r="A8608" t="str">
            <v>Luan Rodrigues Teixeira de Paula</v>
          </cell>
          <cell r="B8608">
            <v>37019348</v>
          </cell>
          <cell r="C8608">
            <v>20078303</v>
          </cell>
          <cell r="D8608">
            <v>45566</v>
          </cell>
        </row>
        <row r="8609">
          <cell r="A8609" t="str">
            <v>Nathan Sanches Nogueira</v>
          </cell>
          <cell r="B8609">
            <v>37009072</v>
          </cell>
          <cell r="C8609">
            <v>20031509</v>
          </cell>
          <cell r="D8609">
            <v>44788</v>
          </cell>
        </row>
        <row r="8610">
          <cell r="A8610" t="str">
            <v>Gilberto Aparecido Quinato</v>
          </cell>
          <cell r="B8610">
            <v>37016380</v>
          </cell>
          <cell r="C8610">
            <v>20064129</v>
          </cell>
          <cell r="D8610">
            <v>45314</v>
          </cell>
        </row>
        <row r="8611">
          <cell r="A8611" t="str">
            <v>Augusto Dos Santos Almeida</v>
          </cell>
          <cell r="B8611">
            <v>37008003</v>
          </cell>
          <cell r="C8611">
            <v>20026004</v>
          </cell>
          <cell r="D8611">
            <v>44713</v>
          </cell>
        </row>
        <row r="8612">
          <cell r="A8612" t="str">
            <v>Alessandro Bernardino Borges</v>
          </cell>
          <cell r="B8612">
            <v>37003911</v>
          </cell>
          <cell r="C8612">
            <v>20008521</v>
          </cell>
          <cell r="D8612">
            <v>43773</v>
          </cell>
        </row>
        <row r="8613">
          <cell r="A8613" t="str">
            <v>Vagner Antonio Ascenso</v>
          </cell>
          <cell r="B8613">
            <v>37013893</v>
          </cell>
          <cell r="C8613">
            <v>20057052</v>
          </cell>
          <cell r="D8613">
            <v>45146</v>
          </cell>
        </row>
        <row r="8614">
          <cell r="A8614" t="str">
            <v>Willian Micrescio da Conceição Magalhães</v>
          </cell>
          <cell r="B8614">
            <v>37019354</v>
          </cell>
          <cell r="C8614">
            <v>20078324</v>
          </cell>
          <cell r="D8614">
            <v>45566</v>
          </cell>
        </row>
        <row r="8615">
          <cell r="A8615" t="str">
            <v>Joel Azarias Xavier</v>
          </cell>
          <cell r="B8615">
            <v>37016646</v>
          </cell>
          <cell r="C8615">
            <v>20064747</v>
          </cell>
          <cell r="D8615">
            <v>45342</v>
          </cell>
        </row>
        <row r="8616">
          <cell r="A8616" t="str">
            <v>Lecio Dos Santos Xavier</v>
          </cell>
          <cell r="B8616">
            <v>37019366</v>
          </cell>
          <cell r="C8616">
            <v>20078347</v>
          </cell>
          <cell r="D8616">
            <v>45566</v>
          </cell>
        </row>
        <row r="8617">
          <cell r="A8617" t="str">
            <v>FERNANDO APARECIDO DA SILVA</v>
          </cell>
          <cell r="B8617">
            <v>37019360</v>
          </cell>
          <cell r="C8617">
            <v>20078330</v>
          </cell>
          <cell r="D8617">
            <v>45566</v>
          </cell>
        </row>
        <row r="8618">
          <cell r="A8618" t="str">
            <v>Robson Souza Ribeiro</v>
          </cell>
          <cell r="B8618">
            <v>37019351</v>
          </cell>
          <cell r="C8618">
            <v>20034035</v>
          </cell>
          <cell r="D8618">
            <v>45566</v>
          </cell>
        </row>
        <row r="8619">
          <cell r="A8619" t="str">
            <v>Sirineu Camargo Fonseca</v>
          </cell>
          <cell r="B8619">
            <v>37019362</v>
          </cell>
          <cell r="C8619">
            <v>20078333</v>
          </cell>
          <cell r="D8619">
            <v>45566</v>
          </cell>
        </row>
        <row r="8620">
          <cell r="A8620" t="str">
            <v>Daniel Alexandre Cajola</v>
          </cell>
          <cell r="B8620">
            <v>37019365</v>
          </cell>
          <cell r="C8620">
            <v>20078346</v>
          </cell>
          <cell r="D8620">
            <v>45566</v>
          </cell>
        </row>
        <row r="8621">
          <cell r="A8621" t="str">
            <v>Thamires Lima dos Santos</v>
          </cell>
          <cell r="B8621">
            <v>37019367</v>
          </cell>
          <cell r="C8621">
            <v>20078348</v>
          </cell>
          <cell r="D8621">
            <v>45566</v>
          </cell>
        </row>
        <row r="8622">
          <cell r="A8622" t="str">
            <v>Luiz Braian Modesto</v>
          </cell>
          <cell r="B8622">
            <v>37019374</v>
          </cell>
          <cell r="C8622">
            <v>20078355</v>
          </cell>
          <cell r="D8622">
            <v>45566</v>
          </cell>
        </row>
        <row r="8623">
          <cell r="A8623" t="str">
            <v>Igor Matheus Ferreira dos Santos</v>
          </cell>
          <cell r="B8623">
            <v>37019377</v>
          </cell>
          <cell r="C8623">
            <v>20078358</v>
          </cell>
          <cell r="D8623">
            <v>45566</v>
          </cell>
        </row>
        <row r="8624">
          <cell r="A8624" t="str">
            <v>PEDRO HENRIQUE LEODORO MARTINS</v>
          </cell>
          <cell r="B8624">
            <v>37019379</v>
          </cell>
          <cell r="C8624">
            <v>20078360</v>
          </cell>
          <cell r="D8624">
            <v>45566</v>
          </cell>
        </row>
        <row r="8625">
          <cell r="A8625" t="str">
            <v>Bruna Zanzini Zanzini Pupin</v>
          </cell>
          <cell r="B8625" t="e">
            <v>#N/A</v>
          </cell>
          <cell r="C8625">
            <v>20078356</v>
          </cell>
          <cell r="D8625" t="e">
            <v>#N/A</v>
          </cell>
        </row>
        <row r="8626">
          <cell r="A8626" t="str">
            <v>Marcio Pereira de Oliveira</v>
          </cell>
          <cell r="B8626">
            <v>37019376</v>
          </cell>
          <cell r="C8626">
            <v>20078357</v>
          </cell>
          <cell r="D8626">
            <v>45566</v>
          </cell>
        </row>
        <row r="8627">
          <cell r="A8627" t="str">
            <v>Fernanda Claro Moraes da Silva</v>
          </cell>
          <cell r="B8627">
            <v>37019381</v>
          </cell>
          <cell r="C8627">
            <v>20078362</v>
          </cell>
          <cell r="D8627">
            <v>45566</v>
          </cell>
        </row>
        <row r="8628">
          <cell r="A8628" t="str">
            <v>Tiago Marcelo da Cruz</v>
          </cell>
          <cell r="B8628">
            <v>37019389</v>
          </cell>
          <cell r="C8628">
            <v>20078370</v>
          </cell>
          <cell r="D8628">
            <v>45566</v>
          </cell>
        </row>
        <row r="8629">
          <cell r="A8629" t="str">
            <v>Celso Ricardo Da Silva</v>
          </cell>
          <cell r="B8629">
            <v>37019385</v>
          </cell>
          <cell r="C8629">
            <v>20078366</v>
          </cell>
          <cell r="D8629">
            <v>45566</v>
          </cell>
        </row>
        <row r="8630">
          <cell r="A8630" t="str">
            <v>Camila Gomes Da Silva</v>
          </cell>
          <cell r="B8630">
            <v>37019386</v>
          </cell>
          <cell r="C8630">
            <v>20078367</v>
          </cell>
          <cell r="D8630">
            <v>45566</v>
          </cell>
        </row>
        <row r="8631">
          <cell r="A8631" t="str">
            <v>Luiz Carlos Brisola</v>
          </cell>
          <cell r="B8631">
            <v>37019394</v>
          </cell>
          <cell r="C8631">
            <v>20078375</v>
          </cell>
          <cell r="D8631">
            <v>45566</v>
          </cell>
        </row>
        <row r="8632">
          <cell r="A8632" t="str">
            <v>Gilberto Terto Da Silva</v>
          </cell>
          <cell r="B8632">
            <v>37019397</v>
          </cell>
          <cell r="C8632">
            <v>20078378</v>
          </cell>
          <cell r="D8632">
            <v>45566</v>
          </cell>
        </row>
        <row r="8633">
          <cell r="A8633" t="str">
            <v>Allan Dionisio Justino</v>
          </cell>
          <cell r="B8633">
            <v>37019399</v>
          </cell>
          <cell r="C8633">
            <v>20078380</v>
          </cell>
          <cell r="D8633">
            <v>45566</v>
          </cell>
        </row>
        <row r="8634">
          <cell r="A8634" t="str">
            <v>Ariel Martins Grecco</v>
          </cell>
          <cell r="B8634">
            <v>37019406</v>
          </cell>
          <cell r="C8634">
            <v>20078390</v>
          </cell>
          <cell r="D8634">
            <v>45566</v>
          </cell>
        </row>
        <row r="8635">
          <cell r="A8635" t="str">
            <v>Mateus Henrique Barbosa</v>
          </cell>
          <cell r="B8635">
            <v>37019408</v>
          </cell>
          <cell r="C8635">
            <v>20078392</v>
          </cell>
          <cell r="D8635">
            <v>45566</v>
          </cell>
        </row>
        <row r="8636">
          <cell r="A8636" t="str">
            <v>Marcilio Alves Dos Santos Mendes Lages</v>
          </cell>
          <cell r="B8636">
            <v>37019409</v>
          </cell>
          <cell r="C8636">
            <v>20078393</v>
          </cell>
          <cell r="D8636">
            <v>45566</v>
          </cell>
        </row>
        <row r="8637">
          <cell r="A8637" t="str">
            <v>Pedro Afonso Rocha Tomazelli</v>
          </cell>
          <cell r="B8637">
            <v>37019411</v>
          </cell>
          <cell r="C8637">
            <v>20078395</v>
          </cell>
          <cell r="D8637">
            <v>45566</v>
          </cell>
        </row>
        <row r="8638">
          <cell r="A8638" t="str">
            <v>Kaue Seratto de Campos</v>
          </cell>
          <cell r="B8638">
            <v>37019410</v>
          </cell>
          <cell r="C8638">
            <v>20078394</v>
          </cell>
          <cell r="D8638">
            <v>45566</v>
          </cell>
        </row>
        <row r="8639">
          <cell r="A8639" t="str">
            <v>Augusto Ferreira Dias</v>
          </cell>
          <cell r="B8639">
            <v>37019414</v>
          </cell>
          <cell r="C8639">
            <v>20078398</v>
          </cell>
          <cell r="D8639">
            <v>45566</v>
          </cell>
        </row>
        <row r="8640">
          <cell r="A8640" t="str">
            <v>William de Oliveira Campos Costa</v>
          </cell>
          <cell r="B8640">
            <v>37019416</v>
          </cell>
          <cell r="C8640">
            <v>20078400</v>
          </cell>
          <cell r="D8640">
            <v>45566</v>
          </cell>
        </row>
        <row r="8641">
          <cell r="A8641" t="str">
            <v>Douglas Alves Pereira</v>
          </cell>
          <cell r="B8641">
            <v>37019417</v>
          </cell>
          <cell r="C8641">
            <v>20078401</v>
          </cell>
          <cell r="D8641">
            <v>45566</v>
          </cell>
        </row>
        <row r="8642">
          <cell r="A8642" t="str">
            <v>Driele Mayara da Silva Santos</v>
          </cell>
          <cell r="B8642">
            <v>37019420</v>
          </cell>
          <cell r="C8642">
            <v>20078404</v>
          </cell>
          <cell r="D8642">
            <v>45566</v>
          </cell>
        </row>
        <row r="8643">
          <cell r="A8643" t="str">
            <v>Luciano Ferreira Leite</v>
          </cell>
          <cell r="B8643">
            <v>37019421</v>
          </cell>
          <cell r="C8643">
            <v>20078405</v>
          </cell>
          <cell r="D8643">
            <v>45566</v>
          </cell>
        </row>
        <row r="8644">
          <cell r="A8644" t="str">
            <v>Franciele Lacerda Amâncio</v>
          </cell>
          <cell r="B8644">
            <v>37019422</v>
          </cell>
          <cell r="C8644">
            <v>20078406</v>
          </cell>
          <cell r="D8644">
            <v>45566</v>
          </cell>
        </row>
        <row r="8645">
          <cell r="A8645" t="str">
            <v>Kailainy Farias do Nascimento</v>
          </cell>
          <cell r="B8645">
            <v>37019423</v>
          </cell>
          <cell r="C8645">
            <v>20078407</v>
          </cell>
          <cell r="D8645">
            <v>45566</v>
          </cell>
        </row>
        <row r="8646">
          <cell r="A8646" t="str">
            <v>Celso Daniel Fraga Moreira</v>
          </cell>
          <cell r="B8646">
            <v>37019404</v>
          </cell>
          <cell r="C8646">
            <v>20062581</v>
          </cell>
          <cell r="D8646">
            <v>45566</v>
          </cell>
        </row>
        <row r="8647">
          <cell r="A8647" t="str">
            <v>Wellington Aparecido Reis</v>
          </cell>
          <cell r="B8647">
            <v>37019413</v>
          </cell>
          <cell r="C8647">
            <v>20078397</v>
          </cell>
          <cell r="D8647">
            <v>45566</v>
          </cell>
        </row>
        <row r="8648">
          <cell r="A8648" t="str">
            <v>Ailton De Almeida</v>
          </cell>
          <cell r="B8648">
            <v>37019415</v>
          </cell>
          <cell r="C8648">
            <v>20078399</v>
          </cell>
          <cell r="D8648">
            <v>45566</v>
          </cell>
        </row>
        <row r="8649">
          <cell r="A8649" t="str">
            <v>Alisson Rafael Patriota Silva</v>
          </cell>
          <cell r="B8649">
            <v>37019418</v>
          </cell>
          <cell r="C8649">
            <v>20078402</v>
          </cell>
          <cell r="D8649">
            <v>45566</v>
          </cell>
        </row>
        <row r="8650">
          <cell r="A8650" t="str">
            <v>Leticia Cristina Da silva</v>
          </cell>
          <cell r="B8650">
            <v>37019419</v>
          </cell>
          <cell r="C8650">
            <v>20078403</v>
          </cell>
          <cell r="D8650">
            <v>45566</v>
          </cell>
        </row>
        <row r="8651">
          <cell r="A8651" t="str">
            <v>Jhonny Alves de Brito</v>
          </cell>
          <cell r="B8651">
            <v>37019425</v>
          </cell>
          <cell r="C8651">
            <v>20078409</v>
          </cell>
          <cell r="D8651">
            <v>45566</v>
          </cell>
        </row>
        <row r="8652">
          <cell r="A8652" t="str">
            <v>Erica Dias Franzini Cerqueira</v>
          </cell>
          <cell r="B8652">
            <v>37019426</v>
          </cell>
          <cell r="C8652">
            <v>20078410</v>
          </cell>
          <cell r="D8652">
            <v>45566</v>
          </cell>
        </row>
        <row r="8653">
          <cell r="A8653" t="str">
            <v>Luciana Pascoalina Rinaldi de Oliveira</v>
          </cell>
          <cell r="B8653">
            <v>37019429</v>
          </cell>
          <cell r="C8653">
            <v>20078413</v>
          </cell>
          <cell r="D8653">
            <v>45566</v>
          </cell>
        </row>
        <row r="8654">
          <cell r="A8654" t="str">
            <v>Luiz Vagner Marreiro Sousa</v>
          </cell>
          <cell r="B8654">
            <v>37019430</v>
          </cell>
          <cell r="C8654">
            <v>20078414</v>
          </cell>
          <cell r="D8654">
            <v>45566</v>
          </cell>
        </row>
        <row r="8655">
          <cell r="A8655" t="str">
            <v>Thiago Henrique Duarte</v>
          </cell>
          <cell r="B8655">
            <v>37019424</v>
          </cell>
          <cell r="C8655">
            <v>20078408</v>
          </cell>
          <cell r="D8655">
            <v>45566</v>
          </cell>
        </row>
        <row r="8656">
          <cell r="A8656" t="str">
            <v>Ana Paula Souza Do Amaral</v>
          </cell>
          <cell r="B8656">
            <v>37019427</v>
          </cell>
          <cell r="C8656">
            <v>20078411</v>
          </cell>
          <cell r="D8656">
            <v>45566</v>
          </cell>
        </row>
        <row r="8657">
          <cell r="A8657" t="str">
            <v>Gabrieli Vitória Belizário Gonçalves</v>
          </cell>
          <cell r="B8657">
            <v>37019434</v>
          </cell>
          <cell r="C8657">
            <v>20078418</v>
          </cell>
          <cell r="D8657">
            <v>45566</v>
          </cell>
        </row>
        <row r="8658">
          <cell r="A8658" t="str">
            <v>Laurival Da Silva Ramos Filho</v>
          </cell>
          <cell r="B8658">
            <v>37019435</v>
          </cell>
          <cell r="C8658">
            <v>20078419</v>
          </cell>
          <cell r="D8658">
            <v>45566</v>
          </cell>
        </row>
        <row r="8659">
          <cell r="A8659" t="str">
            <v>Angela Maria Paulino Moreira</v>
          </cell>
          <cell r="B8659">
            <v>37019436</v>
          </cell>
          <cell r="C8659">
            <v>20078420</v>
          </cell>
          <cell r="D8659">
            <v>45566</v>
          </cell>
        </row>
        <row r="8660">
          <cell r="A8660" t="str">
            <v>Jeferson Mota De Oliveira</v>
          </cell>
          <cell r="B8660">
            <v>37019439</v>
          </cell>
          <cell r="C8660">
            <v>20078423</v>
          </cell>
          <cell r="D8660">
            <v>45566</v>
          </cell>
        </row>
        <row r="8661">
          <cell r="A8661" t="str">
            <v>Isabela Drago</v>
          </cell>
          <cell r="B8661">
            <v>37019440</v>
          </cell>
          <cell r="C8661">
            <v>20078424</v>
          </cell>
          <cell r="D8661">
            <v>45566</v>
          </cell>
        </row>
        <row r="8662">
          <cell r="A8662" t="str">
            <v>Marcos Paulo dos Santos</v>
          </cell>
          <cell r="B8662">
            <v>37019444</v>
          </cell>
          <cell r="C8662">
            <v>20078428</v>
          </cell>
          <cell r="D8662">
            <v>45566</v>
          </cell>
        </row>
        <row r="8663">
          <cell r="A8663" t="str">
            <v>João Vitor de Oliveira</v>
          </cell>
          <cell r="B8663">
            <v>37019450</v>
          </cell>
          <cell r="C8663">
            <v>20078434</v>
          </cell>
          <cell r="D8663">
            <v>45566</v>
          </cell>
        </row>
        <row r="8664">
          <cell r="A8664" t="str">
            <v>Zenildo Gomes Feitoza</v>
          </cell>
          <cell r="B8664">
            <v>37019452</v>
          </cell>
          <cell r="C8664">
            <v>20078436</v>
          </cell>
          <cell r="D8664">
            <v>45566</v>
          </cell>
        </row>
        <row r="8665">
          <cell r="A8665" t="str">
            <v>Amanda de Cássia dos Santos Melo</v>
          </cell>
          <cell r="B8665">
            <v>37019432</v>
          </cell>
          <cell r="C8665">
            <v>20078416</v>
          </cell>
          <cell r="D8665">
            <v>45566</v>
          </cell>
        </row>
        <row r="8666">
          <cell r="A8666" t="str">
            <v>Anyelle Moreira Melo do Nascimento</v>
          </cell>
          <cell r="B8666">
            <v>37019433</v>
          </cell>
          <cell r="C8666">
            <v>20078417</v>
          </cell>
          <cell r="D8666">
            <v>45566</v>
          </cell>
        </row>
        <row r="8667">
          <cell r="A8667" t="str">
            <v>Luiz Celeste Gamba</v>
          </cell>
          <cell r="B8667">
            <v>37019437</v>
          </cell>
          <cell r="C8667">
            <v>20078421</v>
          </cell>
          <cell r="D8667">
            <v>45566</v>
          </cell>
        </row>
        <row r="8668">
          <cell r="A8668" t="str">
            <v>Andreia Cecília Ravanelli Salvioni</v>
          </cell>
          <cell r="B8668">
            <v>37019438</v>
          </cell>
          <cell r="C8668">
            <v>20078422</v>
          </cell>
          <cell r="D8668">
            <v>45566</v>
          </cell>
        </row>
        <row r="8669">
          <cell r="A8669" t="str">
            <v>Gilmar Ferreira Sampaio</v>
          </cell>
          <cell r="B8669">
            <v>37019441</v>
          </cell>
          <cell r="C8669">
            <v>20078425</v>
          </cell>
          <cell r="D8669">
            <v>45566</v>
          </cell>
        </row>
        <row r="8670">
          <cell r="A8670" t="str">
            <v>Robson De Oliveira Dos Santos</v>
          </cell>
          <cell r="B8670">
            <v>37019442</v>
          </cell>
          <cell r="C8670">
            <v>20078426</v>
          </cell>
          <cell r="D8670">
            <v>45566</v>
          </cell>
        </row>
        <row r="8671">
          <cell r="A8671" t="str">
            <v>Adenilson Siqueira Jorge</v>
          </cell>
          <cell r="B8671">
            <v>37019443</v>
          </cell>
          <cell r="C8671">
            <v>20078427</v>
          </cell>
          <cell r="D8671">
            <v>45566</v>
          </cell>
        </row>
        <row r="8672">
          <cell r="A8672" t="str">
            <v>Leonardo Augusto Pereira Escobar</v>
          </cell>
          <cell r="B8672">
            <v>37019445</v>
          </cell>
          <cell r="C8672">
            <v>20078429</v>
          </cell>
          <cell r="D8672">
            <v>45566</v>
          </cell>
        </row>
        <row r="8673">
          <cell r="A8673" t="str">
            <v>Luciano Henrique Lopes Vieira Lourenço</v>
          </cell>
          <cell r="B8673">
            <v>37019446</v>
          </cell>
          <cell r="C8673">
            <v>20078430</v>
          </cell>
          <cell r="D8673">
            <v>45566</v>
          </cell>
        </row>
        <row r="8674">
          <cell r="A8674" t="str">
            <v>Julio Cezar Aroca Mendes Cordeiro</v>
          </cell>
          <cell r="B8674">
            <v>37019447</v>
          </cell>
          <cell r="C8674">
            <v>20078431</v>
          </cell>
          <cell r="D8674">
            <v>45566</v>
          </cell>
        </row>
        <row r="8675">
          <cell r="A8675" t="str">
            <v>Eliani Cristina Cortes</v>
          </cell>
          <cell r="B8675">
            <v>37019448</v>
          </cell>
          <cell r="C8675">
            <v>20078432</v>
          </cell>
          <cell r="D8675">
            <v>45566</v>
          </cell>
        </row>
        <row r="8676">
          <cell r="A8676" t="str">
            <v>Fernando Henrique Lourenço</v>
          </cell>
          <cell r="B8676">
            <v>37019449</v>
          </cell>
          <cell r="C8676">
            <v>20078433</v>
          </cell>
          <cell r="D8676">
            <v>45566</v>
          </cell>
        </row>
        <row r="8677">
          <cell r="A8677" t="str">
            <v>Devanir Narciso</v>
          </cell>
          <cell r="B8677">
            <v>37018710</v>
          </cell>
          <cell r="C8677">
            <v>20074878</v>
          </cell>
          <cell r="D8677">
            <v>45510</v>
          </cell>
        </row>
        <row r="8678">
          <cell r="A8678" t="str">
            <v>Fabio Junior Almeida</v>
          </cell>
          <cell r="B8678">
            <v>37019454</v>
          </cell>
          <cell r="C8678">
            <v>20078438</v>
          </cell>
          <cell r="D8678">
            <v>45566</v>
          </cell>
        </row>
        <row r="8679">
          <cell r="A8679" t="str">
            <v>Antonio Leite</v>
          </cell>
          <cell r="B8679">
            <v>37019455</v>
          </cell>
          <cell r="C8679">
            <v>20078439</v>
          </cell>
          <cell r="D8679">
            <v>45566</v>
          </cell>
        </row>
        <row r="8680">
          <cell r="A8680" t="str">
            <v>Livia Maria Fava</v>
          </cell>
          <cell r="B8680">
            <v>37019456</v>
          </cell>
          <cell r="C8680">
            <v>20078440</v>
          </cell>
          <cell r="D8680">
            <v>45566</v>
          </cell>
        </row>
        <row r="8681">
          <cell r="A8681" t="str">
            <v>Patrícia Fernanda Silva</v>
          </cell>
          <cell r="B8681">
            <v>37019458</v>
          </cell>
          <cell r="C8681">
            <v>20078442</v>
          </cell>
          <cell r="D8681">
            <v>45566</v>
          </cell>
        </row>
        <row r="8682">
          <cell r="A8682" t="str">
            <v>Jean Francis Niro</v>
          </cell>
          <cell r="B8682">
            <v>37018077</v>
          </cell>
          <cell r="C8682">
            <v>20071745</v>
          </cell>
          <cell r="D8682">
            <v>45453</v>
          </cell>
        </row>
        <row r="8683">
          <cell r="A8683" t="str">
            <v>Marcus tulio Vaz de Lima</v>
          </cell>
          <cell r="B8683">
            <v>37019453</v>
          </cell>
          <cell r="C8683">
            <v>20078437</v>
          </cell>
          <cell r="D8683">
            <v>45566</v>
          </cell>
        </row>
        <row r="8684">
          <cell r="A8684" t="str">
            <v>Marcilio Aparecido Marques Dos Santos Primo</v>
          </cell>
          <cell r="B8684">
            <v>37018074</v>
          </cell>
          <cell r="C8684">
            <v>20071742</v>
          </cell>
          <cell r="D8684">
            <v>45453</v>
          </cell>
        </row>
        <row r="8685">
          <cell r="A8685" t="str">
            <v>Paulo Henrique Batista Ferreira</v>
          </cell>
          <cell r="B8685">
            <v>37019459</v>
          </cell>
          <cell r="C8685">
            <v>20078581</v>
          </cell>
          <cell r="D8685">
            <v>45566</v>
          </cell>
        </row>
        <row r="8686">
          <cell r="A8686" t="str">
            <v>Gabriel Aragao Martins</v>
          </cell>
          <cell r="B8686">
            <v>37010996</v>
          </cell>
          <cell r="C8686">
            <v>20041224</v>
          </cell>
          <cell r="D8686">
            <v>44970</v>
          </cell>
        </row>
        <row r="8687">
          <cell r="A8687" t="str">
            <v>Luciana Garcia De Sa</v>
          </cell>
          <cell r="B8687">
            <v>37013586</v>
          </cell>
          <cell r="C8687">
            <v>20055816</v>
          </cell>
          <cell r="D8687">
            <v>45125</v>
          </cell>
        </row>
        <row r="8688">
          <cell r="A8688" t="str">
            <v>Daylan Do Nascimento Miranda</v>
          </cell>
          <cell r="B8688">
            <v>37008915</v>
          </cell>
          <cell r="C8688">
            <v>20035272</v>
          </cell>
          <cell r="D8688">
            <v>44777</v>
          </cell>
        </row>
        <row r="8689">
          <cell r="A8689" t="str">
            <v>Elias Paulo da Silva</v>
          </cell>
          <cell r="B8689">
            <v>37013006</v>
          </cell>
          <cell r="C8689">
            <v>20052425</v>
          </cell>
          <cell r="D8689">
            <v>45083</v>
          </cell>
        </row>
        <row r="8690">
          <cell r="A8690" t="str">
            <v>Valmir Aparecido Da Costa</v>
          </cell>
          <cell r="B8690">
            <v>37014613</v>
          </cell>
          <cell r="C8690">
            <v>20059351</v>
          </cell>
          <cell r="D8690">
            <v>45188</v>
          </cell>
        </row>
        <row r="8691">
          <cell r="A8691" t="str">
            <v>Vinicius Pizzo Ferreira</v>
          </cell>
          <cell r="B8691">
            <v>37012530</v>
          </cell>
          <cell r="C8691">
            <v>20050325</v>
          </cell>
          <cell r="D8691">
            <v>45069</v>
          </cell>
        </row>
        <row r="8692">
          <cell r="A8692" t="str">
            <v>Rafael Alves De Oliveira</v>
          </cell>
          <cell r="B8692">
            <v>37001861</v>
          </cell>
          <cell r="C8692">
            <v>20009791</v>
          </cell>
          <cell r="D8692">
            <v>42758</v>
          </cell>
        </row>
        <row r="8693">
          <cell r="A8693" t="str">
            <v>Carlos Augusto Balbino</v>
          </cell>
          <cell r="B8693">
            <v>37013444</v>
          </cell>
          <cell r="C8693">
            <v>20054940</v>
          </cell>
          <cell r="D8693">
            <v>45125</v>
          </cell>
        </row>
        <row r="8694">
          <cell r="A8694" t="str">
            <v>Dalva Cristina Rodrigues Ramos</v>
          </cell>
          <cell r="B8694">
            <v>37014689</v>
          </cell>
          <cell r="C8694">
            <v>20059448</v>
          </cell>
          <cell r="D8694">
            <v>45188</v>
          </cell>
        </row>
        <row r="8695">
          <cell r="A8695" t="str">
            <v>Ana Paula De Jesus Teles</v>
          </cell>
          <cell r="B8695">
            <v>37014637</v>
          </cell>
          <cell r="C8695">
            <v>20059376</v>
          </cell>
          <cell r="D8695">
            <v>45188</v>
          </cell>
        </row>
        <row r="8696">
          <cell r="A8696" t="str">
            <v>Tayson Felix Bastos</v>
          </cell>
          <cell r="B8696">
            <v>37014679</v>
          </cell>
          <cell r="C8696">
            <v>20059438</v>
          </cell>
          <cell r="D8696">
            <v>45188</v>
          </cell>
        </row>
        <row r="8697">
          <cell r="A8697" t="str">
            <v>Thais Fantinel Malta</v>
          </cell>
          <cell r="B8697">
            <v>37011143</v>
          </cell>
          <cell r="C8697">
            <v>20042374</v>
          </cell>
          <cell r="D8697">
            <v>44970</v>
          </cell>
        </row>
        <row r="8698">
          <cell r="A8698" t="str">
            <v>Leonardo De Sousa Oliveira Prudente</v>
          </cell>
          <cell r="B8698">
            <v>37009584</v>
          </cell>
          <cell r="C8698">
            <v>20035347</v>
          </cell>
          <cell r="D8698">
            <v>44837</v>
          </cell>
        </row>
        <row r="8699">
          <cell r="A8699" t="str">
            <v>Juliano Mazzetti De Lima</v>
          </cell>
          <cell r="B8699">
            <v>37006111</v>
          </cell>
          <cell r="C8699">
            <v>20016883</v>
          </cell>
          <cell r="D8699">
            <v>44417</v>
          </cell>
        </row>
        <row r="8700">
          <cell r="A8700" t="str">
            <v>Jean Carlos Dos Santos</v>
          </cell>
          <cell r="B8700">
            <v>37016427</v>
          </cell>
          <cell r="C8700">
            <v>20064046</v>
          </cell>
          <cell r="D8700">
            <v>45314</v>
          </cell>
        </row>
        <row r="8701">
          <cell r="A8701" t="str">
            <v>Regiane Camara Pereira Oliveira</v>
          </cell>
          <cell r="B8701">
            <v>37010187</v>
          </cell>
          <cell r="C8701">
            <v>20038584</v>
          </cell>
          <cell r="D8701">
            <v>44886</v>
          </cell>
        </row>
        <row r="8702">
          <cell r="A8702" t="str">
            <v>Gelson Santos Gomes</v>
          </cell>
          <cell r="B8702">
            <v>37012852</v>
          </cell>
          <cell r="C8702">
            <v>20051807</v>
          </cell>
          <cell r="D8702">
            <v>45082</v>
          </cell>
        </row>
        <row r="8703">
          <cell r="A8703" t="str">
            <v>Luciane Cristina Ribeiro</v>
          </cell>
          <cell r="B8703">
            <v>37015675</v>
          </cell>
          <cell r="C8703">
            <v>20063374</v>
          </cell>
          <cell r="D8703">
            <v>45307</v>
          </cell>
        </row>
        <row r="8704">
          <cell r="A8704" t="str">
            <v>Natan Goncalves De Oliveira Pereira</v>
          </cell>
          <cell r="B8704">
            <v>37011730</v>
          </cell>
          <cell r="C8704">
            <v>20045279</v>
          </cell>
          <cell r="D8704">
            <v>44998</v>
          </cell>
        </row>
        <row r="8705">
          <cell r="A8705" t="str">
            <v>Tiago De Oliveira Patuso</v>
          </cell>
          <cell r="B8705">
            <v>37004317</v>
          </cell>
          <cell r="C8705">
            <v>20009967</v>
          </cell>
          <cell r="D8705">
            <v>43864</v>
          </cell>
        </row>
        <row r="8706">
          <cell r="A8706" t="str">
            <v>Silvana Rodrigues De Sousa</v>
          </cell>
          <cell r="B8706">
            <v>37016436</v>
          </cell>
          <cell r="C8706">
            <v>20064175</v>
          </cell>
          <cell r="D8706">
            <v>45314</v>
          </cell>
        </row>
        <row r="8707">
          <cell r="A8707" t="str">
            <v>Dieimes Ribeiro Resende</v>
          </cell>
          <cell r="B8707">
            <v>37008093</v>
          </cell>
          <cell r="C8707">
            <v>20026787</v>
          </cell>
          <cell r="D8707">
            <v>44713</v>
          </cell>
        </row>
        <row r="8708">
          <cell r="A8708" t="str">
            <v>Maycon Lucas Flores da Silva</v>
          </cell>
          <cell r="B8708">
            <v>37010627</v>
          </cell>
          <cell r="C8708">
            <v>20040542</v>
          </cell>
          <cell r="D8708">
            <v>44930</v>
          </cell>
        </row>
        <row r="8709">
          <cell r="A8709" t="str">
            <v>Felipe Giroto Santos</v>
          </cell>
          <cell r="B8709">
            <v>37004486</v>
          </cell>
          <cell r="C8709">
            <v>20009073</v>
          </cell>
          <cell r="D8709">
            <v>43906</v>
          </cell>
        </row>
        <row r="8710">
          <cell r="A8710" t="str">
            <v>Maycon Dias Leal</v>
          </cell>
          <cell r="B8710">
            <v>37013782</v>
          </cell>
          <cell r="C8710">
            <v>20056433</v>
          </cell>
          <cell r="D8710">
            <v>45139</v>
          </cell>
        </row>
        <row r="8711">
          <cell r="A8711" t="str">
            <v>Gustavo Da Silva</v>
          </cell>
          <cell r="B8711">
            <v>37018080</v>
          </cell>
          <cell r="C8711">
            <v>20071748</v>
          </cell>
          <cell r="D8711">
            <v>45453</v>
          </cell>
        </row>
        <row r="8712">
          <cell r="A8712" t="str">
            <v>Sandra Regina Carriel</v>
          </cell>
          <cell r="B8712" t="e">
            <v>#N/A</v>
          </cell>
          <cell r="C8712">
            <v>20078654</v>
          </cell>
          <cell r="D8712" t="e">
            <v>#N/A</v>
          </cell>
        </row>
        <row r="8713">
          <cell r="A8713" t="str">
            <v>Frank Cel de Souza Lira</v>
          </cell>
          <cell r="B8713">
            <v>37010940</v>
          </cell>
          <cell r="C8713">
            <v>20041612</v>
          </cell>
          <cell r="D8713">
            <v>44949</v>
          </cell>
        </row>
        <row r="8714">
          <cell r="A8714" t="str">
            <v>Diogo Da Silva Matos</v>
          </cell>
          <cell r="B8714">
            <v>37003022</v>
          </cell>
          <cell r="C8714">
            <v>20008913</v>
          </cell>
          <cell r="D8714">
            <v>43542</v>
          </cell>
        </row>
        <row r="8715">
          <cell r="A8715" t="str">
            <v>Gabriel Quadros de Castilho</v>
          </cell>
          <cell r="B8715">
            <v>37014806</v>
          </cell>
          <cell r="C8715">
            <v>20060070</v>
          </cell>
          <cell r="D8715">
            <v>45202</v>
          </cell>
        </row>
        <row r="8716">
          <cell r="A8716" t="str">
            <v>Renan Spin</v>
          </cell>
          <cell r="B8716">
            <v>37009449</v>
          </cell>
          <cell r="C8716">
            <v>20034038</v>
          </cell>
          <cell r="D8716">
            <v>44823</v>
          </cell>
        </row>
        <row r="8717">
          <cell r="A8717" t="str">
            <v>Thiago Paccola Telatin</v>
          </cell>
          <cell r="B8717">
            <v>37003132</v>
          </cell>
          <cell r="C8717">
            <v>20009959</v>
          </cell>
          <cell r="D8717">
            <v>43577</v>
          </cell>
        </row>
        <row r="8718">
          <cell r="A8718" t="str">
            <v>Diego Felipe Algave Anconi</v>
          </cell>
          <cell r="B8718">
            <v>37001199</v>
          </cell>
          <cell r="C8718">
            <v>20008907</v>
          </cell>
          <cell r="D8718">
            <v>41456</v>
          </cell>
        </row>
        <row r="8719">
          <cell r="A8719" t="str">
            <v>Daniele Maximo Da Silva</v>
          </cell>
          <cell r="B8719">
            <v>37013372</v>
          </cell>
          <cell r="C8719">
            <v>20054029</v>
          </cell>
          <cell r="D8719">
            <v>45118</v>
          </cell>
        </row>
        <row r="8720">
          <cell r="A8720" t="str">
            <v>Pedro Henrique Soares</v>
          </cell>
          <cell r="B8720">
            <v>37012644</v>
          </cell>
          <cell r="C8720">
            <v>20051151</v>
          </cell>
          <cell r="D8720">
            <v>45083</v>
          </cell>
        </row>
        <row r="8721">
          <cell r="A8721" t="str">
            <v>Sergio Peixoto Rodrigues</v>
          </cell>
          <cell r="B8721" t="e">
            <v>#N/A</v>
          </cell>
          <cell r="C8721">
            <v>20078652</v>
          </cell>
          <cell r="D8721" t="e">
            <v>#N/A</v>
          </cell>
        </row>
        <row r="8722">
          <cell r="A8722" t="str">
            <v>Gabriel de Souza Silva</v>
          </cell>
          <cell r="B8722" t="e">
            <v>#N/A</v>
          </cell>
          <cell r="C8722">
            <v>20078656</v>
          </cell>
          <cell r="D8722" t="e">
            <v>#N/A</v>
          </cell>
        </row>
        <row r="8723">
          <cell r="A8723" t="str">
            <v>Nathany Adrielli Ribeiro Zambuzzi</v>
          </cell>
          <cell r="B8723" t="e">
            <v>#N/A</v>
          </cell>
          <cell r="C8723">
            <v>20078658</v>
          </cell>
          <cell r="D8723" t="e">
            <v>#N/A</v>
          </cell>
        </row>
        <row r="8724">
          <cell r="A8724" t="str">
            <v>Mayra Souza Florêncio Soares</v>
          </cell>
          <cell r="B8724" t="e">
            <v>#N/A</v>
          </cell>
          <cell r="C8724">
            <v>20078660</v>
          </cell>
          <cell r="D8724" t="e">
            <v>#N/A</v>
          </cell>
        </row>
        <row r="8725">
          <cell r="A8725" t="str">
            <v>Itamar Magela Severiano</v>
          </cell>
          <cell r="B8725" t="e">
            <v>#N/A</v>
          </cell>
          <cell r="C8725">
            <v>20078661</v>
          </cell>
          <cell r="D8725" t="e">
            <v>#N/A</v>
          </cell>
        </row>
        <row r="8726">
          <cell r="A8726" t="str">
            <v>Luana Cristina Miranda de Oliveira</v>
          </cell>
          <cell r="B8726" t="e">
            <v>#N/A</v>
          </cell>
          <cell r="C8726">
            <v>20078663</v>
          </cell>
          <cell r="D8726" t="e">
            <v>#N/A</v>
          </cell>
        </row>
        <row r="8727">
          <cell r="A8727" t="str">
            <v>Keylla Cristine Pardin Pedro</v>
          </cell>
          <cell r="B8727" t="e">
            <v>#N/A</v>
          </cell>
          <cell r="C8727">
            <v>20078665</v>
          </cell>
          <cell r="D8727" t="e">
            <v>#N/A</v>
          </cell>
        </row>
        <row r="8728">
          <cell r="A8728" t="str">
            <v>Vanderlei Luiz de Oliveira</v>
          </cell>
          <cell r="B8728" t="e">
            <v>#N/A</v>
          </cell>
          <cell r="C8728">
            <v>20078667</v>
          </cell>
          <cell r="D8728" t="e">
            <v>#N/A</v>
          </cell>
        </row>
        <row r="8729">
          <cell r="A8729" t="str">
            <v>Magno Vieira Resende dos Santos</v>
          </cell>
          <cell r="B8729" t="e">
            <v>#N/A</v>
          </cell>
          <cell r="C8729">
            <v>20078668</v>
          </cell>
          <cell r="D8729" t="e">
            <v>#N/A</v>
          </cell>
        </row>
        <row r="8730">
          <cell r="A8730" t="str">
            <v>Vitor Luciano Malaquias Rabello</v>
          </cell>
          <cell r="B8730" t="e">
            <v>#N/A</v>
          </cell>
          <cell r="C8730">
            <v>20078671</v>
          </cell>
          <cell r="D8730" t="e">
            <v>#N/A</v>
          </cell>
        </row>
        <row r="8731">
          <cell r="A8731" t="str">
            <v>Jhonatan Torquato Farias</v>
          </cell>
          <cell r="B8731" t="e">
            <v>#N/A</v>
          </cell>
          <cell r="C8731">
            <v>20078674</v>
          </cell>
          <cell r="D8731" t="e">
            <v>#N/A</v>
          </cell>
        </row>
        <row r="8732">
          <cell r="A8732" t="str">
            <v>Bruno Godoy Borges</v>
          </cell>
          <cell r="B8732" t="e">
            <v>#N/A</v>
          </cell>
          <cell r="C8732">
            <v>20078670</v>
          </cell>
          <cell r="D8732" t="e">
            <v>#N/A</v>
          </cell>
        </row>
        <row r="8733">
          <cell r="A8733" t="str">
            <v>Maikel Daniel Rodriguez Solano</v>
          </cell>
          <cell r="B8733" t="e">
            <v>#N/A</v>
          </cell>
          <cell r="C8733">
            <v>20078675</v>
          </cell>
          <cell r="D8733" t="e">
            <v>#N/A</v>
          </cell>
        </row>
        <row r="8734">
          <cell r="A8734" t="str">
            <v>Natalia Cristina Tosi Bernardino</v>
          </cell>
          <cell r="B8734" t="e">
            <v>#N/A</v>
          </cell>
          <cell r="C8734">
            <v>20078677</v>
          </cell>
          <cell r="D8734" t="e">
            <v>#N/A</v>
          </cell>
        </row>
        <row r="8735">
          <cell r="A8735" t="str">
            <v>Eduardo Jose Pires de Arruda</v>
          </cell>
          <cell r="B8735" t="e">
            <v>#N/A</v>
          </cell>
          <cell r="C8735">
            <v>20078679</v>
          </cell>
          <cell r="D8735" t="e">
            <v>#N/A</v>
          </cell>
        </row>
        <row r="8736">
          <cell r="A8736" t="str">
            <v>Sivaldo Barbosa De Freitas</v>
          </cell>
          <cell r="B8736" t="e">
            <v>#N/A</v>
          </cell>
          <cell r="C8736">
            <v>20078680</v>
          </cell>
          <cell r="D8736" t="e">
            <v>#N/A</v>
          </cell>
        </row>
        <row r="8737">
          <cell r="A8737" t="str">
            <v>Luis Paulo Ribeiro Laureano</v>
          </cell>
          <cell r="B8737" t="e">
            <v>#N/A</v>
          </cell>
          <cell r="C8737">
            <v>20078682</v>
          </cell>
          <cell r="D8737" t="e">
            <v>#N/A</v>
          </cell>
        </row>
        <row r="8738">
          <cell r="A8738" t="str">
            <v>Antonio Carlos De Almeida</v>
          </cell>
          <cell r="B8738" t="e">
            <v>#N/A</v>
          </cell>
          <cell r="C8738">
            <v>20078683</v>
          </cell>
          <cell r="D8738" t="e">
            <v>#N/A</v>
          </cell>
        </row>
        <row r="8739">
          <cell r="A8739" t="str">
            <v>Alessandra Heloísa de Carvalho Freitas</v>
          </cell>
          <cell r="B8739" t="e">
            <v>#N/A</v>
          </cell>
          <cell r="C8739">
            <v>20078678</v>
          </cell>
          <cell r="D8739" t="e">
            <v>#N/A</v>
          </cell>
        </row>
        <row r="8740">
          <cell r="A8740" t="str">
            <v>Débora Regina da Cunha</v>
          </cell>
          <cell r="B8740" t="e">
            <v>#N/A</v>
          </cell>
          <cell r="C8740">
            <v>20078684</v>
          </cell>
          <cell r="D8740" t="e">
            <v>#N/A</v>
          </cell>
        </row>
        <row r="8741">
          <cell r="A8741" t="str">
            <v>Guilherme Dos Santos Silva</v>
          </cell>
          <cell r="B8741">
            <v>37018081</v>
          </cell>
          <cell r="C8741">
            <v>20071749</v>
          </cell>
          <cell r="D8741">
            <v>45453</v>
          </cell>
        </row>
        <row r="8742">
          <cell r="A8742" t="str">
            <v>Thiago Da Silva Gomes</v>
          </cell>
          <cell r="B8742">
            <v>37014647</v>
          </cell>
          <cell r="C8742">
            <v>20059386</v>
          </cell>
          <cell r="D8742">
            <v>45188</v>
          </cell>
        </row>
        <row r="8743">
          <cell r="A8743" t="str">
            <v>Tiago Gabriel Barboza</v>
          </cell>
          <cell r="B8743" t="e">
            <v>#N/A</v>
          </cell>
          <cell r="C8743">
            <v>20078708</v>
          </cell>
          <cell r="D8743" t="e">
            <v>#N/A</v>
          </cell>
        </row>
        <row r="8744">
          <cell r="A8744" t="str">
            <v>Rodrigo Luis de Oliveira</v>
          </cell>
          <cell r="B8744" t="e">
            <v>#N/A</v>
          </cell>
          <cell r="C8744">
            <v>20078709</v>
          </cell>
          <cell r="D8744" t="e">
            <v>#N/A</v>
          </cell>
        </row>
        <row r="8745">
          <cell r="A8745" t="str">
            <v>Jorge Henrique Cabral Souza</v>
          </cell>
          <cell r="B8745" t="e">
            <v>#N/A</v>
          </cell>
          <cell r="C8745">
            <v>20078712</v>
          </cell>
          <cell r="D8745" t="e">
            <v>#N/A</v>
          </cell>
        </row>
        <row r="8746">
          <cell r="A8746" t="str">
            <v>Laudelino Ribas De Oliveira Matos</v>
          </cell>
          <cell r="B8746">
            <v>37016671</v>
          </cell>
          <cell r="C8746">
            <v>20064772</v>
          </cell>
          <cell r="D8746">
            <v>45342</v>
          </cell>
        </row>
        <row r="8747">
          <cell r="A8747" t="str">
            <v>Murilo Cesar Cordeiro</v>
          </cell>
          <cell r="B8747">
            <v>37000460</v>
          </cell>
          <cell r="C8747">
            <v>20009705</v>
          </cell>
          <cell r="D8747">
            <v>38740</v>
          </cell>
        </row>
        <row r="8748">
          <cell r="A8748" t="str">
            <v>Julio Cesar De Godoy</v>
          </cell>
          <cell r="B8748">
            <v>37006817</v>
          </cell>
          <cell r="C8748">
            <v>20019994</v>
          </cell>
          <cell r="D8748">
            <v>44531</v>
          </cell>
        </row>
        <row r="8749">
          <cell r="A8749" t="str">
            <v>Mailon Henrique Rocha Moreira</v>
          </cell>
          <cell r="B8749">
            <v>37005328</v>
          </cell>
          <cell r="C8749">
            <v>20015973</v>
          </cell>
          <cell r="D8749">
            <v>44228</v>
          </cell>
        </row>
        <row r="8750">
          <cell r="A8750" t="str">
            <v>Jefferson Carlos Stati</v>
          </cell>
          <cell r="B8750">
            <v>37013997</v>
          </cell>
          <cell r="C8750">
            <v>20057487</v>
          </cell>
          <cell r="D8750">
            <v>45153</v>
          </cell>
        </row>
        <row r="8751">
          <cell r="A8751" t="str">
            <v>Denis Dagoberto Dos Santos</v>
          </cell>
          <cell r="B8751">
            <v>37002763</v>
          </cell>
          <cell r="C8751">
            <v>20008894</v>
          </cell>
          <cell r="D8751">
            <v>43472</v>
          </cell>
        </row>
        <row r="8752">
          <cell r="A8752" t="str">
            <v>Carlos Roberto Laurentino</v>
          </cell>
          <cell r="B8752">
            <v>37014885</v>
          </cell>
          <cell r="C8752">
            <v>20060472</v>
          </cell>
          <cell r="D8752">
            <v>45209</v>
          </cell>
        </row>
        <row r="8753">
          <cell r="A8753" t="str">
            <v>Daniela Maria Fuim</v>
          </cell>
          <cell r="B8753" t="e">
            <v>#N/A</v>
          </cell>
          <cell r="C8753">
            <v>20078705</v>
          </cell>
          <cell r="D8753" t="e">
            <v>#N/A</v>
          </cell>
        </row>
        <row r="8754">
          <cell r="A8754" t="str">
            <v>Ruan Carlos de Oliveira</v>
          </cell>
          <cell r="B8754" t="e">
            <v>#N/A</v>
          </cell>
          <cell r="C8754">
            <v>20078706</v>
          </cell>
          <cell r="D8754" t="e">
            <v>#N/A</v>
          </cell>
        </row>
        <row r="8755">
          <cell r="A8755" t="str">
            <v>David Rafael Martins Moreira De Castro</v>
          </cell>
          <cell r="B8755" t="e">
            <v>#N/A</v>
          </cell>
          <cell r="C8755">
            <v>20078707</v>
          </cell>
          <cell r="D8755" t="e">
            <v>#N/A</v>
          </cell>
        </row>
        <row r="8756">
          <cell r="A8756" t="str">
            <v>Leticia Castro Nogueira</v>
          </cell>
          <cell r="B8756">
            <v>37005600</v>
          </cell>
          <cell r="C8756">
            <v>20013621</v>
          </cell>
          <cell r="D8756">
            <v>44305</v>
          </cell>
        </row>
        <row r="8757">
          <cell r="A8757" t="str">
            <v>Igor Felipe Oliveira</v>
          </cell>
          <cell r="B8757" t="e">
            <v>#N/A</v>
          </cell>
          <cell r="C8757">
            <v>20078711</v>
          </cell>
          <cell r="D8757" t="e">
            <v>#N/A</v>
          </cell>
        </row>
        <row r="8758">
          <cell r="A8758" t="str">
            <v>Juliano Helio Da Silva</v>
          </cell>
          <cell r="B8758">
            <v>37016812</v>
          </cell>
          <cell r="C8758">
            <v>20065311</v>
          </cell>
          <cell r="D8758">
            <v>45356</v>
          </cell>
        </row>
        <row r="8759">
          <cell r="A8759" t="str">
            <v>Elton Jose Clementino</v>
          </cell>
          <cell r="B8759">
            <v>37008717</v>
          </cell>
          <cell r="C8759">
            <v>20029231</v>
          </cell>
          <cell r="D8759">
            <v>44760</v>
          </cell>
        </row>
        <row r="8760">
          <cell r="A8760" t="str">
            <v>Fabio Junior Dos Santos</v>
          </cell>
          <cell r="B8760">
            <v>37014591</v>
          </cell>
          <cell r="C8760">
            <v>20059179</v>
          </cell>
          <cell r="D8760">
            <v>45188</v>
          </cell>
        </row>
        <row r="8761">
          <cell r="A8761" t="str">
            <v>Cleberson De Oliveira Martins</v>
          </cell>
          <cell r="B8761">
            <v>37007330</v>
          </cell>
          <cell r="C8761">
            <v>20023698</v>
          </cell>
          <cell r="D8761">
            <v>44634</v>
          </cell>
        </row>
        <row r="8762">
          <cell r="A8762" t="str">
            <v>Jesus Nazareno De Moura</v>
          </cell>
          <cell r="B8762">
            <v>37016767</v>
          </cell>
          <cell r="C8762">
            <v>20065261</v>
          </cell>
          <cell r="D8762">
            <v>45356</v>
          </cell>
        </row>
        <row r="8763">
          <cell r="A8763" t="str">
            <v>Antonio Marcos Gomes Fernandes</v>
          </cell>
          <cell r="B8763">
            <v>37013758</v>
          </cell>
          <cell r="C8763">
            <v>20056393</v>
          </cell>
          <cell r="D8763">
            <v>45153</v>
          </cell>
        </row>
        <row r="8764">
          <cell r="A8764" t="str">
            <v>Murylo Rodrigues Oliveira</v>
          </cell>
          <cell r="B8764" t="e">
            <v>#N/A</v>
          </cell>
          <cell r="C8764">
            <v>20078716</v>
          </cell>
          <cell r="D8764" t="e">
            <v>#N/A</v>
          </cell>
        </row>
        <row r="8765">
          <cell r="A8765" t="str">
            <v>Cristhian Rafael Aguilera</v>
          </cell>
          <cell r="B8765" t="e">
            <v>#N/A</v>
          </cell>
          <cell r="C8765">
            <v>20078717</v>
          </cell>
          <cell r="D8765" t="e">
            <v>#N/A</v>
          </cell>
        </row>
        <row r="8766">
          <cell r="A8766" t="str">
            <v>Eduardo Fernando Marceneiro</v>
          </cell>
          <cell r="B8766" t="e">
            <v>#N/A</v>
          </cell>
          <cell r="C8766">
            <v>20078720</v>
          </cell>
          <cell r="D8766" t="e">
            <v>#N/A</v>
          </cell>
        </row>
        <row r="8767">
          <cell r="A8767" t="str">
            <v>CLAUDECI DE ALMEIDA CAMARGO</v>
          </cell>
          <cell r="B8767" t="e">
            <v>#N/A</v>
          </cell>
          <cell r="C8767">
            <v>20078724</v>
          </cell>
          <cell r="D8767" t="e">
            <v>#N/A</v>
          </cell>
        </row>
        <row r="8768">
          <cell r="A8768" t="str">
            <v>Daniel Marinho De Carvalho</v>
          </cell>
          <cell r="B8768" t="e">
            <v>#N/A</v>
          </cell>
          <cell r="C8768">
            <v>20078726</v>
          </cell>
          <cell r="D8768" t="e">
            <v>#N/A</v>
          </cell>
        </row>
        <row r="8769">
          <cell r="A8769" t="str">
            <v>DAVID GARCIA</v>
          </cell>
          <cell r="B8769" t="e">
            <v>#N/A</v>
          </cell>
          <cell r="C8769">
            <v>20078727</v>
          </cell>
          <cell r="D8769" t="e">
            <v>#N/A</v>
          </cell>
        </row>
        <row r="8770">
          <cell r="A8770" t="str">
            <v>Viviane Cristina Barboza Batista</v>
          </cell>
          <cell r="B8770" t="e">
            <v>#N/A</v>
          </cell>
          <cell r="C8770">
            <v>20078729</v>
          </cell>
          <cell r="D8770" t="e">
            <v>#N/A</v>
          </cell>
        </row>
        <row r="8771">
          <cell r="A8771" t="str">
            <v>Ygor Peixoto Leonel</v>
          </cell>
          <cell r="B8771">
            <v>37014029</v>
          </cell>
          <cell r="C8771">
            <v>20057440</v>
          </cell>
          <cell r="D8771">
            <v>45153</v>
          </cell>
        </row>
        <row r="8772">
          <cell r="A8772" t="str">
            <v>Rogelio Siqueira</v>
          </cell>
          <cell r="B8772">
            <v>37014379</v>
          </cell>
          <cell r="C8772">
            <v>20058514</v>
          </cell>
          <cell r="D8772">
            <v>45174</v>
          </cell>
        </row>
        <row r="8773">
          <cell r="A8773" t="str">
            <v>Claudineia Aparecida Firmino</v>
          </cell>
          <cell r="B8773" t="e">
            <v>#N/A</v>
          </cell>
          <cell r="C8773">
            <v>20078715</v>
          </cell>
          <cell r="D8773" t="e">
            <v>#N/A</v>
          </cell>
        </row>
        <row r="8774">
          <cell r="A8774" t="str">
            <v>Leonardo Da Silva</v>
          </cell>
          <cell r="B8774" t="e">
            <v>#N/A</v>
          </cell>
          <cell r="C8774">
            <v>20078718</v>
          </cell>
          <cell r="D8774" t="e">
            <v>#N/A</v>
          </cell>
        </row>
        <row r="8775">
          <cell r="A8775" t="str">
            <v>Leandro Avi</v>
          </cell>
          <cell r="B8775" t="e">
            <v>#N/A</v>
          </cell>
          <cell r="C8775">
            <v>20078719</v>
          </cell>
          <cell r="D8775" t="e">
            <v>#N/A</v>
          </cell>
        </row>
        <row r="8776">
          <cell r="A8776" t="str">
            <v>Airton Domingos De Barros</v>
          </cell>
          <cell r="B8776" t="e">
            <v>#N/A</v>
          </cell>
          <cell r="C8776">
            <v>20078721</v>
          </cell>
          <cell r="D8776" t="e">
            <v>#N/A</v>
          </cell>
        </row>
        <row r="8777">
          <cell r="A8777" t="str">
            <v>Alex Aparecido Alves</v>
          </cell>
          <cell r="B8777" t="e">
            <v>#N/A</v>
          </cell>
          <cell r="C8777">
            <v>20078722</v>
          </cell>
          <cell r="D8777" t="e">
            <v>#N/A</v>
          </cell>
        </row>
        <row r="8778">
          <cell r="A8778" t="str">
            <v>Regis Rodrigo Izidoro</v>
          </cell>
          <cell r="B8778" t="e">
            <v>#N/A</v>
          </cell>
          <cell r="C8778">
            <v>20078723</v>
          </cell>
          <cell r="D8778" t="e">
            <v>#N/A</v>
          </cell>
        </row>
        <row r="8779">
          <cell r="A8779" t="str">
            <v>Andre Luis Segura</v>
          </cell>
          <cell r="B8779">
            <v>37018083</v>
          </cell>
          <cell r="C8779">
            <v>20071751</v>
          </cell>
          <cell r="D8779">
            <v>45453</v>
          </cell>
        </row>
        <row r="8780">
          <cell r="A8780" t="str">
            <v>Rogerio Benedito Damaceno</v>
          </cell>
          <cell r="B8780" t="e">
            <v>#N/A</v>
          </cell>
          <cell r="C8780">
            <v>20078725</v>
          </cell>
          <cell r="D8780" t="e">
            <v>#N/A</v>
          </cell>
        </row>
        <row r="8781">
          <cell r="A8781" t="str">
            <v>Eduara Caroline Luna Velozo</v>
          </cell>
          <cell r="B8781" t="e">
            <v>#N/A</v>
          </cell>
          <cell r="C8781">
            <v>20078728</v>
          </cell>
          <cell r="D8781" t="e">
            <v>#N/A</v>
          </cell>
        </row>
        <row r="8782">
          <cell r="A8782" t="str">
            <v>Roberval Rinaldi</v>
          </cell>
          <cell r="B8782" t="e">
            <v>#N/A</v>
          </cell>
          <cell r="C8782">
            <v>20078730</v>
          </cell>
          <cell r="D8782" t="e">
            <v>#N/A</v>
          </cell>
        </row>
        <row r="8783">
          <cell r="A8783" t="str">
            <v>David Lucas Ferreira da Silva</v>
          </cell>
          <cell r="B8783" t="e">
            <v>#N/A</v>
          </cell>
          <cell r="C8783">
            <v>20078733</v>
          </cell>
          <cell r="D8783" t="e">
            <v>#N/A</v>
          </cell>
        </row>
        <row r="8784">
          <cell r="A8784" t="str">
            <v>Gabriel Fonseca Guedes Da Silva</v>
          </cell>
          <cell r="B8784" t="e">
            <v>#N/A</v>
          </cell>
          <cell r="C8784">
            <v>20078734</v>
          </cell>
          <cell r="D8784" t="e">
            <v>#N/A</v>
          </cell>
        </row>
        <row r="8785">
          <cell r="A8785" t="str">
            <v>Rafael Donizete Zanforlim</v>
          </cell>
          <cell r="B8785" t="e">
            <v>#N/A</v>
          </cell>
          <cell r="C8785">
            <v>20078735</v>
          </cell>
          <cell r="D8785" t="e">
            <v>#N/A</v>
          </cell>
        </row>
        <row r="8786">
          <cell r="A8786" t="str">
            <v>Francilene Lopes Moraes</v>
          </cell>
          <cell r="B8786" t="e">
            <v>#N/A</v>
          </cell>
          <cell r="C8786">
            <v>20078737</v>
          </cell>
          <cell r="D8786" t="e">
            <v>#N/A</v>
          </cell>
        </row>
        <row r="8787">
          <cell r="A8787" t="str">
            <v>David Willians Andrade Jurente</v>
          </cell>
          <cell r="B8787" t="e">
            <v>#N/A</v>
          </cell>
          <cell r="C8787">
            <v>20078739</v>
          </cell>
          <cell r="D8787" t="e">
            <v>#N/A</v>
          </cell>
        </row>
        <row r="8788">
          <cell r="A8788" t="str">
            <v>Jose Roberto Pezza</v>
          </cell>
          <cell r="B8788" t="e">
            <v>#N/A</v>
          </cell>
          <cell r="C8788">
            <v>20078744</v>
          </cell>
          <cell r="D8788" t="e">
            <v>#N/A</v>
          </cell>
        </row>
        <row r="8789">
          <cell r="A8789" t="str">
            <v>Daniel Teotonio da Silva</v>
          </cell>
          <cell r="B8789" t="e">
            <v>#N/A</v>
          </cell>
          <cell r="C8789">
            <v>20078731</v>
          </cell>
          <cell r="D8789" t="e">
            <v>#N/A</v>
          </cell>
        </row>
        <row r="8790">
          <cell r="A8790" t="str">
            <v>Romário Falcao Assunção De Almeida</v>
          </cell>
          <cell r="B8790" t="e">
            <v>#N/A</v>
          </cell>
          <cell r="C8790">
            <v>20078732</v>
          </cell>
          <cell r="D8790" t="e">
            <v>#N/A</v>
          </cell>
        </row>
        <row r="8791">
          <cell r="A8791" t="str">
            <v>Maria Regina de Oliveira</v>
          </cell>
          <cell r="B8791" t="e">
            <v>#N/A</v>
          </cell>
          <cell r="C8791">
            <v>20078736</v>
          </cell>
          <cell r="D8791" t="e">
            <v>#N/A</v>
          </cell>
        </row>
        <row r="8792">
          <cell r="A8792" t="str">
            <v>Rosana Aparecida da Silva Pinho Tieppo</v>
          </cell>
          <cell r="B8792" t="e">
            <v>#N/A</v>
          </cell>
          <cell r="C8792">
            <v>20078738</v>
          </cell>
          <cell r="D8792" t="e">
            <v>#N/A</v>
          </cell>
        </row>
        <row r="8793">
          <cell r="A8793" t="str">
            <v>ALINE DE FÁTIMA POMARE</v>
          </cell>
          <cell r="B8793" t="e">
            <v>#N/A</v>
          </cell>
          <cell r="C8793">
            <v>20078741</v>
          </cell>
          <cell r="D8793" t="e">
            <v>#N/A</v>
          </cell>
        </row>
        <row r="8794">
          <cell r="A8794" t="str">
            <v>Gabriela Cristina Alves Francisco</v>
          </cell>
          <cell r="B8794" t="e">
            <v>#N/A</v>
          </cell>
          <cell r="C8794">
            <v>20078742</v>
          </cell>
          <cell r="D8794" t="e">
            <v>#N/A</v>
          </cell>
        </row>
        <row r="8795">
          <cell r="A8795" t="str">
            <v>Francine Mariana Brito dos Santos</v>
          </cell>
          <cell r="B8795" t="e">
            <v>#N/A</v>
          </cell>
          <cell r="C8795">
            <v>20078743</v>
          </cell>
          <cell r="D8795" t="e">
            <v>#N/A</v>
          </cell>
        </row>
        <row r="8796">
          <cell r="A8796" t="str">
            <v>Jonatas dos Santos Magano</v>
          </cell>
          <cell r="B8796" t="e">
            <v>#N/A</v>
          </cell>
          <cell r="C8796">
            <v>20078747</v>
          </cell>
          <cell r="D8796" t="e">
            <v>#N/A</v>
          </cell>
        </row>
        <row r="8797">
          <cell r="A8797" t="str">
            <v>Eliton Nicoletti de Ramos</v>
          </cell>
          <cell r="B8797" t="e">
            <v>#N/A</v>
          </cell>
          <cell r="C8797">
            <v>20079323</v>
          </cell>
          <cell r="D8797" t="e">
            <v>#N/A</v>
          </cell>
        </row>
        <row r="8798">
          <cell r="A8798" t="str">
            <v>Edvaldo Natanael De Brito</v>
          </cell>
          <cell r="B8798">
            <v>37013573</v>
          </cell>
          <cell r="C8798">
            <v>20055803</v>
          </cell>
          <cell r="D8798">
            <v>45125</v>
          </cell>
        </row>
        <row r="8799">
          <cell r="A8799" t="str">
            <v>Filipe Moreno Carrieri</v>
          </cell>
          <cell r="B8799">
            <v>37006395</v>
          </cell>
          <cell r="C8799">
            <v>20018086</v>
          </cell>
          <cell r="D8799">
            <v>44452</v>
          </cell>
        </row>
        <row r="8800">
          <cell r="A8800" t="str">
            <v>Misaeli Lindalva Alves</v>
          </cell>
          <cell r="B8800">
            <v>37003269</v>
          </cell>
          <cell r="C8800">
            <v>20009700</v>
          </cell>
          <cell r="D8800">
            <v>43626</v>
          </cell>
        </row>
        <row r="8801">
          <cell r="A8801" t="str">
            <v>Rudnei Ferreira Zanon</v>
          </cell>
          <cell r="B8801">
            <v>37003131</v>
          </cell>
          <cell r="C8801">
            <v>20009898</v>
          </cell>
          <cell r="D8801">
            <v>43577</v>
          </cell>
        </row>
        <row r="8802">
          <cell r="A8802" t="str">
            <v>Felipe da Silva Rocha</v>
          </cell>
          <cell r="B8802">
            <v>37011722</v>
          </cell>
          <cell r="C8802">
            <v>20045271</v>
          </cell>
          <cell r="D8802">
            <v>44998</v>
          </cell>
        </row>
        <row r="8803">
          <cell r="A8803" t="str">
            <v>Benedito Elias Xavier Filho</v>
          </cell>
          <cell r="B8803">
            <v>37004742</v>
          </cell>
          <cell r="C8803">
            <v>20008057</v>
          </cell>
          <cell r="D8803">
            <v>44060</v>
          </cell>
        </row>
        <row r="8804">
          <cell r="A8804" t="str">
            <v>Clodoaldo Aparecido De Paula</v>
          </cell>
          <cell r="B8804">
            <v>37002444</v>
          </cell>
          <cell r="C8804">
            <v>20008830</v>
          </cell>
          <cell r="D8804">
            <v>43353</v>
          </cell>
        </row>
        <row r="8805">
          <cell r="A8805" t="str">
            <v>Joao Pedro Bernardino De Campos</v>
          </cell>
          <cell r="B8805">
            <v>37010837</v>
          </cell>
          <cell r="C8805">
            <v>20041233</v>
          </cell>
          <cell r="D8805">
            <v>44942</v>
          </cell>
        </row>
        <row r="8806">
          <cell r="A8806" t="str">
            <v>Augusto Gabriel Torezani Sa</v>
          </cell>
          <cell r="B8806">
            <v>37006578</v>
          </cell>
          <cell r="C8806">
            <v>20018151</v>
          </cell>
          <cell r="D8806">
            <v>44482</v>
          </cell>
        </row>
        <row r="8807">
          <cell r="A8807" t="str">
            <v>Marcos Alberto Francisco</v>
          </cell>
          <cell r="B8807">
            <v>37014883</v>
          </cell>
          <cell r="C8807">
            <v>20060470</v>
          </cell>
          <cell r="D8807">
            <v>45202</v>
          </cell>
        </row>
        <row r="8808">
          <cell r="A8808" t="str">
            <v>Ivan Ribeiro Dos Santos</v>
          </cell>
          <cell r="B8808">
            <v>37006255</v>
          </cell>
          <cell r="C8808">
            <v>20016997</v>
          </cell>
          <cell r="D8808">
            <v>44431</v>
          </cell>
        </row>
        <row r="8809">
          <cell r="A8809" t="str">
            <v>Caio Felix De Almeida</v>
          </cell>
          <cell r="B8809">
            <v>37013449</v>
          </cell>
          <cell r="C8809">
            <v>20054945</v>
          </cell>
          <cell r="D8809">
            <v>45125</v>
          </cell>
        </row>
        <row r="8810">
          <cell r="A8810" t="str">
            <v>Jhonatan Alexandro Cruz</v>
          </cell>
          <cell r="B8810">
            <v>37012638</v>
          </cell>
          <cell r="C8810">
            <v>20051145</v>
          </cell>
          <cell r="D8810">
            <v>45083</v>
          </cell>
        </row>
        <row r="8811">
          <cell r="A8811" t="str">
            <v>Wendel Patrick De Sousa</v>
          </cell>
          <cell r="B8811">
            <v>37006439</v>
          </cell>
          <cell r="C8811">
            <v>20017843</v>
          </cell>
          <cell r="D8811">
            <v>44459</v>
          </cell>
        </row>
        <row r="8812">
          <cell r="A8812" t="str">
            <v>Mauro Celso Coxe</v>
          </cell>
          <cell r="B8812">
            <v>37015194</v>
          </cell>
          <cell r="C8812">
            <v>20061510</v>
          </cell>
          <cell r="D8812">
            <v>45237</v>
          </cell>
        </row>
        <row r="8813">
          <cell r="A8813" t="str">
            <v>Luiz Cesar Fiori</v>
          </cell>
          <cell r="B8813" t="e">
            <v>#N/A</v>
          </cell>
          <cell r="C8813">
            <v>20079360</v>
          </cell>
          <cell r="D8813" t="e">
            <v>#N/A</v>
          </cell>
        </row>
        <row r="8814">
          <cell r="A8814" t="str">
            <v>Everton Alexandre Fulador</v>
          </cell>
          <cell r="B8814" t="e">
            <v>#N/A</v>
          </cell>
          <cell r="C8814">
            <v>20079361</v>
          </cell>
          <cell r="D8814" t="e">
            <v>#N/A</v>
          </cell>
        </row>
        <row r="8815">
          <cell r="A8815" t="str">
            <v>Juvelino Barbosa</v>
          </cell>
          <cell r="B8815" t="e">
            <v>#N/A</v>
          </cell>
          <cell r="C8815">
            <v>20079359</v>
          </cell>
          <cell r="D8815" t="e">
            <v>#N/A</v>
          </cell>
        </row>
        <row r="8816">
          <cell r="A8816" t="str">
            <v>Vinicius Rodrigues Duque</v>
          </cell>
          <cell r="B8816">
            <v>37008007</v>
          </cell>
          <cell r="C8816">
            <v>20026763</v>
          </cell>
          <cell r="D8816">
            <v>44713</v>
          </cell>
        </row>
        <row r="8817">
          <cell r="A8817" t="str">
            <v>Marcos Antonio Dos Passos Silva</v>
          </cell>
          <cell r="B8817" t="e">
            <v>#N/A</v>
          </cell>
          <cell r="C8817">
            <v>20079915</v>
          </cell>
          <cell r="D8817" t="e">
            <v>#N/A</v>
          </cell>
        </row>
        <row r="8818">
          <cell r="A8818" t="str">
            <v>Adrian Jose Rodriguez Solano</v>
          </cell>
          <cell r="B8818" t="e">
            <v>#N/A</v>
          </cell>
          <cell r="C8818">
            <v>20079943</v>
          </cell>
          <cell r="D8818" t="e">
            <v>#N/A</v>
          </cell>
        </row>
        <row r="8819">
          <cell r="A8819" t="str">
            <v>Pedro Henrique Burhoff Braz</v>
          </cell>
          <cell r="B8819" t="e">
            <v>#N/A</v>
          </cell>
          <cell r="C8819">
            <v>20076940</v>
          </cell>
          <cell r="D8819" t="e">
            <v>#N/A</v>
          </cell>
        </row>
        <row r="8820">
          <cell r="A8820" t="str">
            <v>Andre Luiz de Oliveira</v>
          </cell>
          <cell r="B8820" t="e">
            <v>#N/A</v>
          </cell>
          <cell r="C8820">
            <v>20079954</v>
          </cell>
          <cell r="D8820" t="e">
            <v>#N/A</v>
          </cell>
        </row>
        <row r="8821">
          <cell r="A8821" t="str">
            <v>Humberto Ewerton Lima Martins Ferreira</v>
          </cell>
          <cell r="B8821">
            <v>37015550</v>
          </cell>
          <cell r="C8821">
            <v>20062936</v>
          </cell>
          <cell r="D8821">
            <v>45272</v>
          </cell>
        </row>
        <row r="8822">
          <cell r="A8822" t="str">
            <v>Fernanda Kruse De Arruda Chaves</v>
          </cell>
          <cell r="B8822">
            <v>37007932</v>
          </cell>
          <cell r="C8822">
            <v>20026177</v>
          </cell>
          <cell r="D8822">
            <v>44713</v>
          </cell>
        </row>
        <row r="8823">
          <cell r="A8823" t="str">
            <v>Claudinei Da Conceicao</v>
          </cell>
          <cell r="B8823">
            <v>37013781</v>
          </cell>
          <cell r="C8823">
            <v>20056432</v>
          </cell>
          <cell r="D8823">
            <v>45139</v>
          </cell>
        </row>
        <row r="8824">
          <cell r="A8824" t="str">
            <v>Valdeci Pereira Da Silva</v>
          </cell>
          <cell r="B8824">
            <v>37015769</v>
          </cell>
          <cell r="C8824">
            <v>20063481</v>
          </cell>
          <cell r="D8824">
            <v>45300</v>
          </cell>
        </row>
        <row r="8825">
          <cell r="A8825" t="str">
            <v>Aristeu Oliveira De Almeida Junior</v>
          </cell>
          <cell r="B8825">
            <v>37006786</v>
          </cell>
          <cell r="C8825">
            <v>20019012</v>
          </cell>
          <cell r="D8825">
            <v>44522</v>
          </cell>
        </row>
        <row r="8826">
          <cell r="A8826" t="str">
            <v>Antonio Augusto Henrique</v>
          </cell>
          <cell r="B8826">
            <v>37007252</v>
          </cell>
          <cell r="C8826">
            <v>20023617</v>
          </cell>
          <cell r="D8826">
            <v>44627</v>
          </cell>
        </row>
        <row r="8827">
          <cell r="A8827" t="str">
            <v>Dolvalino Medrado</v>
          </cell>
          <cell r="B8827">
            <v>37009161</v>
          </cell>
          <cell r="C8827">
            <v>20031917</v>
          </cell>
          <cell r="D8827">
            <v>44795</v>
          </cell>
        </row>
        <row r="8828">
          <cell r="A8828" t="str">
            <v>Luiz Marques Da Silva</v>
          </cell>
          <cell r="B8828" t="e">
            <v>#N/A</v>
          </cell>
          <cell r="C8828">
            <v>20079950</v>
          </cell>
          <cell r="D8828" t="e">
            <v>#N/A</v>
          </cell>
        </row>
        <row r="8829">
          <cell r="A8829" t="str">
            <v>Ana Laura Euzebio Ventura</v>
          </cell>
          <cell r="B8829" t="e">
            <v>#N/A</v>
          </cell>
          <cell r="C8829">
            <v>20045914</v>
          </cell>
          <cell r="D8829" t="e">
            <v>#N/A</v>
          </cell>
        </row>
        <row r="8830">
          <cell r="A8830" t="str">
            <v>Leonardo Tiberio Da Silva Santos</v>
          </cell>
          <cell r="B8830" t="e">
            <v>#N/A</v>
          </cell>
          <cell r="C8830">
            <v>20079952</v>
          </cell>
          <cell r="D8830" t="e">
            <v>#N/A</v>
          </cell>
        </row>
        <row r="8831">
          <cell r="A8831" t="str">
            <v>Francisco Sebastião Leite da Silva Filho</v>
          </cell>
          <cell r="B8831" t="e">
            <v>#N/A</v>
          </cell>
          <cell r="C8831">
            <v>20079967</v>
          </cell>
          <cell r="D8831" t="e">
            <v>#N/A</v>
          </cell>
        </row>
        <row r="8832">
          <cell r="A8832" t="str">
            <v>Reginaldo Leno De Oliveira</v>
          </cell>
          <cell r="B8832">
            <v>37007438</v>
          </cell>
          <cell r="C8832">
            <v>20025489</v>
          </cell>
          <cell r="D8832">
            <v>44662</v>
          </cell>
        </row>
        <row r="8833">
          <cell r="A8833" t="str">
            <v>Alexandre Cardoso Vasconcelos</v>
          </cell>
          <cell r="B8833" t="e">
            <v>#N/A</v>
          </cell>
          <cell r="C8833">
            <v>20079969</v>
          </cell>
          <cell r="D8833" t="e">
            <v>#N/A</v>
          </cell>
        </row>
        <row r="8834">
          <cell r="A8834" t="str">
            <v>Janderson De Queiroz Silva</v>
          </cell>
          <cell r="B8834" t="e">
            <v>#N/A</v>
          </cell>
          <cell r="C8834">
            <v>20079971</v>
          </cell>
          <cell r="D8834" t="e">
            <v>#N/A</v>
          </cell>
        </row>
        <row r="8835">
          <cell r="A8835" t="str">
            <v>Sandro Renato Moreira</v>
          </cell>
          <cell r="B8835" t="e">
            <v>#N/A</v>
          </cell>
          <cell r="C8835">
            <v>20079974</v>
          </cell>
          <cell r="D8835" t="e">
            <v>#N/A</v>
          </cell>
        </row>
        <row r="8836">
          <cell r="A8836" t="str">
            <v>Onivaldo Natalino Bueno De Lima</v>
          </cell>
          <cell r="B8836">
            <v>37004465</v>
          </cell>
          <cell r="C8836">
            <v>20008261</v>
          </cell>
          <cell r="D8836">
            <v>43899</v>
          </cell>
        </row>
        <row r="8837">
          <cell r="A8837" t="str">
            <v>Genilson Ursulino Dos Santos</v>
          </cell>
          <cell r="B8837" t="e">
            <v>#N/A</v>
          </cell>
          <cell r="C8837">
            <v>20079985</v>
          </cell>
          <cell r="D8837" t="e">
            <v>#N/A</v>
          </cell>
        </row>
        <row r="8838">
          <cell r="A8838" t="str">
            <v>Odirley Masserano Cadamuro</v>
          </cell>
          <cell r="B8838" t="e">
            <v>#N/A</v>
          </cell>
          <cell r="C8838">
            <v>20079992</v>
          </cell>
          <cell r="D8838" t="e">
            <v>#N/A</v>
          </cell>
        </row>
        <row r="8839">
          <cell r="A8839" t="str">
            <v>Carlos Eduardo dos Santos Gonçalves</v>
          </cell>
          <cell r="B8839" t="e">
            <v>#N/A</v>
          </cell>
          <cell r="C8839">
            <v>20079986</v>
          </cell>
          <cell r="D8839" t="e">
            <v>#N/A</v>
          </cell>
        </row>
        <row r="8840">
          <cell r="A8840" t="str">
            <v>Daniel Almeida Araujo</v>
          </cell>
          <cell r="B8840" t="e">
            <v>#N/A</v>
          </cell>
          <cell r="C8840">
            <v>20079995</v>
          </cell>
          <cell r="D8840" t="e">
            <v>#N/A</v>
          </cell>
        </row>
        <row r="8841">
          <cell r="A8841" t="str">
            <v>Luciano Severino Dos Santos Silva</v>
          </cell>
          <cell r="B8841" t="e">
            <v>#N/A</v>
          </cell>
          <cell r="C8841">
            <v>20079996</v>
          </cell>
          <cell r="D8841" t="e">
            <v>#N/A</v>
          </cell>
        </row>
        <row r="8842">
          <cell r="A8842" t="str">
            <v>Reinaldo Jose Soares Neto</v>
          </cell>
          <cell r="B8842" t="e">
            <v>#N/A</v>
          </cell>
          <cell r="C8842">
            <v>20080004</v>
          </cell>
          <cell r="D8842" t="e">
            <v>#N/A</v>
          </cell>
        </row>
        <row r="8843">
          <cell r="A8843" t="str">
            <v>Ricardo Aparecido Dos Santos</v>
          </cell>
          <cell r="B8843" t="e">
            <v>#N/A</v>
          </cell>
          <cell r="C8843">
            <v>20080008</v>
          </cell>
          <cell r="D8843" t="e">
            <v>#N/A</v>
          </cell>
        </row>
        <row r="8844">
          <cell r="A8844" t="str">
            <v>Derik Henrique de Sousa Balbino</v>
          </cell>
          <cell r="B8844" t="e">
            <v>#N/A</v>
          </cell>
          <cell r="C8844">
            <v>20080011</v>
          </cell>
          <cell r="D8844" t="e">
            <v>#N/A</v>
          </cell>
        </row>
        <row r="8845">
          <cell r="A8845" t="str">
            <v>Edival Zauza</v>
          </cell>
          <cell r="B8845" t="e">
            <v>#N/A</v>
          </cell>
          <cell r="C8845">
            <v>20080013</v>
          </cell>
          <cell r="D8845" t="e">
            <v>#N/A</v>
          </cell>
        </row>
        <row r="8846">
          <cell r="A8846" t="str">
            <v>Leandro Jose Da Silva</v>
          </cell>
          <cell r="B8846">
            <v>37016424</v>
          </cell>
          <cell r="C8846">
            <v>20064043</v>
          </cell>
          <cell r="D8846">
            <v>45314</v>
          </cell>
        </row>
        <row r="8847">
          <cell r="A8847" t="str">
            <v>Renato Batista Da Costa</v>
          </cell>
          <cell r="B8847" t="e">
            <v>#N/A</v>
          </cell>
          <cell r="C8847">
            <v>20080000</v>
          </cell>
          <cell r="D8847" t="e">
            <v>#N/A</v>
          </cell>
        </row>
        <row r="8848">
          <cell r="A8848" t="str">
            <v>Reinaldo Benicio Monteiro</v>
          </cell>
          <cell r="B8848" t="e">
            <v>#N/A</v>
          </cell>
          <cell r="C8848">
            <v>20080001</v>
          </cell>
          <cell r="D8848" t="e">
            <v>#N/A</v>
          </cell>
        </row>
        <row r="8849">
          <cell r="A8849" t="str">
            <v>David Daniel Lopes Saurin</v>
          </cell>
          <cell r="B8849" t="e">
            <v>#N/A</v>
          </cell>
          <cell r="C8849">
            <v>20080002</v>
          </cell>
          <cell r="D8849" t="e">
            <v>#N/A</v>
          </cell>
        </row>
        <row r="8850">
          <cell r="A8850" t="str">
            <v>Weliton Dias Gonçalves</v>
          </cell>
          <cell r="B8850" t="e">
            <v>#N/A</v>
          </cell>
          <cell r="C8850">
            <v>20080007</v>
          </cell>
          <cell r="D8850" t="e">
            <v>#N/A</v>
          </cell>
        </row>
        <row r="8851">
          <cell r="A8851" t="str">
            <v>Jacemir Alves de Matos</v>
          </cell>
          <cell r="B8851" t="e">
            <v>#N/A</v>
          </cell>
          <cell r="C8851">
            <v>20080014</v>
          </cell>
          <cell r="D8851" t="e">
            <v>#N/A</v>
          </cell>
        </row>
        <row r="8852">
          <cell r="A8852" t="str">
            <v>Clodoaldo De Campos</v>
          </cell>
          <cell r="B8852">
            <v>37016617</v>
          </cell>
          <cell r="C8852">
            <v>20064712</v>
          </cell>
          <cell r="D8852">
            <v>45342</v>
          </cell>
        </row>
        <row r="8853">
          <cell r="A8853" t="str">
            <v>Evanildo Gomes Feitoza</v>
          </cell>
          <cell r="B8853">
            <v>37014515</v>
          </cell>
          <cell r="C8853">
            <v>20059041</v>
          </cell>
          <cell r="D8853">
            <v>45181</v>
          </cell>
        </row>
        <row r="8854">
          <cell r="A8854" t="str">
            <v>Genilson Germinio Galvao</v>
          </cell>
          <cell r="B8854">
            <v>37007514</v>
          </cell>
          <cell r="C8854">
            <v>20025611</v>
          </cell>
          <cell r="D8854">
            <v>44683</v>
          </cell>
        </row>
        <row r="8855">
          <cell r="A8855" t="str">
            <v>Helio Almerino Vieira</v>
          </cell>
          <cell r="B8855">
            <v>37010164</v>
          </cell>
          <cell r="C8855">
            <v>20038448</v>
          </cell>
          <cell r="D8855">
            <v>44886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nca De Lima Nunes" refreshedDate="45792.45128645833" createdVersion="6" refreshedVersion="6" minRefreshableVersion="3" recordCount="44" xr:uid="{725DA731-8757-49BD-A3E2-FD2084D3C32F}">
  <cacheSource type="worksheet">
    <worksheetSource name="Sup_tecnicos"/>
  </cacheSource>
  <cacheFields count="15">
    <cacheField name="MATRÍCULA" numFmtId="0">
      <sharedItems containsString="0" containsBlank="1" containsNumber="1" containsInteger="1" minValue="37000921" maxValue="37021084"/>
    </cacheField>
    <cacheField name="COLABORADOR" numFmtId="0">
      <sharedItems/>
    </cacheField>
    <cacheField name="MÓDULO" numFmtId="0">
      <sharedItems containsBlank="1" count="21">
        <s v="MOD.04"/>
        <s v="MOD.NOTURNO"/>
        <s v="MOD.06/07"/>
        <s v="MOD.09"/>
        <s v="MOD.05"/>
        <s v="MOD.11"/>
        <s v="MOD.03"/>
        <s v="MOD.06"/>
        <s v="MOD.02/03"/>
        <s v="MOD.01"/>
        <s v="MOD.06/MOD.07"/>
        <s v="MOD.01/04/10"/>
        <s v="-"/>
        <s v="MOD.05/08"/>
        <s v="MOD.10"/>
        <s v="MOD.07"/>
        <s v="MOD.01/04"/>
        <s v="MOD.02"/>
        <s v="MOD.08"/>
        <m/>
        <s v="MOD.05/08/10" u="1"/>
      </sharedItems>
    </cacheField>
    <cacheField name="CARGO" numFmtId="0">
      <sharedItems count="5">
        <s v="TECN OPERACOES FLORESTAIS II"/>
        <s v="Supervisor Logistica Florestal"/>
        <s v="Coordenador Logistica Florestal"/>
        <s v="TECN OPERACOES FLORESTAIS III"/>
        <s v="TECN OPERACOES FLORESTAIS II - estradas"/>
      </sharedItems>
    </cacheField>
    <cacheField name="TELEFONE" numFmtId="0">
      <sharedItems containsBlank="1"/>
    </cacheField>
    <cacheField name="CC 2024" numFmtId="0">
      <sharedItems containsBlank="1" containsMixedTypes="1" containsNumber="1" containsInteger="1" minValue="373105" maxValue="373110"/>
    </cacheField>
    <cacheField name="GESTOR IMEDIATO" numFmtId="0">
      <sharedItems containsBlank="1"/>
    </cacheField>
    <cacheField name="COD. CARGO" numFmtId="0">
      <sharedItems containsString="0" containsBlank="1" containsNumber="1" containsInteger="1" minValue="4021" maxValue="11213"/>
    </cacheField>
    <cacheField name="CARGO Workday" numFmtId="0">
      <sharedItems containsBlank="1"/>
    </cacheField>
    <cacheField name="ID COLABORADOR" numFmtId="0">
      <sharedItems containsString="0" containsBlank="1" containsNumber="1" containsInteger="1" minValue="20009437" maxValue="20086575"/>
    </cacheField>
    <cacheField name="DATA ADMISSÃO" numFmtId="14">
      <sharedItems containsSemiMixedTypes="0" containsNonDate="0" containsDate="1" containsString="0" minDate="2011-08-08T00:00:00" maxDate="2025-06-02T00:00:00"/>
    </cacheField>
    <cacheField name="DATA SAÍDA" numFmtId="0">
      <sharedItems containsDate="1" containsBlank="1" containsMixedTypes="1" minDate="2024-07-31T00:00:00" maxDate="2025-03-04T00:00:00" count="9">
        <m/>
        <s v="verificar data"/>
        <d v="2025-03-03T00:00:00"/>
        <d v="2024-09-06T00:00:00"/>
        <d v="2024-07-31T00:00:00"/>
        <d v="2024-09-13T00:00:00"/>
        <d v="2025-02-04T00:00:00"/>
        <d v="2024-12-26T00:00:00"/>
        <s v=" " u="1"/>
      </sharedItems>
    </cacheField>
    <cacheField name="Cidade Origem" numFmtId="0">
      <sharedItems containsBlank="1"/>
    </cacheField>
    <cacheField name="Celular Corporativo" numFmtId="14">
      <sharedItems containsBlank="1"/>
    </cacheField>
    <cacheField name="Modelo celular" numFmtId="1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Laura Da Silva Pontes" refreshedDate="45793.405198958331" createdVersion="6" refreshedVersion="6" minRefreshableVersion="3" recordCount="165" xr:uid="{00000000-000A-0000-FFFF-FFFF09010000}">
  <cacheSource type="worksheet">
    <worksheetSource name="Tabela3"/>
  </cacheSource>
  <cacheFields count="13">
    <cacheField name="MATRÍCULA" numFmtId="0">
      <sharedItems containsString="0" containsBlank="1" containsNumber="1" containsInteger="1" minValue="37000092" maxValue="37021778"/>
    </cacheField>
    <cacheField name="COLABORADOR" numFmtId="0">
      <sharedItems/>
    </cacheField>
    <cacheField name="MÓDULO" numFmtId="0">
      <sharedItems containsMixedTypes="1" containsNumber="1" containsInteger="1" minValue="1" maxValue="8" count="16">
        <s v="1"/>
        <s v="2"/>
        <s v="3"/>
        <s v="4"/>
        <s v="5"/>
        <s v="6"/>
        <s v="7"/>
        <s v="8"/>
        <n v="5" u="1"/>
        <n v="2" u="1"/>
        <n v="6" u="1"/>
        <n v="7" u="1"/>
        <n v="1" u="1"/>
        <n v="3" u="1"/>
        <n v="8" u="1"/>
        <n v="4" u="1"/>
      </sharedItems>
    </cacheField>
    <cacheField name="CARGO" numFmtId="0">
      <sharedItems/>
    </cacheField>
    <cacheField name="CC" numFmtId="0">
      <sharedItems containsSemiMixedTypes="0" containsString="0" containsNumber="1" containsInteger="1" minValue="373114" maxValue="373114"/>
    </cacheField>
    <cacheField name="GESTOR IMEDIATO" numFmtId="0">
      <sharedItems/>
    </cacheField>
    <cacheField name="MÓDULO2" numFmtId="0">
      <sharedItems containsBlank="1" count="9">
        <s v="MOD.01"/>
        <s v="MOD.02"/>
        <s v="MOD.03"/>
        <s v="MOD.04"/>
        <s v="MOD.05"/>
        <s v="MOD.06"/>
        <s v="MOD.07"/>
        <s v="MOD.08"/>
        <m u="1"/>
      </sharedItems>
    </cacheField>
    <cacheField name="ID COLABORADOR" numFmtId="0">
      <sharedItems containsString="0" containsBlank="1" containsNumber="1" containsInteger="1" minValue="20008678" maxValue="20090330"/>
    </cacheField>
    <cacheField name="DATA ADMISSÃO" numFmtId="14">
      <sharedItems containsNonDate="0" containsDate="1" containsString="0" containsBlank="1" minDate="1992-07-10T00:00:00" maxDate="2025-04-16T00:00:00"/>
    </cacheField>
    <cacheField name="SITUACAO" numFmtId="0">
      <sharedItems count="4">
        <s v="Oper Maqs Florestais I Grua"/>
        <s v="Assistente Operador Carregamento Grua"/>
        <s v="Operador Trainee Campo"/>
        <s v="Operador Trainee Pátio"/>
      </sharedItems>
    </cacheField>
    <cacheField name="DESLIGAMENTO" numFmtId="0">
      <sharedItems containsDate="1" containsBlank="1" containsMixedTypes="1" minDate="2024-01-19T00:00:00" maxDate="2025-05-08T00:00:00" count="35">
        <m/>
        <d v="2024-04-26T00:00:00"/>
        <d v="2024-04-12T00:00:00"/>
        <d v="2025-04-11T00:00:00"/>
        <d v="2025-01-20T00:00:00"/>
        <d v="2024-03-15T00:00:00"/>
        <d v="2024-03-08T00:00:00"/>
        <d v="2025-03-17T00:00:00"/>
        <d v="2025-02-19T00:00:00"/>
        <d v="2024-07-01T00:00:00"/>
        <d v="2024-07-31T00:00:00"/>
        <d v="2025-02-10T00:00:00"/>
        <d v="2025-03-12T00:00:00"/>
        <d v="2024-04-03T00:00:00"/>
        <d v="2024-04-01T00:00:00"/>
        <d v="2024-12-13T00:00:00"/>
        <d v="2025-02-13T00:00:00"/>
        <s v="01/05/2025 (virou tecnico)"/>
        <d v="2024-03-06T00:00:00"/>
        <d v="2024-09-03T00:00:00"/>
        <d v="2024-04-04T00:00:00"/>
        <d v="2024-02-16T00:00:00"/>
        <d v="2025-03-03T00:00:00"/>
        <d v="2024-10-23T00:00:00"/>
        <d v="2024-06-07T00:00:00"/>
        <d v="2024-07-17T00:00:00"/>
        <d v="2024-02-29T00:00:00"/>
        <d v="2024-09-06T00:00:00"/>
        <d v="2024-07-10T00:00:00"/>
        <d v="2025-03-22T00:00:00"/>
        <d v="2024-01-19T00:00:00"/>
        <d v="2024-04-29T00:00:00"/>
        <d v="2025-05-07T00:00:00"/>
        <d v="2024-05-29T00:00:00"/>
        <d v="2024-04-02T00:00:00"/>
      </sharedItems>
    </cacheField>
    <cacheField name="Cidade Origem" numFmtId="0">
      <sharedItems containsBlank="1"/>
    </cacheField>
    <cacheField name="Prêmio de produçã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Laura Da Silva Pontes" refreshedDate="45793.405235648148" createdVersion="6" refreshedVersion="6" minRefreshableVersion="3" recordCount="79" xr:uid="{00000000-000A-0000-FFFF-FFFF01010000}">
  <cacheSource type="worksheet">
    <worksheetSource name="Apoio_Transp"/>
  </cacheSource>
  <cacheFields count="15">
    <cacheField name="MATRÍCULA" numFmtId="0">
      <sharedItems containsString="0" containsBlank="1" containsNumber="1" containsInteger="1" minValue="37005788" maxValue="37021871"/>
    </cacheField>
    <cacheField name="COLABORADOR" numFmtId="0">
      <sharedItems/>
    </cacheField>
    <cacheField name="MÓDULO" numFmtId="0">
      <sharedItems containsBlank="1" count="10">
        <s v="MOD.03"/>
        <s v="MOD.01"/>
        <s v="MOD.02"/>
        <s v="MOD.04"/>
        <s v="MOD.05"/>
        <s v="MOD.08"/>
        <s v="MOD.07"/>
        <s v="MOD.06"/>
        <s v="MOD.ITINERANTE"/>
        <m u="1"/>
      </sharedItems>
    </cacheField>
    <cacheField name="CARGO" numFmtId="0">
      <sharedItems count="6">
        <s v="OPERADOR DE ESTRADAS III"/>
        <s v="MOTORISTA II"/>
        <s v="MOTORISTA I"/>
        <s v="OPERADOR DE ESTRADAS II"/>
        <s v="OPERADOR DE ESTRADAS I"/>
        <s v="OPERADOR DE ESTRADAS TRAINEE" u="1"/>
      </sharedItems>
    </cacheField>
    <cacheField name="DATA ADMISSÃO" numFmtId="14">
      <sharedItems containsNonDate="0" containsDate="1" containsString="0" containsBlank="1" minDate="2021-06-01T00:00:00" maxDate="2025-05-07T00:00:00"/>
    </cacheField>
    <cacheField name="GESTOR IMEDIATO" numFmtId="0">
      <sharedItems/>
    </cacheField>
    <cacheField name="ID COLABORADOR" numFmtId="0">
      <sharedItems containsString="0" containsBlank="1" containsNumber="1" containsInteger="1" minValue="20016044" maxValue="20091143"/>
    </cacheField>
    <cacheField name="CARGO Workday" numFmtId="14">
      <sharedItems containsBlank="1"/>
    </cacheField>
    <cacheField name="Centro de Custo" numFmtId="0">
      <sharedItems containsBlank="1" containsMixedTypes="1" containsNumber="1" containsInteger="1" minValue="373114" maxValue="373116"/>
    </cacheField>
    <cacheField name="OBS PRÊMIO MAIO" numFmtId="0">
      <sharedItems containsBlank="1"/>
    </cacheField>
    <cacheField name="DESLIGAMENTO" numFmtId="0">
      <sharedItems containsDate="1" containsBlank="1" containsMixedTypes="1" minDate="2024-03-18T00:00:00" maxDate="2025-04-25T00:00:00" count="14">
        <m/>
        <d v="2024-08-18T00:00:00"/>
        <d v="2024-08-30T00:00:00"/>
        <d v="2024-03-18T00:00:00"/>
        <d v="2025-03-18T00:00:00"/>
        <d v="2024-07-04T00:00:00"/>
        <d v="2025-03-13T00:00:00"/>
        <d v="2024-07-17T00:00:00"/>
        <d v="2024-06-20T00:00:00"/>
        <d v="2024-10-08T00:00:00"/>
        <d v="2025-02-07T00:00:00"/>
        <s v="verificar "/>
        <d v="2025-04-24T00:00:00"/>
        <d v="2024-09-30T00:00:00" u="1"/>
      </sharedItems>
    </cacheField>
    <cacheField name="Cidade Origem" numFmtId="0">
      <sharedItems containsBlank="1"/>
    </cacheField>
    <cacheField name="Prêmio novembro" numFmtId="0">
      <sharedItems containsBlank="1"/>
    </cacheField>
    <cacheField name="RH/WD" numFmtId="0">
      <sharedItems containsBlank="1"/>
    </cacheField>
    <cacheField name="TREINA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37006559"/>
    <s v="ANTONIO JOSE FERNANDES"/>
    <x v="0"/>
    <x v="0"/>
    <s v="(14) 99854-2810"/>
    <n v="373105"/>
    <s v="MARCIO APARECIDO CAVALHEIRO"/>
    <n v="4021"/>
    <s v="TEC OPERACOES FLORESTAL II"/>
    <n v="20018135"/>
    <d v="2021-10-04T00:00:00"/>
    <x v="0"/>
    <s v="Bauru"/>
    <s v="Sim"/>
    <s v="A54"/>
  </r>
  <r>
    <n v="37008812"/>
    <s v="CAIO DE OLIVEIRA SILVA"/>
    <x v="1"/>
    <x v="0"/>
    <s v="(14) 99606-9772"/>
    <n v="373105"/>
    <s v="VANDERLEI JOSE HONORIO"/>
    <n v="4021"/>
    <s v="TEC OPERACOES FLORESTAIS II"/>
    <n v="20036622"/>
    <d v="2022-08-04T00:00:00"/>
    <x v="0"/>
    <s v="Itapeva"/>
    <s v="Sim"/>
    <s v="A54"/>
  </r>
  <r>
    <n v="37010748"/>
    <s v="CASSIO THOMAS DA SILVEIRA"/>
    <x v="2"/>
    <x v="1"/>
    <s v="(14)99688-5697"/>
    <n v="373105"/>
    <s v="MARIO FRAIZ COELHO MAIA DE ANDRADE"/>
    <n v="11213"/>
    <s v="SUP LOGISTICA"/>
    <n v="20040958"/>
    <d v="2023-01-09T00:00:00"/>
    <x v="0"/>
    <s v="Bauru"/>
    <s v="Sim"/>
    <s v="A54"/>
  </r>
  <r>
    <n v="37006317"/>
    <s v="EDENILSON ADEMIR PEREIRA"/>
    <x v="1"/>
    <x v="0"/>
    <s v="(14)99802-0381"/>
    <s v="JHON FELIPE SENOSKI"/>
    <s v="VANDERLEI JOSE HONORIO"/>
    <m/>
    <m/>
    <n v="20017044"/>
    <d v="2021-09-08T00:00:00"/>
    <x v="0"/>
    <s v="Botucatu"/>
    <s v="Não"/>
    <s v="Não possui"/>
  </r>
  <r>
    <n v="37014499"/>
    <s v="Eder Bernardes da Silva"/>
    <x v="1"/>
    <x v="0"/>
    <s v="(14)99649-5576"/>
    <m/>
    <s v="VANDERLEI JOSE HONORIO"/>
    <m/>
    <m/>
    <n v="20059011"/>
    <d v="2023-09-12T00:00:00"/>
    <x v="0"/>
    <s v="Bauru"/>
    <s v="Não"/>
    <s v="Não possui"/>
  </r>
  <r>
    <n v="37015179"/>
    <s v="Edson Caldeira Barbosa"/>
    <x v="1"/>
    <x v="0"/>
    <s v="(14) 99837-3443"/>
    <n v="373105"/>
    <s v="VANDERLEI JOSE HONORIO"/>
    <n v="4021"/>
    <m/>
    <n v="20061495"/>
    <d v="2023-11-07T00:00:00"/>
    <x v="0"/>
    <s v="Bauru"/>
    <s v="Não"/>
    <s v="Não possui"/>
  </r>
  <r>
    <n v="37013006"/>
    <s v="Elias Paulo da Silva"/>
    <x v="3"/>
    <x v="0"/>
    <s v="(67) 96759876"/>
    <n v="373105"/>
    <s v="Angelo Antonio Martins Taparo"/>
    <n v="4021"/>
    <s v="TEC OPERACOES FLORESTAIS II"/>
    <n v="20052425"/>
    <d v="2023-06-06T00:00:00"/>
    <x v="0"/>
    <s v="Campo Grande"/>
    <s v="Sim"/>
    <s v="A54"/>
  </r>
  <r>
    <n v="37020934"/>
    <s v="Emerson Luiz Barbosa de Lima"/>
    <x v="1"/>
    <x v="0"/>
    <s v="(14) 99823-8111"/>
    <n v="373105"/>
    <s v="VANDERLEI JOSE HONORIO"/>
    <n v="4021"/>
    <m/>
    <n v="20085371"/>
    <d v="2025-02-18T00:00:00"/>
    <x v="0"/>
    <s v="Marília"/>
    <s v="Não"/>
    <s v="Não possui"/>
  </r>
  <r>
    <n v="37005964"/>
    <s v="EVERTON GEREMIAS LUCHINI"/>
    <x v="4"/>
    <x v="0"/>
    <s v="(14) 99883-0130"/>
    <n v="373105"/>
    <s v="THIAGO MARIA PROENCA ALMEIDA"/>
    <n v="4021"/>
    <s v="TEC OPERACOES FLORESTAIS II"/>
    <n v="20016767"/>
    <d v="2021-07-05T00:00:00"/>
    <x v="0"/>
    <s v="Agudos"/>
    <s v="Sim"/>
    <s v="A54"/>
  </r>
  <r>
    <n v="37010940"/>
    <s v="FRANK CEL DE SOUZA LIRA"/>
    <x v="3"/>
    <x v="0"/>
    <s v="(67) 9681-4609"/>
    <n v="373105"/>
    <s v="Angelo Antonio Martins Taparo"/>
    <n v="4021"/>
    <s v="TEC OPERACOES FLORESTAIS II"/>
    <n v="20041612"/>
    <d v="2023-01-23T00:00:00"/>
    <x v="0"/>
    <s v="Campo Grande"/>
    <s v="Sim"/>
    <s v="A32"/>
  </r>
  <r>
    <n v="37014825"/>
    <s v="GILLIARD LEPINSCK"/>
    <x v="5"/>
    <x v="1"/>
    <s v="(14) 99700-3090"/>
    <n v="373110"/>
    <s v="Angelo Antonio Martins Taparo"/>
    <n v="11213"/>
    <s v="SUP LOGISTICA - estradas"/>
    <n v="20060104"/>
    <d v="2023-10-03T00:00:00"/>
    <x v="0"/>
    <s v="João Pinheiro"/>
    <s v="Sim"/>
    <s v="A54"/>
  </r>
  <r>
    <n v="37005769"/>
    <s v="GUILHERME AFONSO MASSAGLI"/>
    <x v="6"/>
    <x v="0"/>
    <s v="(14) 99864-0475"/>
    <n v="373105"/>
    <s v="JHON FELIPE SENOSKI"/>
    <n v="4021"/>
    <s v="TEC OPERACOES FLORESTAL II"/>
    <n v="20016042"/>
    <d v="2021-06-01T00:00:00"/>
    <x v="0"/>
    <s v="Itatinga"/>
    <s v="Sim"/>
    <s v="A32"/>
  </r>
  <r>
    <n v="37019476"/>
    <s v="Itamar Magela Severiano"/>
    <x v="5"/>
    <x v="0"/>
    <s v="(14) 99609-0499"/>
    <n v="373105"/>
    <s v="GILLIARD LEPINSCK"/>
    <n v="4021"/>
    <s v="TEC OPERACOES FLORESTAIS II - carregamento"/>
    <n v="20078661"/>
    <d v="2024-10-08T00:00:00"/>
    <x v="0"/>
    <s v="Curvelo"/>
    <s v="Sim"/>
    <s v="A32"/>
  </r>
  <r>
    <n v="37021084"/>
    <s v="Jakson Rodrigo Ribeiro Leite"/>
    <x v="5"/>
    <x v="0"/>
    <s v="(14) 99825-8819"/>
    <n v="373105"/>
    <s v="GILLIARD LEPINSCK"/>
    <n v="4021"/>
    <m/>
    <n v="20086575"/>
    <d v="2025-03-11T00:00:00"/>
    <x v="0"/>
    <s v="João Pinheiro"/>
    <s v="Sim"/>
    <s v="A54"/>
  </r>
  <r>
    <n v="37008647"/>
    <s v="Jefferson Barbosa Prestes de Oliveira"/>
    <x v="7"/>
    <x v="0"/>
    <s v="(14) 99701-3196"/>
    <n v="373105"/>
    <s v="CASSIO THOMAS DA SILVEIRA"/>
    <n v="4021"/>
    <s v="TEC OPERACOES FLORESTAL II"/>
    <n v="20028414"/>
    <d v="2022-07-18T00:00:00"/>
    <x v="0"/>
    <s v="Lins"/>
    <s v="Sim"/>
    <s v="A54"/>
  </r>
  <r>
    <n v="37005275"/>
    <s v="JHON FELIPE SENOSKI"/>
    <x v="8"/>
    <x v="1"/>
    <s v="(14) 99653-3705"/>
    <n v="373105"/>
    <s v="MARIO FRAIZ COELHO MAIA DE ANDRADE"/>
    <n v="11213"/>
    <s v="SUP LOGISTICA"/>
    <n v="20011084"/>
    <d v="2020-11-17T00:00:00"/>
    <x v="0"/>
    <s v="São Miguel Arcanjo"/>
    <s v="Sim"/>
    <s v="A54"/>
  </r>
  <r>
    <n v="37010474"/>
    <s v="JORGE LUIS FERNANDES"/>
    <x v="1"/>
    <x v="0"/>
    <s v="(14) 99631-4076"/>
    <n v="373105"/>
    <s v="VANDERLEI JOSE HONORIO"/>
    <n v="4021"/>
    <s v="TEC OPERACOES FLORESTAIS II"/>
    <n v="20040207"/>
    <d v="2022-12-19T00:00:00"/>
    <x v="0"/>
    <s v="Agudos"/>
    <s v="Sim"/>
    <s v="A54"/>
  </r>
  <r>
    <n v="37006674"/>
    <s v="JOSE DONIZETTE LUIZ"/>
    <x v="9"/>
    <x v="0"/>
    <s v="(14) 99898-4562"/>
    <n v="373105"/>
    <s v="MARCIO APARECIDO CAVALHEIRO"/>
    <n v="4021"/>
    <s v="TEC OPERACOES FLORESTAIS III"/>
    <n v="20019979"/>
    <d v="2021-11-03T00:00:00"/>
    <x v="0"/>
    <s v="Lençóis Paulista"/>
    <s v="Sim"/>
    <s v="Moto12"/>
  </r>
  <r>
    <n v="37001183"/>
    <s v="JULIO CRISTINO MORENO"/>
    <x v="1"/>
    <x v="0"/>
    <s v="(14) 99707-5435"/>
    <n v="373105"/>
    <s v="VANDERLEI JOSE HONORIO"/>
    <n v="4021"/>
    <s v="TEC OPERACOES FLORESTAIS II"/>
    <n v="20009437"/>
    <d v="2013-04-22T00:00:00"/>
    <x v="0"/>
    <s v="Lençóis Paulista"/>
    <s v="Sim"/>
    <s v="A32"/>
  </r>
  <r>
    <n v="37009320"/>
    <s v="LAERCIO DOS SANTOS CAMARGO"/>
    <x v="1"/>
    <x v="0"/>
    <s v="(15) 99708-7870"/>
    <n v="373105"/>
    <s v="VANDERLEI JOSE HONORIO"/>
    <n v="4021"/>
    <s v="TEC OPERACOES FLORESTAL II"/>
    <n v="20032608"/>
    <d v="2022-09-05T00:00:00"/>
    <x v="0"/>
    <s v="Capão Bonito"/>
    <s v="Não"/>
    <s v="Perdeu o corporativo"/>
  </r>
  <r>
    <n v="37005933"/>
    <s v="MARCIANO BATISTA FERREIRA"/>
    <x v="10"/>
    <x v="0"/>
    <s v="(14) 99652-4282"/>
    <n v="373105"/>
    <s v="CASSIO THOMAS DA SILVEIRA"/>
    <n v="4021"/>
    <s v="TEC OPERACOES FLORESTAIS II"/>
    <n v="20016748"/>
    <d v="2021-07-05T00:00:00"/>
    <x v="0"/>
    <s v="Bauru"/>
    <s v="Sim"/>
    <s v="A54"/>
  </r>
  <r>
    <n v="37005502"/>
    <s v="MARCIO APARECIDO CAVALHEIRO"/>
    <x v="11"/>
    <x v="1"/>
    <s v="(14) 99608-6640"/>
    <n v="373105"/>
    <s v="MARIO FRAIZ COELHO MAIA DE ANDRADE"/>
    <n v="11213"/>
    <s v="SUP LOGISTICA"/>
    <n v="20013549"/>
    <d v="2021-03-15T00:00:00"/>
    <x v="0"/>
    <s v="Lençóis Paulista"/>
    <s v="Sim"/>
    <s v="A54"/>
  </r>
  <r>
    <n v="37015225"/>
    <s v="MARCIO RODRIGUES"/>
    <x v="8"/>
    <x v="0"/>
    <s v="(14) 996673610"/>
    <n v="373105"/>
    <s v="JHON FELIPE SENOSKI"/>
    <n v="4021"/>
    <s v="TEC OPERACOES FLORESTAIS II"/>
    <n v="20061883"/>
    <d v="2023-11-07T00:00:00"/>
    <x v="0"/>
    <s v="Capão Bonito"/>
    <s v="Sim"/>
    <s v="A51"/>
  </r>
  <r>
    <n v="37009708"/>
    <s v="MARIO FRAIZ COELHO MAIA DE ANDRADE"/>
    <x v="12"/>
    <x v="2"/>
    <s v="(14) 99667-5441"/>
    <n v="373105"/>
    <s v="THIAGO PETINE"/>
    <m/>
    <s v="COORD LOGISTICA FLORESTAL"/>
    <n v="20036000"/>
    <d v="2022-10-17T00:00:00"/>
    <x v="0"/>
    <s v="Bauru"/>
    <s v="Sim"/>
    <s v="A32"/>
  </r>
  <r>
    <n v="37006336"/>
    <s v="Mauricio Fernandes Teixeira"/>
    <x v="1"/>
    <x v="0"/>
    <s v="(14)99860-7877"/>
    <m/>
    <s v="VANDERLEI JOSE HONORIO"/>
    <m/>
    <m/>
    <m/>
    <d v="2021-09-08T00:00:00"/>
    <x v="0"/>
    <s v="Lins"/>
    <s v="Não"/>
    <s v="Não possui"/>
  </r>
  <r>
    <n v="37020294"/>
    <s v="Rafael Depetris Macedo"/>
    <x v="13"/>
    <x v="0"/>
    <s v="(41) 8873-0657"/>
    <n v="373105"/>
    <s v="THIAGO MARIA PROENCA ALMEIDA"/>
    <n v="4021"/>
    <s v="TEC OPERACOES FLORESTAIS II"/>
    <n v="20083253"/>
    <d v="2024-12-10T00:00:00"/>
    <x v="0"/>
    <s v="Bauru"/>
    <s v="Não"/>
    <s v="Não possui"/>
  </r>
  <r>
    <n v="37011935"/>
    <s v="RAFAEL HENRIQUE DE LIMA"/>
    <x v="5"/>
    <x v="0"/>
    <s v="(14) 99884-3590"/>
    <n v="373105"/>
    <s v="GILLIARD LEPINSCK"/>
    <n v="4021"/>
    <s v="TEC OPERACOES FLORESTAIS II - carregamento"/>
    <n v="20046764"/>
    <d v="2023-04-03T00:00:00"/>
    <x v="0"/>
    <s v="João Pinheiro"/>
    <s v="Sim"/>
    <s v="A54"/>
  </r>
  <r>
    <n v="37003203"/>
    <s v="RICARDO MONZANI"/>
    <x v="14"/>
    <x v="3"/>
    <s v="(14) 99839-2618"/>
    <n v="373105"/>
    <s v="MARCIO APARECIDO CAVALHEIRO"/>
    <n v="4022"/>
    <s v="TEC OPERACOES FLORESTAL III"/>
    <n v="20009839"/>
    <d v="2019-05-20T00:00:00"/>
    <x v="0"/>
    <s v="Lençóis Paulista"/>
    <s v="Sim"/>
    <s v="A32"/>
  </r>
  <r>
    <n v="37015337"/>
    <s v="Samuel De Souza Duarte"/>
    <x v="15"/>
    <x v="0"/>
    <s v="(14) 99850-9970"/>
    <n v="373105"/>
    <s v="CASSIO THOMAS DA SILVEIRA"/>
    <n v="4021"/>
    <s v="ASSIST OP CARREGAMENTO GRUA"/>
    <n v="20062321"/>
    <d v="2023-11-21T00:00:00"/>
    <x v="0"/>
    <s v="Marília"/>
    <s v="Sim"/>
    <s v="A54"/>
  </r>
  <r>
    <m/>
    <s v="Adriano Sanabria Flores Monte Serrat"/>
    <x v="3"/>
    <x v="1"/>
    <s v="(67) 99857-6011"/>
    <n v="373105"/>
    <s v="Angelo Antonio Martins Taparo"/>
    <n v="11213"/>
    <s v="SUP TRANSPORTES"/>
    <n v="20018176"/>
    <d v="2022-09-12T00:00:00"/>
    <x v="1"/>
    <m/>
    <s v="-"/>
    <s v="-"/>
  </r>
  <r>
    <m/>
    <s v="EZEQUIEL MERCADANTE"/>
    <x v="1"/>
    <x v="0"/>
    <s v="(14) 99697-3304"/>
    <n v="373105"/>
    <s v="VANDERLEI JOSE HONORIO"/>
    <n v="4021"/>
    <s v="TEC OPERACOES FLORESTAL II"/>
    <n v="20064721"/>
    <d v="2025-02-18T00:00:00"/>
    <x v="2"/>
    <m/>
    <s v="-"/>
    <s v="-"/>
  </r>
  <r>
    <m/>
    <s v="NERITON PETESOL DOS SANTOS"/>
    <x v="15"/>
    <x v="0"/>
    <s v="(14) 99850-9970"/>
    <n v="373105"/>
    <s v="CASSIO THOMAS DA SILVEIRA"/>
    <n v="4021"/>
    <m/>
    <n v="20032967"/>
    <d v="2023-07-04T00:00:00"/>
    <x v="3"/>
    <m/>
    <s v="-"/>
    <s v="-"/>
  </r>
  <r>
    <m/>
    <s v="JULYGLEIBER BARBOSA SOUTO"/>
    <x v="5"/>
    <x v="0"/>
    <m/>
    <n v="373105"/>
    <s v="GILLIARD LEPINSCK"/>
    <n v="4021"/>
    <m/>
    <n v="20069979"/>
    <d v="2021-04-05T00:00:00"/>
    <x v="4"/>
    <m/>
    <s v="-"/>
    <s v="-"/>
  </r>
  <r>
    <m/>
    <s v="KELVIN CORDEIRO DE LIMA"/>
    <x v="5"/>
    <x v="0"/>
    <m/>
    <n v="373105"/>
    <s v="GILLIARD LEPINSCK"/>
    <n v="4021"/>
    <m/>
    <n v="20062772"/>
    <d v="2011-08-08T00:00:00"/>
    <x v="5"/>
    <m/>
    <s v="-"/>
    <s v="-"/>
  </r>
  <r>
    <m/>
    <s v="Denilson Paulo Amaral"/>
    <x v="5"/>
    <x v="0"/>
    <s v="(31) 99743-8855"/>
    <n v="373105"/>
    <s v="GILLIARD LEPINSCK"/>
    <n v="4021"/>
    <s v="TEC OPERACOES FLORESTAIS II - carregamento "/>
    <n v="20065472"/>
    <d v="2021-05-17T00:00:00"/>
    <x v="6"/>
    <m/>
    <s v="-"/>
    <s v="-"/>
  </r>
  <r>
    <n v="37009387"/>
    <s v="Marcio Nogueira Dos Santos"/>
    <x v="3"/>
    <x v="4"/>
    <s v="(67) 9818-2935"/>
    <m/>
    <s v="Angelo Antonio Martins Taparo"/>
    <n v="4021"/>
    <s v="TEC OPERACOES FLORESTAL II"/>
    <n v="20033693"/>
    <d v="2022-09-12T00:00:00"/>
    <x v="0"/>
    <s v="Estradas"/>
    <s v="-"/>
    <s v="-"/>
  </r>
  <r>
    <m/>
    <s v="Matheus Pimentel Santos"/>
    <x v="5"/>
    <x v="4"/>
    <m/>
    <n v="373110"/>
    <s v="GILLIARD LEPINSCK"/>
    <n v="4021"/>
    <s v="TEC OPERACOES FLORESTAIS II - estradas"/>
    <n v="20080109"/>
    <d v="2024-10-15T00:00:00"/>
    <x v="7"/>
    <m/>
    <s v="-"/>
    <s v="-"/>
  </r>
  <r>
    <n v="37020896"/>
    <s v="Heitor Lucas Da Silva Brito"/>
    <x v="5"/>
    <x v="4"/>
    <m/>
    <n v="373110"/>
    <s v="GILLIARD LEPINSCK"/>
    <n v="4021"/>
    <m/>
    <n v="20085314"/>
    <d v="2025-02-18T00:00:00"/>
    <x v="0"/>
    <s v="Estradas"/>
    <s v="-"/>
    <s v="-"/>
  </r>
  <r>
    <n v="37013157"/>
    <s v="THIAGO MARIA PROENCA ALMEIDA"/>
    <x v="13"/>
    <x v="1"/>
    <s v="(14) 99694-2943"/>
    <n v="373105"/>
    <s v="MARIO FRAIZ COELHO MAIA DE ANDRADE"/>
    <n v="11213"/>
    <s v="SUP LOGISTICA"/>
    <n v="20053284"/>
    <d v="2023-07-04T00:00:00"/>
    <x v="0"/>
    <s v="Bauru"/>
    <s v="Sim"/>
    <s v="A53"/>
  </r>
  <r>
    <n v="37005557"/>
    <s v="VANDERLEI JOSE HONORIO"/>
    <x v="1"/>
    <x v="1"/>
    <s v="(14) 99719-3303"/>
    <n v="373105"/>
    <s v="MARIO FRAIZ COELHO MAIA DE ANDRADE"/>
    <n v="11213"/>
    <s v="SUP LOGISTICA FLORESTAL"/>
    <n v="20013587"/>
    <d v="2021-04-05T00:00:00"/>
    <x v="0"/>
    <s v="Agudos"/>
    <s v="Sim"/>
    <s v="A54"/>
  </r>
  <r>
    <n v="37000921"/>
    <s v="VITOR HUGO DOS SANTOS"/>
    <x v="16"/>
    <x v="0"/>
    <s v="(14) 99834-9289"/>
    <n v="373105"/>
    <s v="MARCIO APARECIDO CAVALHEIRO"/>
    <n v="4021"/>
    <s v="TEC OPERACOES FLORESTAIS II"/>
    <n v="20010019"/>
    <d v="2011-08-08T00:00:00"/>
    <x v="0"/>
    <s v="Lençóis Paulista"/>
    <s v="Sim"/>
    <s v="MOTOG30"/>
  </r>
  <r>
    <n v="37005690"/>
    <s v="WANDERLEY RODRIGUES DA SILVA"/>
    <x v="17"/>
    <x v="0"/>
    <s v="(14) 99614-4396"/>
    <n v="373105"/>
    <s v="JHON FELIPE SENOSKI"/>
    <n v="4021"/>
    <s v="TEC OPERACOES FLORESTAL II"/>
    <n v="20014475"/>
    <d v="2021-05-17T00:00:00"/>
    <x v="0"/>
    <s v="Capão Bonito"/>
    <s v="Sim"/>
    <s v="MOTOG30"/>
  </r>
  <r>
    <n v="37012197"/>
    <s v="WANDERLEY RODRIGUES DA SILVA JUNIOR"/>
    <x v="18"/>
    <x v="0"/>
    <s v="(14) 99697-3304"/>
    <n v="373105"/>
    <s v="THIAGO MARIA PROENCA ALMEIDA"/>
    <n v="4021"/>
    <s v="TEC OPERACOES FLORESTAIS II"/>
    <n v="20048548"/>
    <d v="2023-04-18T00:00:00"/>
    <x v="0"/>
    <s v="Capão Bonito"/>
    <s v="Sim"/>
    <s v="A54"/>
  </r>
  <r>
    <m/>
    <s v="REGINALDO APARECIDO VAZ"/>
    <x v="19"/>
    <x v="3"/>
    <m/>
    <m/>
    <m/>
    <m/>
    <m/>
    <m/>
    <d v="2025-06-01T00:00:0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37005668"/>
    <s v="AIRTON LOPES DA SILVA"/>
    <x v="0"/>
    <s v="Oper Maqs Florestais I Grua"/>
    <n v="373114"/>
    <s v="MARCIO APARECIDO CAVALHEIRO"/>
    <x v="0"/>
    <n v="20013964"/>
    <d v="2021-05-13T00:00:00"/>
    <x v="0"/>
    <x v="0"/>
    <s v="Lençóis Paulista"/>
    <s v="Prêmio Maio - ok"/>
  </r>
  <r>
    <n v="37005493"/>
    <s v="ANDERSON ANTONIO HENRIQUE DE OLIVEIRA"/>
    <x v="0"/>
    <s v="Assistente Operador Carregamento Grua"/>
    <n v="373114"/>
    <s v="MARCIO APARECIDO CAVALHEIRO"/>
    <x v="0"/>
    <n v="20013542"/>
    <d v="2021-03-15T00:00:00"/>
    <x v="1"/>
    <x v="0"/>
    <s v="Lençóis Paulista"/>
    <s v="Prêmio Maio - ok"/>
  </r>
  <r>
    <n v="37000092"/>
    <s v="APARECIDO RODRIGUES DE SOUZA"/>
    <x v="0"/>
    <s v="Assistente Operador Carregamento Grua"/>
    <n v="373114"/>
    <s v="MARCIO APARECIDO CAVALHEIRO"/>
    <x v="0"/>
    <n v="20008678"/>
    <d v="1992-07-10T00:00:00"/>
    <x v="1"/>
    <x v="0"/>
    <s v="Lençóis Paulista"/>
    <s v="Prêmio Maio - ok"/>
  </r>
  <r>
    <n v="37012429"/>
    <s v="CELIO ALVES DOS SANTOS"/>
    <x v="0"/>
    <s v="Oper Maqs Florestais I Grua"/>
    <n v="373114"/>
    <s v="MARCIO APARECIDO CAVALHEIRO"/>
    <x v="0"/>
    <n v="20049729"/>
    <d v="2023-05-09T00:00:00"/>
    <x v="0"/>
    <x v="0"/>
    <s v="Lençóis Paulista (guede)"/>
    <s v="Prêmio Maio - ok"/>
  </r>
  <r>
    <n v="37018299"/>
    <s v="CLAUDIVAN APARECIDO SOARES DE GOES"/>
    <x v="0"/>
    <s v="Oper Maqs Florestais I Grua"/>
    <n v="373114"/>
    <s v="MARCIO APARECIDO CAVALHEIRO"/>
    <x v="0"/>
    <n v="20072858"/>
    <d v="2024-07-02T00:00:00"/>
    <x v="0"/>
    <x v="0"/>
    <s v="Lençóis Paulista"/>
    <s v="Prêmio Maio - ok"/>
  </r>
  <r>
    <n v="37006523"/>
    <s v="CRISTIAN APARECIDO DE MELO"/>
    <x v="0"/>
    <s v="Assistente Operador Carregamento Grua"/>
    <n v="373114"/>
    <s v="MARCIO APARECIDO CAVALHEIRO"/>
    <x v="0"/>
    <n v="20018115"/>
    <d v="2021-10-04T00:00:00"/>
    <x v="1"/>
    <x v="0"/>
    <s v="Lençóis Paulista"/>
    <s v="Prêmio Maio - ok"/>
  </r>
  <r>
    <n v="37000868"/>
    <s v="CUSTODIO XAVIER"/>
    <x v="0"/>
    <s v="Assistente Operador Carregamento Grua"/>
    <n v="373114"/>
    <s v="MARCIO APARECIDO CAVALHEIRO"/>
    <x v="0"/>
    <n v="20008845"/>
    <d v="2011-06-06T00:00:00"/>
    <x v="1"/>
    <x v="0"/>
    <s v="Lençóis Paulista"/>
    <s v="Prêmio Maio - ok"/>
  </r>
  <r>
    <n v="37012287"/>
    <s v="ELIELSON ANGELO DE OLIVEIRA"/>
    <x v="0"/>
    <s v="Oper Maqs Florestais I Grua"/>
    <n v="373114"/>
    <s v="MARCIO APARECIDO CAVALHEIRO"/>
    <x v="0"/>
    <n v="20049233"/>
    <d v="2023-05-02T00:00:00"/>
    <x v="0"/>
    <x v="0"/>
    <s v="Lençóis Paulista (guede)"/>
    <s v="Prêmio Maio - ok"/>
  </r>
  <r>
    <n v="37001860"/>
    <s v="JOSE DOS SANTOS SILVA"/>
    <x v="0"/>
    <s v="Assistente Operador Carregamento Grua"/>
    <n v="373114"/>
    <s v="MARCIO APARECIDO CAVALHEIRO"/>
    <x v="0"/>
    <n v="20009387"/>
    <d v="2017-01-23T00:00:00"/>
    <x v="1"/>
    <x v="0"/>
    <s v="Lençóis Paulista"/>
    <s v="Prêmio Maio - ok"/>
  </r>
  <r>
    <n v="37005646"/>
    <s v="JURANDIR APARECIDO CRISOSTOMO"/>
    <x v="0"/>
    <s v="Oper Maqs Florestais I Grua"/>
    <n v="373114"/>
    <s v="MARCIO APARECIDO CAVALHEIRO"/>
    <x v="0"/>
    <n v="20013945"/>
    <d v="2021-05-13T00:00:00"/>
    <x v="0"/>
    <x v="0"/>
    <s v="Lençóis Paulista"/>
    <s v="Prêmio Maio - ok"/>
  </r>
  <r>
    <n v="37002172"/>
    <s v="MAGAIVER MOREIRA"/>
    <x v="0"/>
    <s v="Assistente Operador Carregamento Grua"/>
    <n v="373114"/>
    <s v="MARCIO APARECIDO CAVALHEIRO"/>
    <x v="0"/>
    <n v="20009576"/>
    <d v="2018-01-22T00:00:00"/>
    <x v="1"/>
    <x v="0"/>
    <s v="Lençóis Paulista"/>
    <s v="Prêmio Maio - ok"/>
  </r>
  <r>
    <n v="37020614"/>
    <s v="MARCELO SUPARTO DA SILVA"/>
    <x v="0"/>
    <s v="Oper Maqs Florestais I Grua"/>
    <n v="373114"/>
    <s v="MARCIO APARECIDO CAVALHEIRO"/>
    <x v="0"/>
    <n v="20084368"/>
    <d v="2025-01-21T00:00:00"/>
    <x v="0"/>
    <x v="0"/>
    <m/>
    <s v="Prêmio Maio - ok"/>
  </r>
  <r>
    <n v="37005674"/>
    <s v="MARCIO ANDRE DOS SANTOS"/>
    <x v="0"/>
    <s v="Oper Maqs Florestais I Grua"/>
    <n v="373114"/>
    <s v="MARCIO APARECIDO CAVALHEIRO"/>
    <x v="0"/>
    <n v="20013969"/>
    <d v="2021-05-13T00:00:00"/>
    <x v="0"/>
    <x v="0"/>
    <s v="Lençóis Paulista"/>
    <s v="Prêmio Maio - ok"/>
  </r>
  <r>
    <m/>
    <s v="FABRICIO RODRIGUES PONTES"/>
    <x v="0"/>
    <s v="Oper Maqs Florestais I Grua"/>
    <n v="373114"/>
    <s v="MARCIO APARECIDO CAVALHEIRO"/>
    <x v="0"/>
    <m/>
    <d v="2021-05-13T00:00:00"/>
    <x v="0"/>
    <x v="1"/>
    <m/>
    <m/>
  </r>
  <r>
    <m/>
    <s v="JULIO CESAR CORREA DA SILVA"/>
    <x v="0"/>
    <s v="Oper Maqs Florestais I Grua"/>
    <n v="373114"/>
    <s v="MARCIO APARECIDO CAVALHEIRO"/>
    <x v="0"/>
    <m/>
    <d v="2021-05-13T00:00:00"/>
    <x v="0"/>
    <x v="2"/>
    <m/>
    <m/>
  </r>
  <r>
    <n v="37005669"/>
    <s v="ODAIR DONIZETTI IZIDORO DA SILVA"/>
    <x v="0"/>
    <s v="Assistente Operador Carregamento Grua"/>
    <n v="373114"/>
    <s v="MARCIO APARECIDO CAVALHEIRO"/>
    <x v="0"/>
    <n v="20013965"/>
    <d v="2021-05-13T00:00:00"/>
    <x v="1"/>
    <x v="0"/>
    <s v="Lençóis Paulista"/>
    <s v="Prêmio Maio - ok"/>
  </r>
  <r>
    <n v="37007174"/>
    <s v="PAULO RODRIGUES DOS ANJOS"/>
    <x v="0"/>
    <s v="Oper Maqs Florestais I Grua"/>
    <n v="373114"/>
    <s v="MARCIO APARECIDO CAVALHEIRO"/>
    <x v="0"/>
    <n v="20022977"/>
    <d v="2022-02-17T00:00:00"/>
    <x v="0"/>
    <x v="0"/>
    <s v="Areiópolis"/>
    <s v="Prêmio Maio - ok"/>
  </r>
  <r>
    <n v="37001934"/>
    <s v="VAGNER PEREIRA DOS SANTOS"/>
    <x v="0"/>
    <s v="Assistente Operador Carregamento Grua"/>
    <n v="373114"/>
    <s v="MARCIO APARECIDO CAVALHEIRO"/>
    <x v="0"/>
    <n v="20009981"/>
    <d v="2017-04-03T00:00:00"/>
    <x v="1"/>
    <x v="0"/>
    <s v="Lençóis Paulista"/>
    <s v="Prêmio Maio - ok"/>
  </r>
  <r>
    <n v="37005672"/>
    <s v="WESLEY ROBSON FERREIRA DA SILVA"/>
    <x v="0"/>
    <s v="Oper Maqs Florestais I Grua"/>
    <n v="373114"/>
    <s v="MARCIO APARECIDO CAVALHEIRO"/>
    <x v="0"/>
    <n v="20013968"/>
    <d v="2021-05-13T00:00:00"/>
    <x v="0"/>
    <x v="0"/>
    <s v="Lençóis Paulista"/>
    <s v="Prêmio Maio - ok"/>
  </r>
  <r>
    <m/>
    <s v="CRISTIANO FERREIRA SANTOS"/>
    <x v="1"/>
    <s v="Assistente Operador Carregamento Grua"/>
    <n v="373114"/>
    <s v="JHON FELIPE SENOSKI"/>
    <x v="1"/>
    <n v="20014383"/>
    <d v="2021-05-13T00:00:00"/>
    <x v="1"/>
    <x v="3"/>
    <s v="Itapeva"/>
    <m/>
  </r>
  <r>
    <m/>
    <s v="JULIO CESAR OLIVEIRA SANTOS"/>
    <x v="1"/>
    <s v="Oper Maqs Florestais I Grua"/>
    <n v="373114"/>
    <s v="JHON FELIPE SENOSKI"/>
    <x v="1"/>
    <n v="20055398"/>
    <d v="2023-07-18T00:00:00"/>
    <x v="0"/>
    <x v="4"/>
    <s v="Itapeva"/>
    <m/>
  </r>
  <r>
    <n v="37015497"/>
    <s v="ELISEU BUENO DE PAULO"/>
    <x v="1"/>
    <s v="Oper Maqs Florestais I Grua"/>
    <n v="373114"/>
    <s v="JHON FELIPE SENOSKI"/>
    <x v="1"/>
    <n v="20062748"/>
    <d v="2023-12-05T00:00:00"/>
    <x v="0"/>
    <x v="0"/>
    <s v="Itapeva"/>
    <s v="Prêmio Maio - ok"/>
  </r>
  <r>
    <n v="37018691"/>
    <s v="ENOQUE VIEIRA DE PAULO"/>
    <x v="1"/>
    <s v="Oper Maqs Florestais I Grua"/>
    <n v="373114"/>
    <s v="JHON FELIPE SENOSKI"/>
    <x v="1"/>
    <n v="20074848"/>
    <d v="2024-08-06T00:00:00"/>
    <x v="0"/>
    <x v="0"/>
    <s v="Campina de fora"/>
    <s v="Prêmio Maio - ok"/>
  </r>
  <r>
    <n v="37018692"/>
    <s v="ESAU VIEIRA DE PAULO"/>
    <x v="1"/>
    <s v="Oper Maqs Florestais I Grua"/>
    <n v="373114"/>
    <s v="JHON FELIPE SENOSKI"/>
    <x v="1"/>
    <n v="20074849"/>
    <d v="2024-08-06T00:00:00"/>
    <x v="0"/>
    <x v="0"/>
    <s v="Itapeva(campina de fora)"/>
    <s v="Prêmio Maio - ok"/>
  </r>
  <r>
    <n v="37006418"/>
    <s v="FABRICIO SANTOS PEREIRA"/>
    <x v="1"/>
    <s v="Assistente Operador Carregamento Grua"/>
    <n v="373114"/>
    <s v="JHON FELIPE SENOSKI"/>
    <x v="1"/>
    <n v="20017828"/>
    <d v="2021-09-20T00:00:00"/>
    <x v="1"/>
    <x v="0"/>
    <s v="Itapeva"/>
    <s v="Prêmio Maio - ok"/>
  </r>
  <r>
    <n v="37008824"/>
    <s v="FRANCISCO HENRIQUE PEREIRA DE LIMA"/>
    <x v="1"/>
    <s v="Assistente Operador Carregamento Grua"/>
    <n v="373114"/>
    <s v="JHON FELIPE SENOSKI"/>
    <x v="1"/>
    <n v="20034927"/>
    <d v="2022-08-04T00:00:00"/>
    <x v="1"/>
    <x v="0"/>
    <s v="Itapeva"/>
    <s v="Prêmio Maio - ok"/>
  </r>
  <r>
    <n v="37013385"/>
    <s v="JAIR MARQUES DA SILVA FILHO"/>
    <x v="1"/>
    <s v="Assistente Operador Carregamento Grua"/>
    <n v="373114"/>
    <s v="JHON FELIPE SENOSKI"/>
    <x v="1"/>
    <n v="20054463"/>
    <d v="2023-07-11T00:00:00"/>
    <x v="1"/>
    <x v="0"/>
    <s v="Capão bonito"/>
    <s v="Prêmio Maio - ok"/>
  </r>
  <r>
    <n v="37005649"/>
    <s v="JEFERSON DE PAULA SILVA"/>
    <x v="1"/>
    <s v="Assistente Operador Carregamento Grua"/>
    <n v="373114"/>
    <s v="JHON FELIPE SENOSKI"/>
    <x v="1"/>
    <n v="20013948"/>
    <d v="2021-05-13T00:00:00"/>
    <x v="1"/>
    <x v="0"/>
    <s v="Itapeva"/>
    <s v="Prêmio Maio - ok"/>
  </r>
  <r>
    <n v="37009369"/>
    <s v="JORGE FLEXA BARBOSA"/>
    <x v="1"/>
    <s v="Assistente Operador Carregamento Grua"/>
    <n v="373114"/>
    <s v="JHON FELIPE SENOSKI"/>
    <x v="1"/>
    <n v="20033390"/>
    <d v="2022-09-12T00:00:00"/>
    <x v="1"/>
    <x v="0"/>
    <s v="Itapeva"/>
    <s v="Prêmio Maio - ok"/>
  </r>
  <r>
    <n v="37021674"/>
    <s v="LEONARDO DONIAS ROCHA FURQUIM "/>
    <x v="1"/>
    <s v="Oper Maqs Florestais I Grua"/>
    <n v="373114"/>
    <s v="JHON FELIPE SENOSKI"/>
    <x v="1"/>
    <n v="20089575"/>
    <d v="2025-04-08T00:00:00"/>
    <x v="0"/>
    <x v="0"/>
    <s v="Itapeva"/>
    <s v="pagar proporcional"/>
  </r>
  <r>
    <n v="37005645"/>
    <s v="MARCIO ROGERIO BARREIROS"/>
    <x v="1"/>
    <s v="Assistente Operador Carregamento Grua"/>
    <n v="373114"/>
    <s v="JHON FELIPE SENOSKI"/>
    <x v="1"/>
    <n v="20014382"/>
    <d v="2021-05-13T00:00:00"/>
    <x v="1"/>
    <x v="0"/>
    <s v="Itapeva"/>
    <s v="Prêmio Maio - ok"/>
  </r>
  <r>
    <n v="37009096"/>
    <s v="MAYCON COTA LOPES"/>
    <x v="1"/>
    <s v="Oper Maqs Florestais I Grua"/>
    <n v="373114"/>
    <s v="JHON FELIPE SENOSKI"/>
    <x v="1"/>
    <n v="20031522"/>
    <d v="2022-08-15T00:00:00"/>
    <x v="0"/>
    <x v="0"/>
    <s v="Nova campinas"/>
    <s v="Prêmio Maio - ok"/>
  </r>
  <r>
    <n v="37011081"/>
    <s v="MOIZES RODRIGUES FERREIRA"/>
    <x v="1"/>
    <s v="Oper Maqs Florestais I Grua"/>
    <n v="373114"/>
    <s v="JHON FELIPE SENOSKI"/>
    <x v="1"/>
    <n v="20042153"/>
    <d v="2023-02-06T00:00:00"/>
    <x v="0"/>
    <x v="0"/>
    <s v="Itapeva"/>
    <s v="Prêmio Maio - ok"/>
  </r>
  <r>
    <m/>
    <s v="LEANDRO FERREIRA DE ALMEIDA"/>
    <x v="1"/>
    <s v="Oper Maqs Florestais I Grua"/>
    <n v="373114"/>
    <s v="JHON FELIPE SENOSKI"/>
    <x v="1"/>
    <m/>
    <d v="2022-12-05T00:00:00"/>
    <x v="0"/>
    <x v="5"/>
    <m/>
    <m/>
  </r>
  <r>
    <m/>
    <s v="WESLEY AMARAL CAMARGO"/>
    <x v="1"/>
    <s v="Assistente Operador Carregamento Grua"/>
    <n v="373114"/>
    <s v="JHON FELIPE SENOSKI"/>
    <x v="1"/>
    <m/>
    <d v="2021-05-13T00:00:00"/>
    <x v="1"/>
    <x v="6"/>
    <m/>
    <m/>
  </r>
  <r>
    <n v="37011476"/>
    <s v="SALATIEL FRANCO BOACHAQUES"/>
    <x v="1"/>
    <s v="Oper Maqs Florestais I Grua"/>
    <n v="373114"/>
    <s v="JHON FELIPE SENOSKI"/>
    <x v="1"/>
    <n v="20044135"/>
    <d v="2023-03-06T00:00:00"/>
    <x v="0"/>
    <x v="0"/>
    <s v="Itapeva"/>
    <s v="Prêmio Maio - ok"/>
  </r>
  <r>
    <n v="37011488"/>
    <s v="THIAGO VINICIUS DE MOURA DUARTE"/>
    <x v="1"/>
    <s v="Assistente Operador Carregamento Grua"/>
    <n v="373114"/>
    <s v="JHON FELIPE SENOSKI"/>
    <x v="1"/>
    <n v="20044147"/>
    <d v="2023-03-06T00:00:00"/>
    <x v="1"/>
    <x v="0"/>
    <s v="Itapeva"/>
    <s v="Prêmio Maio - ok"/>
  </r>
  <r>
    <n v="37005782"/>
    <s v="AMARILDO RODRIGUES DE PAULA"/>
    <x v="2"/>
    <s v="Assistente Operador Carregamento Grua"/>
    <n v="373114"/>
    <s v="JHON FELIPE SENOSKI"/>
    <x v="2"/>
    <n v="20016046"/>
    <d v="2021-06-01T00:00:00"/>
    <x v="1"/>
    <x v="0"/>
    <s v="Itatinga"/>
    <s v="Prêmio Maio - ok"/>
  </r>
  <r>
    <n v="37020619"/>
    <s v="Bruno De Souza"/>
    <x v="2"/>
    <s v="Oper Maqs Florestais I Grua"/>
    <n v="373114"/>
    <s v="JHON FELIPE SENOSKI"/>
    <x v="2"/>
    <n v="20084373"/>
    <d v="2025-01-21T00:00:00"/>
    <x v="0"/>
    <x v="0"/>
    <m/>
    <s v="Prêmio Maio - ok"/>
  </r>
  <r>
    <n v="37020807"/>
    <s v="Celso Alves Bueno"/>
    <x v="2"/>
    <s v="Oper Maqs Florestais I Grua"/>
    <n v="373114"/>
    <s v="JHON FELIPE SENOSKI"/>
    <x v="2"/>
    <n v="20085171"/>
    <d v="2025-02-11T00:00:00"/>
    <x v="0"/>
    <x v="0"/>
    <m/>
    <s v="Prêmio Maio - ok"/>
  </r>
  <r>
    <n v="37013716"/>
    <s v="CLEVER TORCINELLI PRUDENCIO"/>
    <x v="2"/>
    <s v="Oper Maqs Florestais I Grua"/>
    <n v="373114"/>
    <s v="JHON FELIPE SENOSKI"/>
    <x v="2"/>
    <n v="20056311"/>
    <d v="2023-08-15T00:00:00"/>
    <x v="0"/>
    <x v="0"/>
    <s v="Agudos"/>
    <s v="Prêmio Maio - ok"/>
  </r>
  <r>
    <n v="37010826"/>
    <s v="DANIEL CORREA DE LIMA"/>
    <x v="2"/>
    <s v="Assistente Operador Carregamento Grua"/>
    <n v="373114"/>
    <s v="JHON FELIPE SENOSKI"/>
    <x v="2"/>
    <n v="20041222"/>
    <d v="2023-01-16T00:00:00"/>
    <x v="1"/>
    <x v="0"/>
    <s v="Itatinga"/>
    <s v="Prêmio Maio - ok"/>
  </r>
  <r>
    <n v="37009198"/>
    <s v="DEIVID FRANCISCO TEIXEIRA"/>
    <x v="2"/>
    <s v="Assistente Operador Carregamento Grua"/>
    <n v="373114"/>
    <s v="JHON FELIPE SENOSKI"/>
    <x v="2"/>
    <n v="20032235"/>
    <d v="2022-08-22T00:00:00"/>
    <x v="1"/>
    <x v="0"/>
    <s v="Itatinga"/>
    <s v="Prêmio Maio - ok"/>
  </r>
  <r>
    <n v="37006345"/>
    <s v="DORIVAL FOGACA"/>
    <x v="2"/>
    <s v="Assistente Operador Carregamento Grua"/>
    <n v="373114"/>
    <s v="JHON FELIPE SENOSKI"/>
    <x v="2"/>
    <n v="20017072"/>
    <d v="2021-09-08T00:00:00"/>
    <x v="1"/>
    <x v="0"/>
    <s v="Itatinga"/>
    <s v="Prêmio Maio - ok"/>
  </r>
  <r>
    <n v="37021092"/>
    <s v="ELIANE DE MATTOS"/>
    <x v="2"/>
    <s v="Oper Maqs Florestais I Grua"/>
    <n v="373114"/>
    <s v="JHON FELIPE SENOSKI"/>
    <x v="2"/>
    <n v="20086589"/>
    <d v="2025-03-11T00:00:00"/>
    <x v="0"/>
    <x v="0"/>
    <m/>
    <s v="Prêmio Maio - ok"/>
  </r>
  <r>
    <n v="37005790"/>
    <s v="ELISEU MARCOLINO DOS SANTOS"/>
    <x v="2"/>
    <s v="Assistente Operador Carregamento Grua"/>
    <n v="373114"/>
    <s v="JHON FELIPE SENOSKI"/>
    <x v="2"/>
    <n v="20016041"/>
    <d v="2021-06-01T00:00:00"/>
    <x v="1"/>
    <x v="0"/>
    <s v="Itatinga"/>
    <s v="Prêmio Maio - ok"/>
  </r>
  <r>
    <n v="37011355"/>
    <s v="ELITON DE PONTES"/>
    <x v="2"/>
    <s v="Oper Maqs Florestais I Grua"/>
    <n v="373114"/>
    <s v="JHON FELIPE SENOSKI"/>
    <x v="2"/>
    <n v="20043355"/>
    <d v="2023-03-01T00:00:00"/>
    <x v="0"/>
    <x v="0"/>
    <s v="Itatinga"/>
    <s v="Prêmio Maio - ok"/>
  </r>
  <r>
    <m/>
    <s v="CARLOS ROBERTO SOUZA PAIXAO"/>
    <x v="2"/>
    <s v="Oper Maqs Florestais I Grua"/>
    <n v="373114"/>
    <s v="JHON FELIPE SENOSKI"/>
    <x v="2"/>
    <m/>
    <d v="2023-02-13T00:00:00"/>
    <x v="0"/>
    <x v="4"/>
    <s v="Itatinga"/>
    <m/>
  </r>
  <r>
    <n v="37005791"/>
    <s v="HUBALDO GUILHERME VITORIANO LIMA"/>
    <x v="2"/>
    <s v="Assistente Operador Carregamento Grua"/>
    <n v="373114"/>
    <s v="JHON FELIPE SENOSKI"/>
    <x v="2"/>
    <n v="20016047"/>
    <d v="2021-06-01T00:00:00"/>
    <x v="1"/>
    <x v="0"/>
    <s v="Itatinga"/>
    <s v="Prêmio Maio - ok"/>
  </r>
  <r>
    <m/>
    <s v="EDENILSON ADEMIR PEREIRA"/>
    <x v="2"/>
    <s v="Assistente Operador Carregamento Grua"/>
    <n v="373114"/>
    <s v="JHON FELIPE SENOSKI"/>
    <x v="2"/>
    <m/>
    <d v="2021-09-08T00:00:00"/>
    <x v="1"/>
    <x v="7"/>
    <s v="Botucatu"/>
    <m/>
  </r>
  <r>
    <n v="37021545"/>
    <s v="JAIR THEODORO "/>
    <x v="2"/>
    <s v="Oper Maqs Florestais I Grua"/>
    <n v="373114"/>
    <s v="JHON FELIPE SENOSKI"/>
    <x v="2"/>
    <n v="20089411"/>
    <d v="2025-04-08T00:00:00"/>
    <x v="0"/>
    <x v="0"/>
    <s v="Itatinga"/>
    <s v="pagar proporcional"/>
  </r>
  <r>
    <m/>
    <s v="JOSE EDUARDO DE SOUZA PAIXAO"/>
    <x v="2"/>
    <s v="Oper Maqs Florestais I Grua"/>
    <n v="373114"/>
    <s v="JHON FELIPE SENOSKI"/>
    <x v="2"/>
    <m/>
    <d v="2023-03-01T00:00:00"/>
    <x v="0"/>
    <x v="8"/>
    <m/>
    <m/>
  </r>
  <r>
    <m/>
    <s v="MARCO ANTONIO DE OLIVEIRA SILVA"/>
    <x v="2"/>
    <s v="Assistente Operador Carregamento Grua"/>
    <n v="373114"/>
    <s v="JHON FELIPE SENOSKI"/>
    <x v="2"/>
    <m/>
    <d v="2021-06-01T00:00:00"/>
    <x v="1"/>
    <x v="7"/>
    <s v="Itatinga"/>
    <m/>
  </r>
  <r>
    <n v="37011356"/>
    <s v="JORGE DANIEL TEIXEIRA"/>
    <x v="2"/>
    <s v="Oper Maqs Florestais I Grua"/>
    <n v="373114"/>
    <s v="JHON FELIPE SENOSKI"/>
    <x v="2"/>
    <n v="20043356"/>
    <d v="2023-03-01T00:00:00"/>
    <x v="0"/>
    <x v="0"/>
    <s v="Itatinga"/>
    <s v="Prêmio Maio - ok"/>
  </r>
  <r>
    <n v="37021045"/>
    <s v="NELCI DE CARVALHO"/>
    <x v="2"/>
    <s v="Oper Maqs Florestais I Grua"/>
    <n v="373114"/>
    <s v="JHON FELIPE SENOSKI"/>
    <x v="2"/>
    <n v="20086480"/>
    <d v="2025-03-11T00:00:00"/>
    <x v="0"/>
    <x v="0"/>
    <m/>
    <s v="Prêmio Maio - ok"/>
  </r>
  <r>
    <m/>
    <s v="GUILHERME AFONSO MASSAGLI"/>
    <x v="2"/>
    <s v="Assistente Operador Carregamento Grua"/>
    <n v="373114"/>
    <s v="JHON FELIPE SENOSKI"/>
    <x v="2"/>
    <m/>
    <d v="2021-06-01T00:00:00"/>
    <x v="1"/>
    <x v="9"/>
    <m/>
    <m/>
  </r>
  <r>
    <m/>
    <s v="ALISON GUSTAVO DE REZENDE"/>
    <x v="2"/>
    <s v="Oper Maqs Florestais I Grua"/>
    <n v="373114"/>
    <s v="JHON FELIPE SENOSKI"/>
    <x v="2"/>
    <m/>
    <d v="2023-01-09T00:00:00"/>
    <x v="0"/>
    <x v="10"/>
    <m/>
    <m/>
  </r>
  <r>
    <n v="37009026"/>
    <s v="PAULO SERGIO ZANELLA"/>
    <x v="2"/>
    <s v="Oper Maqs Florestais I Grua"/>
    <n v="373114"/>
    <s v="JHON FELIPE SENOSKI"/>
    <x v="2"/>
    <n v="20030999"/>
    <d v="2022-08-08T00:00:00"/>
    <x v="0"/>
    <x v="0"/>
    <s v="Itatinga"/>
    <s v="Prêmio Maio - ok"/>
  </r>
  <r>
    <n v="37014379"/>
    <s v="ROGELIO SIQUEIRA"/>
    <x v="2"/>
    <s v="Assistente Operador Carregamento Grua"/>
    <n v="373114"/>
    <s v="JHON FELIPE SENOSKI"/>
    <x v="2"/>
    <n v="20058514"/>
    <d v="2023-09-05T00:00:00"/>
    <x v="1"/>
    <x v="0"/>
    <s v="Itatinga"/>
    <s v="Prêmio Maio - ok"/>
  </r>
  <r>
    <n v="37013717"/>
    <s v="Alex Varanda Da Silva"/>
    <x v="3"/>
    <s v="Assistente Operador Carregamento Grua"/>
    <n v="373114"/>
    <s v="MARCIO APARECIDO CAVALHEIRO"/>
    <x v="3"/>
    <n v="20056312"/>
    <d v="2023-08-15T00:00:00"/>
    <x v="1"/>
    <x v="0"/>
    <s v="Agudos"/>
    <s v="Prêmio Maio - ok"/>
  </r>
  <r>
    <n v="37010495"/>
    <s v="EVERTON LOPES ALVES"/>
    <x v="3"/>
    <s v="Assistente Operador Carregamento Grua"/>
    <n v="373114"/>
    <s v="MARCIO APARECIDO CAVALHEIRO"/>
    <x v="3"/>
    <n v="20040228"/>
    <d v="2022-12-19T00:00:00"/>
    <x v="1"/>
    <x v="0"/>
    <s v="Agudos"/>
    <s v="Prêmio Maio - ok"/>
  </r>
  <r>
    <n v="37020817"/>
    <s v="GIOVANO DOS SANTOS PEREIRA"/>
    <x v="3"/>
    <s v="Oper Maqs Florestais I Grua"/>
    <n v="373114"/>
    <s v="MARCIO APARECIDO CAVALHEIRO"/>
    <x v="3"/>
    <n v="20085191"/>
    <d v="2025-02-11T00:00:00"/>
    <x v="0"/>
    <x v="0"/>
    <m/>
    <s v="Prêmio Maio - ok"/>
  </r>
  <r>
    <n v="37006675"/>
    <s v="JAZIEL DOS SANTOS ARAUJO"/>
    <x v="3"/>
    <s v="Oper Maqs Florestais I Grua"/>
    <n v="373114"/>
    <s v="MARCIO APARECIDO CAVALHEIRO"/>
    <x v="3"/>
    <n v="20018752"/>
    <d v="2021-11-03T00:00:00"/>
    <x v="0"/>
    <x v="0"/>
    <s v="Agudos"/>
    <s v="Prêmio Maio - ok"/>
  </r>
  <r>
    <n v="37006782"/>
    <s v="JOAO BATISTA BARBOSA BRITO"/>
    <x v="3"/>
    <s v="Assistente Operador Carregamento Grua"/>
    <n v="373114"/>
    <s v="MARCIO APARECIDO CAVALHEIRO"/>
    <x v="3"/>
    <n v="20019009"/>
    <d v="2021-11-22T00:00:00"/>
    <x v="1"/>
    <x v="0"/>
    <s v="Agudos"/>
    <s v="Prêmio Maio - ok"/>
  </r>
  <r>
    <n v="37013351"/>
    <s v="LUIZ CARLOS LOPES CRUZ"/>
    <x v="3"/>
    <s v="Assistente Operador Carregamento Grua"/>
    <n v="373114"/>
    <s v="MARCIO APARECIDO CAVALHEIRO"/>
    <x v="3"/>
    <n v="20054008"/>
    <d v="2023-07-11T00:00:00"/>
    <x v="1"/>
    <x v="0"/>
    <s v="Agudos"/>
    <s v="Prêmio Maio - ok"/>
  </r>
  <r>
    <m/>
    <s v="LUCIANO SILVESTRE"/>
    <x v="3"/>
    <s v="Assistente Operador Carregamento Grua"/>
    <n v="373114"/>
    <s v="MARCIO APARECIDO CAVALHEIRO"/>
    <x v="3"/>
    <m/>
    <d v="2021-08-09T00:00:00"/>
    <x v="1"/>
    <x v="11"/>
    <s v="Agudos"/>
    <m/>
  </r>
  <r>
    <n v="37008955"/>
    <s v="MILANDIA VICENTE COSTA"/>
    <x v="3"/>
    <s v="Oper Maqs Florestais I Grua"/>
    <n v="373114"/>
    <s v="MARCIO APARECIDO CAVALHEIRO"/>
    <x v="3"/>
    <n v="20035279"/>
    <d v="2022-08-04T00:00:00"/>
    <x v="0"/>
    <x v="0"/>
    <s v="Agudos"/>
    <s v="Prêmio Maio - ok"/>
  </r>
  <r>
    <n v="37005982"/>
    <s v="NATALYA MARIANO CLARO"/>
    <x v="3"/>
    <s v="Oper Maqs Florestais I Grua"/>
    <n v="373114"/>
    <s v="MARCIO APARECIDO CAVALHEIRO"/>
    <x v="3"/>
    <n v="20016784"/>
    <d v="2021-07-05T00:00:00"/>
    <x v="0"/>
    <x v="0"/>
    <s v="Agudos"/>
    <s v="Prêmio Maio - ok"/>
  </r>
  <r>
    <n v="37006437"/>
    <s v="PAULO CESAR GARCIA"/>
    <x v="3"/>
    <s v="Oper Maqs Florestais I Grua"/>
    <n v="373114"/>
    <s v="MARCIO APARECIDO CAVALHEIRO"/>
    <x v="3"/>
    <n v="20017841"/>
    <d v="2021-09-20T00:00:00"/>
    <x v="0"/>
    <x v="0"/>
    <s v="Agudos"/>
    <s v="Prêmio Maio - ok"/>
  </r>
  <r>
    <n v="37005988"/>
    <s v="RENATO DE MELLO MARQUES"/>
    <x v="3"/>
    <s v="Oper Maqs Florestais I Grua"/>
    <n v="373114"/>
    <s v="MARCIO APARECIDO CAVALHEIRO"/>
    <x v="3"/>
    <n v="20016790"/>
    <d v="2021-07-05T00:00:00"/>
    <x v="0"/>
    <x v="0"/>
    <s v="Agudos"/>
    <s v="Prêmio Maio - ok"/>
  </r>
  <r>
    <n v="37013308"/>
    <s v="RICARDO PISANI DA SILVA"/>
    <x v="3"/>
    <s v="Assistente Operador Carregamento Grua"/>
    <n v="373114"/>
    <s v="MARCIO APARECIDO CAVALHEIRO"/>
    <x v="3"/>
    <n v="20053670"/>
    <d v="2023-07-04T00:00:00"/>
    <x v="1"/>
    <x v="0"/>
    <s v="Agudos"/>
    <s v="Prêmio Maio - ok"/>
  </r>
  <r>
    <m/>
    <s v="RICARDO NEVES FERREIRA"/>
    <x v="3"/>
    <s v="Assistente Operador Carregamento Grua"/>
    <n v="373114"/>
    <s v="MARCIO APARECIDO CAVALHEIRO"/>
    <x v="3"/>
    <m/>
    <d v="2022-01-10T00:00:00"/>
    <x v="1"/>
    <x v="12"/>
    <s v="Agudos"/>
    <m/>
  </r>
  <r>
    <n v="37018828"/>
    <s v="RODRIGO DA COSTA VASCONCELLOS"/>
    <x v="3"/>
    <s v="Oper Maqs Florestais I Grua"/>
    <n v="373114"/>
    <s v="MARCIO APARECIDO CAVALHEIRO"/>
    <x v="3"/>
    <n v="20075123"/>
    <d v="2024-08-06T00:00:00"/>
    <x v="0"/>
    <x v="0"/>
    <s v="Agudos"/>
    <s v="Prêmio Maio - ok"/>
  </r>
  <r>
    <n v="37013499"/>
    <s v="SAVIO AUGUSTO DA SILVA"/>
    <x v="3"/>
    <s v="Assistente Operador Carregamento Grua"/>
    <n v="373114"/>
    <s v="MARCIO APARECIDO CAVALHEIRO"/>
    <x v="3"/>
    <n v="20055395"/>
    <d v="2023-07-18T00:00:00"/>
    <x v="1"/>
    <x v="0"/>
    <s v="Agudos"/>
    <s v="Prêmio Maio - ok"/>
  </r>
  <r>
    <n v="37013752"/>
    <s v="TEYLOR FELIPE LOPES ARAUJO"/>
    <x v="3"/>
    <s v="Oper Maqs Florestais I Grua"/>
    <n v="373114"/>
    <s v="MARCIO APARECIDO CAVALHEIRO"/>
    <x v="3"/>
    <n v="20056387"/>
    <d v="2023-08-15T00:00:00"/>
    <x v="0"/>
    <x v="0"/>
    <s v="Agudos"/>
    <s v="Prêmio Maio - ok"/>
  </r>
  <r>
    <m/>
    <s v="JOAO BATISTA LIMA"/>
    <x v="3"/>
    <s v="Assistente Operador Carregamento Grua"/>
    <n v="373114"/>
    <s v="MARCIO APARECIDO CAVALHEIRO"/>
    <x v="3"/>
    <m/>
    <d v="2021-08-09T00:00:00"/>
    <x v="1"/>
    <x v="13"/>
    <m/>
    <m/>
  </r>
  <r>
    <m/>
    <s v="MARCOS RIBEIRO FREIRE"/>
    <x v="3"/>
    <s v="Assistente Operador Carregamento Grua"/>
    <n v="373114"/>
    <s v="MARCIO APARECIDO CAVALHEIRO"/>
    <x v="3"/>
    <m/>
    <d v="2022-11-16T00:00:00"/>
    <x v="1"/>
    <x v="14"/>
    <m/>
    <m/>
  </r>
  <r>
    <m/>
    <s v="REGINALDO APARECIDO VAZ"/>
    <x v="3"/>
    <s v="Assistente Operador Carregamento Grua"/>
    <n v="373114"/>
    <s v="MARCIO APARECIDO CAVALHEIRO"/>
    <x v="3"/>
    <m/>
    <d v="2023-09-05T00:00:00"/>
    <x v="1"/>
    <x v="10"/>
    <m/>
    <m/>
  </r>
  <r>
    <n v="37008020"/>
    <s v="ACACIO DAMAZIO"/>
    <x v="4"/>
    <s v="Oper Maqs Florestais I Grua"/>
    <n v="373114"/>
    <s v="THIAGO MARIA PROENCA ALMEIDA"/>
    <x v="4"/>
    <n v="20026063"/>
    <d v="2022-06-01T00:00:00"/>
    <x v="0"/>
    <x v="0"/>
    <s v="Bauru"/>
    <s v="Prêmio Maio - ok"/>
  </r>
  <r>
    <m/>
    <s v="FELIPE ARTUR DOS SANTOS RODRIGUES"/>
    <x v="4"/>
    <s v="Assistente Operador Carregamento Grua"/>
    <n v="373114"/>
    <s v="THIAGO MARIA PROENCA ALMEIDA"/>
    <x v="4"/>
    <m/>
    <d v="2023-06-06T00:00:00"/>
    <x v="1"/>
    <x v="15"/>
    <s v="Bauru"/>
    <m/>
  </r>
  <r>
    <n v="37013758"/>
    <s v="ANTONIO MARCOS GOMES FERNANDES"/>
    <x v="4"/>
    <s v="Assistente Operador Carregamento Grua"/>
    <n v="373114"/>
    <s v="THIAGO MARIA PROENCA ALMEIDA"/>
    <x v="4"/>
    <n v="20056393"/>
    <d v="2023-08-15T00:00:00"/>
    <x v="1"/>
    <x v="0"/>
    <s v="Bauru"/>
    <s v="Prêmio Maio - ok"/>
  </r>
  <r>
    <n v="37011464"/>
    <s v="ARIANA SANTOS NAVARRO"/>
    <x v="4"/>
    <s v="Oper Maqs Florestais I Grua"/>
    <n v="373114"/>
    <s v="THIAGO MARIA PROENCA ALMEIDA"/>
    <x v="4"/>
    <n v="20044123"/>
    <d v="2023-03-06T00:00:00"/>
    <x v="0"/>
    <x v="0"/>
    <s v="Bauru"/>
    <s v="Prêmio Maio - ok"/>
  </r>
  <r>
    <m/>
    <s v="MAYCO MARQUES OLIVEIRA"/>
    <x v="4"/>
    <s v="Assistente Operador Carregamento Grua"/>
    <n v="373114"/>
    <s v="THIAGO MARIA PROENCA ALMEIDA"/>
    <x v="4"/>
    <m/>
    <d v="2022-10-03T00:00:00"/>
    <x v="1"/>
    <x v="16"/>
    <s v="Bauru"/>
    <m/>
  </r>
  <r>
    <n v="37006237"/>
    <s v="CARLOS REINAN PEREIRA TAVARES"/>
    <x v="4"/>
    <s v="Assistente Operador Carregamento Grua"/>
    <n v="373114"/>
    <s v="THIAGO MARIA PROENCA ALMEIDA"/>
    <x v="4"/>
    <n v="20016982"/>
    <d v="2021-08-23T00:00:00"/>
    <x v="1"/>
    <x v="0"/>
    <s v="Bauru"/>
    <s v="Prêmio Maio - ok"/>
  </r>
  <r>
    <n v="37019174"/>
    <s v="CLEIBER PINTO TEIXEIRA"/>
    <x v="4"/>
    <s v="Oper Maqs Florestais I Grua"/>
    <n v="373114"/>
    <s v="THIAGO MARIA PROENCA ALMEIDA"/>
    <x v="4"/>
    <n v="20077381"/>
    <d v="2024-09-10T00:00:00"/>
    <x v="0"/>
    <x v="0"/>
    <m/>
    <s v="Prêmio Maio - ok"/>
  </r>
  <r>
    <n v="37009726"/>
    <s v="DANIEL SOARES DE BRITO"/>
    <x v="4"/>
    <s v="Assistente Operador Carregamento Grua"/>
    <n v="373114"/>
    <s v="THIAGO MARIA PROENCA ALMEIDA"/>
    <x v="4"/>
    <n v="20036011"/>
    <d v="2022-10-17T00:00:00"/>
    <x v="1"/>
    <x v="0"/>
    <m/>
    <s v="Prêmio Maio - ok"/>
  </r>
  <r>
    <m/>
    <s v="EDER BERNARDES DA SILVA"/>
    <x v="4"/>
    <s v="Assistente Operador Carregamento Grua"/>
    <n v="373114"/>
    <s v="THIAGO MARIA PROENCA ALMEIDA"/>
    <x v="4"/>
    <n v="20059011"/>
    <d v="2023-09-12T00:00:00"/>
    <x v="1"/>
    <x v="17"/>
    <s v="Bauru"/>
    <s v="Prêmio Maio - ok"/>
  </r>
  <r>
    <m/>
    <s v="DANIEL RICARDO PARDIM RIBEIRO"/>
    <x v="4"/>
    <s v="Oper Maqs Florestais I Grua"/>
    <n v="373114"/>
    <s v="THIAGO MARIA PROENCA ALMEIDA"/>
    <x v="4"/>
    <m/>
    <d v="2021-08-23T00:00:00"/>
    <x v="0"/>
    <x v="18"/>
    <m/>
    <m/>
  </r>
  <r>
    <m/>
    <s v="JEFFERSON SOARES DA LUZ"/>
    <x v="4"/>
    <s v="Oper Maqs Florestais I Grua"/>
    <n v="373114"/>
    <s v="THIAGO MARIA PROENCA ALMEIDA"/>
    <x v="4"/>
    <m/>
    <d v="2023-07-11T00:00:00"/>
    <x v="0"/>
    <x v="19"/>
    <m/>
    <m/>
  </r>
  <r>
    <m/>
    <s v="PAULO AUGUSTO DA SILVA"/>
    <x v="4"/>
    <s v="Operador Trainee Campo"/>
    <n v="373114"/>
    <s v="THIAGO MARIA PROENCA ALMEIDA"/>
    <x v="4"/>
    <m/>
    <m/>
    <x v="2"/>
    <x v="20"/>
    <m/>
    <m/>
  </r>
  <r>
    <m/>
    <s v="ROGERIO APARECIDO DE OLIVEIRA"/>
    <x v="4"/>
    <s v="Assistente Operador Carregamento Grua"/>
    <n v="373114"/>
    <s v="THIAGO MARIA PROENCA ALMEIDA"/>
    <x v="4"/>
    <m/>
    <d v="2023-03-01T00:00:00"/>
    <x v="1"/>
    <x v="20"/>
    <m/>
    <m/>
  </r>
  <r>
    <m/>
    <s v="WELLINGTON DO ROSARIO ALBINO"/>
    <x v="4"/>
    <s v="Assistente Operador Carregamento Grua"/>
    <n v="373114"/>
    <s v="THIAGO MARIA PROENCA ALMEIDA"/>
    <x v="4"/>
    <m/>
    <d v="2022-10-10T00:00:00"/>
    <x v="1"/>
    <x v="21"/>
    <m/>
    <m/>
  </r>
  <r>
    <n v="37011459"/>
    <s v="JOSE HENRIQUE DE SOUSA DA SILVA"/>
    <x v="4"/>
    <s v="Assistente Operador Carregamento Grua"/>
    <n v="373114"/>
    <s v="THIAGO MARIA PROENCA ALMEIDA"/>
    <x v="4"/>
    <n v="20044118"/>
    <d v="2023-03-06T00:00:00"/>
    <x v="1"/>
    <x v="0"/>
    <s v="Bauru"/>
    <s v="Prêmio Maio - ok"/>
  </r>
  <r>
    <n v="37009549"/>
    <s v="JUAN SANTOS DO CARMO"/>
    <x v="4"/>
    <s v="Assistente Operador Carregamento Grua"/>
    <n v="373114"/>
    <s v="THIAGO MARIA PROENCA ALMEIDA"/>
    <x v="4"/>
    <n v="20035367"/>
    <d v="2022-10-03T00:00:00"/>
    <x v="1"/>
    <x v="0"/>
    <s v="Bauru"/>
    <s v="Prêmio Maio - ok"/>
  </r>
  <r>
    <n v="37012631"/>
    <s v="JUCELINO DA CONCEICAO"/>
    <x v="4"/>
    <s v="Oper Maqs Florestais I Grua"/>
    <n v="373114"/>
    <s v="THIAGO MARIA PROENCA ALMEIDA"/>
    <x v="4"/>
    <n v="20051117"/>
    <d v="2023-06-06T00:00:00"/>
    <x v="0"/>
    <x v="0"/>
    <s v="Bauru"/>
    <s v="Prêmio Maio - ok"/>
  </r>
  <r>
    <n v="37009276"/>
    <s v="LUSIANO DA CONCEICAO LOPES"/>
    <x v="4"/>
    <s v="Oper Maqs Florestais I Grua"/>
    <n v="373114"/>
    <s v="THIAGO MARIA PROENCA ALMEIDA"/>
    <x v="4"/>
    <n v="20033041"/>
    <d v="2022-09-05T00:00:00"/>
    <x v="0"/>
    <x v="0"/>
    <s v="Bauru"/>
    <s v="Prêmio Maio - ok"/>
  </r>
  <r>
    <m/>
    <s v="SIDNEY MARTINS BUENO"/>
    <x v="4"/>
    <s v="Assistente Operador Carregamento Grua"/>
    <n v="373114"/>
    <s v="THIAGO MARIA PROENCA ALMEIDA"/>
    <x v="4"/>
    <m/>
    <d v="2022-08-22T00:00:00"/>
    <x v="1"/>
    <x v="22"/>
    <s v="Bauru"/>
    <m/>
  </r>
  <r>
    <n v="37009688"/>
    <s v="MARIANA DE OLIVEIRA MARTINS"/>
    <x v="4"/>
    <s v="Oper Maqs Florestais I Grua"/>
    <n v="373114"/>
    <s v="THIAGO MARIA PROENCA ALMEIDA"/>
    <x v="4"/>
    <n v="20036001"/>
    <d v="2022-10-17T00:00:00"/>
    <x v="0"/>
    <x v="0"/>
    <s v="Bauru"/>
    <s v="Prêmio Maio - ok"/>
  </r>
  <r>
    <n v="37020154"/>
    <s v="PAULO CESAR BUENO"/>
    <x v="4"/>
    <s v="Oper Maqs Florestais I Grua"/>
    <n v="373114"/>
    <s v="THIAGO MARIA PROENCA ALMEIDA"/>
    <x v="4"/>
    <n v="20083001"/>
    <d v="2024-12-03T00:00:00"/>
    <x v="0"/>
    <x v="0"/>
    <m/>
    <s v="Prêmio Maio - ok"/>
  </r>
  <r>
    <n v="37018301"/>
    <s v="PAULO SERGIO APARECIDO DE FREITAS"/>
    <x v="4"/>
    <s v="Oper Maqs Florestais I Grua"/>
    <n v="373114"/>
    <s v="THIAGO MARIA PROENCA ALMEIDA"/>
    <x v="4"/>
    <n v="20072860"/>
    <d v="2024-07-02T00:00:00"/>
    <x v="0"/>
    <x v="0"/>
    <s v="Bauru"/>
    <s v="Prêmio Maio - ok"/>
  </r>
  <r>
    <n v="37006524"/>
    <s v="REINALDO RODRIGUES DOS SANTOS"/>
    <x v="4"/>
    <s v="Oper Maqs Florestais I Grua"/>
    <n v="373114"/>
    <s v="THIAGO MARIA PROENCA ALMEIDA"/>
    <x v="4"/>
    <n v="20018116"/>
    <d v="2021-10-04T00:00:00"/>
    <x v="0"/>
    <x v="0"/>
    <s v="Bauru"/>
    <s v="Prêmio Maio - ok"/>
  </r>
  <r>
    <n v="37006910"/>
    <s v="WAGNER ALEXANDRE DOS SANTOS SILVA"/>
    <x v="4"/>
    <s v="Assistente Operador Carregamento Grua"/>
    <n v="373114"/>
    <s v="THIAGO MARIA PROENCA ALMEIDA"/>
    <x v="4"/>
    <n v="20021273"/>
    <d v="2021-12-20T00:00:00"/>
    <x v="1"/>
    <x v="0"/>
    <s v="Bauru"/>
    <s v="Prêmio Maio - ok"/>
  </r>
  <r>
    <n v="37021767"/>
    <s v="BOAVENTURA TELES DOS SANTOS"/>
    <x v="5"/>
    <s v="Oper Maqs Florestais I Grua"/>
    <n v="373114"/>
    <s v="CASSIO THOMAS DA SILVEIRA"/>
    <x v="5"/>
    <n v="20090319"/>
    <d v="2025-04-15T00:00:00"/>
    <x v="0"/>
    <x v="0"/>
    <m/>
    <s v="pagar proporcional"/>
  </r>
  <r>
    <m/>
    <s v="ANDERSON AVILA VAZ"/>
    <x v="5"/>
    <s v="Oper Maqs Florestais I Grua"/>
    <n v="373114"/>
    <s v="CASSIO THOMAS DA SILVEIRA"/>
    <x v="5"/>
    <m/>
    <d v="2024-07-02T00:00:00"/>
    <x v="0"/>
    <x v="23"/>
    <s v="Lins"/>
    <m/>
  </r>
  <r>
    <n v="37007170"/>
    <s v="BENTO DE SOUZA MONTEIRO"/>
    <x v="5"/>
    <s v="Oper Maqs Florestais I Grua"/>
    <n v="373114"/>
    <s v="CASSIO THOMAS DA SILVEIRA"/>
    <x v="5"/>
    <n v="20022973"/>
    <d v="2022-02-17T00:00:00"/>
    <x v="0"/>
    <x v="0"/>
    <s v="Lins"/>
    <s v="Prêmio Maio - ok"/>
  </r>
  <r>
    <n v="37011696"/>
    <s v="BRUNO GRACIOLI DA SILVA"/>
    <x v="5"/>
    <s v="Oper Maqs Florestais I Grua"/>
    <n v="373114"/>
    <s v="CASSIO THOMAS DA SILVEIRA"/>
    <x v="5"/>
    <n v="20045220"/>
    <d v="2023-03-13T00:00:00"/>
    <x v="0"/>
    <x v="0"/>
    <s v="Lins"/>
    <s v="Prêmio Maio - ok"/>
  </r>
  <r>
    <n v="37014035"/>
    <s v="CLAUDIO RODRIGO GRACIOLI"/>
    <x v="5"/>
    <s v="Oper Maqs Florestais I Grua"/>
    <n v="373114"/>
    <s v="CASSIO THOMAS DA SILVEIRA"/>
    <x v="5"/>
    <n v="20057721"/>
    <d v="2023-08-22T00:00:00"/>
    <x v="0"/>
    <x v="0"/>
    <s v="Lins"/>
    <s v="Prêmio Maio - ok"/>
  </r>
  <r>
    <n v="37006564"/>
    <s v="CRISTIAN NUNES DA SILVA"/>
    <x v="5"/>
    <s v="Assistente Operador Carregamento Grua"/>
    <n v="373114"/>
    <s v="CASSIO THOMAS DA SILVEIRA"/>
    <x v="5"/>
    <n v="20018140"/>
    <d v="2021-10-04T00:00:00"/>
    <x v="1"/>
    <x v="0"/>
    <s v="Lins"/>
    <s v="Prêmio Maio - ok"/>
  </r>
  <r>
    <m/>
    <s v="EDUARDO ANTONIO MARTINS"/>
    <x v="5"/>
    <s v="Assistente Operador Carregamento Grua"/>
    <n v="373114"/>
    <s v="CASSIO THOMAS DA SILVEIRA"/>
    <x v="5"/>
    <m/>
    <d v="2021-09-20T00:00:00"/>
    <x v="1"/>
    <x v="5"/>
    <m/>
    <m/>
  </r>
  <r>
    <m/>
    <s v="FABIANO KECZEVEY"/>
    <x v="5"/>
    <s v="Assistente Operador Carregamento Grua"/>
    <n v="373114"/>
    <s v="CASSIO THOMAS DA SILVEIRA"/>
    <x v="5"/>
    <m/>
    <d v="2021-09-20T00:00:00"/>
    <x v="1"/>
    <x v="24"/>
    <m/>
    <m/>
  </r>
  <r>
    <n v="37009555"/>
    <s v="DEYBISON XAVIER PEREIRA"/>
    <x v="5"/>
    <s v="Oper Maqs Florestais I Grua"/>
    <n v="373114"/>
    <s v="CASSIO THOMAS DA SILVEIRA"/>
    <x v="5"/>
    <n v="20035348"/>
    <d v="2022-10-03T00:00:00"/>
    <x v="0"/>
    <x v="0"/>
    <s v="Lins"/>
    <s v="Prêmio Maio - ok"/>
  </r>
  <r>
    <n v="37013711"/>
    <s v="FLAVIO RAYMUNDO LACERDA"/>
    <x v="5"/>
    <s v="Oper Maqs Florestais I Grua"/>
    <n v="373114"/>
    <s v="CASSIO THOMAS DA SILVEIRA"/>
    <x v="5"/>
    <n v="20056306"/>
    <d v="2023-08-15T00:00:00"/>
    <x v="0"/>
    <x v="0"/>
    <s v="Lins"/>
    <s v="Prêmio Maio - ok"/>
  </r>
  <r>
    <n v="37009283"/>
    <s v="FRANCISCO DAS CHAGAS DOS SANTOS SOUSA"/>
    <x v="5"/>
    <s v="Oper Maqs Florestais I Grua"/>
    <n v="373114"/>
    <s v="CASSIO THOMAS DA SILVEIRA"/>
    <x v="5"/>
    <n v="20032966"/>
    <d v="2022-09-05T00:00:00"/>
    <x v="0"/>
    <x v="0"/>
    <s v="Lins"/>
    <s v="Prêmio Maio - ok"/>
  </r>
  <r>
    <n v="37006417"/>
    <s v="FRANCISCO RODRIGUES DA MOTA"/>
    <x v="5"/>
    <s v="Assistente Operador Carregamento Grua"/>
    <n v="373114"/>
    <s v="CASSIO THOMAS DA SILVEIRA"/>
    <x v="5"/>
    <n v="20017829"/>
    <d v="2021-09-20T00:00:00"/>
    <x v="1"/>
    <x v="0"/>
    <s v="Lins"/>
    <s v="Prêmio Maio - ok"/>
  </r>
  <r>
    <n v="37018778"/>
    <s v="GILENO DOS SANTOS OLIVEIRA"/>
    <x v="5"/>
    <s v="Oper Maqs Florestais I Grua"/>
    <n v="373114"/>
    <s v="CASSIO THOMAS DA SILVEIRA"/>
    <x v="5"/>
    <n v="20075064"/>
    <d v="2024-08-06T00:00:00"/>
    <x v="0"/>
    <x v="0"/>
    <s v="Lins"/>
    <s v="Prêmio Maio - ok"/>
  </r>
  <r>
    <n v="37014130"/>
    <s v="GUSTAVO GRACIOLI"/>
    <x v="5"/>
    <s v="Assistente Operador Carregamento Grua"/>
    <n v="373114"/>
    <s v="CASSIO THOMAS DA SILVEIRA"/>
    <x v="5"/>
    <n v="20057894"/>
    <d v="2023-08-22T00:00:00"/>
    <x v="1"/>
    <x v="0"/>
    <s v="Lins"/>
    <s v="Prêmio Maio - ok"/>
  </r>
  <r>
    <n v="37009586"/>
    <s v="JOSE JOCIMAR RUY PINTO"/>
    <x v="5"/>
    <s v="Assistente Operador Carregamento Grua"/>
    <n v="373114"/>
    <s v="CASSIO THOMAS DA SILVEIRA"/>
    <x v="5"/>
    <n v="20035362"/>
    <d v="2022-10-03T00:00:00"/>
    <x v="1"/>
    <x v="0"/>
    <s v="Lins"/>
    <s v="Prêmio Maio - ok"/>
  </r>
  <r>
    <n v="37006440"/>
    <s v="KELLY FABIANI DA SILVA MACHADO"/>
    <x v="5"/>
    <s v="Assistente Operador Carregamento Grua"/>
    <n v="373114"/>
    <s v="CASSIO THOMAS DA SILVEIRA"/>
    <x v="5"/>
    <n v="20017842"/>
    <d v="2021-09-20T00:00:00"/>
    <x v="1"/>
    <x v="0"/>
    <s v="Lins"/>
    <s v="Prêmio Maio - ok"/>
  </r>
  <r>
    <n v="37019910"/>
    <s v="Marcos de Oliveira Amorim"/>
    <x v="5"/>
    <s v="Oper Maqs Florestais I Grua"/>
    <n v="373114"/>
    <s v="CASSIO THOMAS DA SILVEIRA"/>
    <x v="5"/>
    <n v="20081387"/>
    <d v="2024-11-05T00:00:00"/>
    <x v="0"/>
    <x v="0"/>
    <m/>
    <s v="Prêmio Maio - ok"/>
  </r>
  <r>
    <m/>
    <s v="MAURICIO FERNANDES TEIXEIRA"/>
    <x v="5"/>
    <s v="Assistente Operador Carregamento Grua"/>
    <n v="373114"/>
    <s v="CASSIO THOMAS DA SILVEIRA"/>
    <x v="5"/>
    <n v="20017063"/>
    <d v="2021-09-08T00:00:00"/>
    <x v="1"/>
    <x v="17"/>
    <s v="Lins"/>
    <s v="Prêmio Maio - ok"/>
  </r>
  <r>
    <n v="37009597"/>
    <s v="OLAZIEL GONCALVES FERREIRA"/>
    <x v="5"/>
    <s v="Assistente Operador Carregamento Grua"/>
    <n v="373114"/>
    <s v="CASSIO THOMAS DA SILVEIRA"/>
    <x v="5"/>
    <n v="20035356"/>
    <d v="2022-10-03T00:00:00"/>
    <x v="1"/>
    <x v="0"/>
    <s v="Lins"/>
    <s v="Prêmio Maio - ok"/>
  </r>
  <r>
    <m/>
    <s v="ARY ROBERTO ANDRADE LELIS"/>
    <x v="6"/>
    <s v="Assistente Operador Carregamento Grua"/>
    <n v="373114"/>
    <s v="CASSIO THOMAS DA SILVEIRA"/>
    <x v="6"/>
    <m/>
    <d v="2022-08-04T00:00:00"/>
    <x v="1"/>
    <x v="25"/>
    <m/>
    <m/>
  </r>
  <r>
    <m/>
    <s v="JOAO LUIS DOS SANTOS FAUSTINO"/>
    <x v="6"/>
    <s v="Operador Trainee Pátio"/>
    <n v="373114"/>
    <s v="CASSIO THOMAS DA SILVEIRA"/>
    <x v="6"/>
    <m/>
    <m/>
    <x v="3"/>
    <x v="26"/>
    <m/>
    <m/>
  </r>
  <r>
    <m/>
    <s v="SAMUEL DE SOUSA DUARTE"/>
    <x v="6"/>
    <s v="Assistente Operador Carregamento Grua"/>
    <n v="373114"/>
    <s v="CASSIO THOMAS DA SILVEIRA"/>
    <x v="6"/>
    <m/>
    <d v="2023-11-21T00:00:00"/>
    <x v="1"/>
    <x v="27"/>
    <m/>
    <m/>
  </r>
  <r>
    <m/>
    <s v="LINDEMBERG HERMOGENES SANTANA"/>
    <x v="6"/>
    <s v="Assistente Operador Carregamento Grua"/>
    <n v="373114"/>
    <s v="CASSIO THOMAS DA SILVEIRA"/>
    <x v="6"/>
    <m/>
    <d v="2023-04-03T00:00:00"/>
    <x v="1"/>
    <x v="28"/>
    <m/>
    <m/>
  </r>
  <r>
    <n v="37020879"/>
    <s v="Alisson de Souza Lima"/>
    <x v="6"/>
    <s v="Oper Maqs Florestais I Grua"/>
    <n v="373114"/>
    <s v="CASSIO THOMAS DA SILVEIRA"/>
    <x v="6"/>
    <n v="20085297"/>
    <d v="2025-02-18T00:00:00"/>
    <x v="0"/>
    <x v="0"/>
    <m/>
    <s v="Prêmio Maio - ok"/>
  </r>
  <r>
    <n v="37020190"/>
    <s v="Claudinei Pereira Alves"/>
    <x v="6"/>
    <s v="Assistente Operador Carregamento Grua"/>
    <n v="373114"/>
    <s v="CASSIO THOMAS DA SILVEIRA"/>
    <x v="6"/>
    <n v="20083039"/>
    <d v="2024-12-03T00:00:00"/>
    <x v="1"/>
    <x v="0"/>
    <m/>
    <s v="Prêmio Maio - ok"/>
  </r>
  <r>
    <n v="37018974"/>
    <s v="Denis Visael Guerra Valdiviezo"/>
    <x v="6"/>
    <s v="Oper Maqs Florestais I Grua"/>
    <n v="373114"/>
    <s v="CASSIO THOMAS DA SILVEIRA"/>
    <x v="6"/>
    <n v="20076185"/>
    <d v="2024-08-20T00:00:00"/>
    <x v="0"/>
    <x v="0"/>
    <s v="Marília"/>
    <s v="Prêmio Maio - ok"/>
  </r>
  <r>
    <n v="37011465"/>
    <s v="EVERTON TIAGO DA SILVA"/>
    <x v="6"/>
    <s v="Oper Maqs Florestais I Grua"/>
    <n v="373114"/>
    <s v="CASSIO THOMAS DA SILVEIRA"/>
    <x v="6"/>
    <n v="20044124"/>
    <d v="2023-03-06T00:00:00"/>
    <x v="0"/>
    <x v="0"/>
    <s v="Marília"/>
    <s v="Prêmio Maio - ok"/>
  </r>
  <r>
    <n v="37009884"/>
    <s v="FRANCISCO LAILSON CARVALHO SILVA"/>
    <x v="6"/>
    <s v="Oper Maqs Florestais I Grua"/>
    <n v="373114"/>
    <s v="CASSIO THOMAS DA SILVEIRA"/>
    <x v="6"/>
    <n v="20037219"/>
    <d v="2022-11-07T00:00:00"/>
    <x v="0"/>
    <x v="0"/>
    <s v="Marília"/>
    <s v="Prêmio Maio - ok"/>
  </r>
  <r>
    <n v="37018833"/>
    <s v="Giuliano Carilo Povoas"/>
    <x v="6"/>
    <s v="Oper Maqs Florestais I Grua"/>
    <n v="373114"/>
    <s v="CASSIO THOMAS DA SILVEIRA"/>
    <x v="6"/>
    <n v="20075128"/>
    <d v="2024-08-06T00:00:00"/>
    <x v="0"/>
    <x v="0"/>
    <s v="Marília"/>
    <s v="Prêmio Maio - ok"/>
  </r>
  <r>
    <m/>
    <s v="DANIEL APARECIDO STENDER"/>
    <x v="6"/>
    <s v="Oper Maqs Florestais I Grua"/>
    <n v="373114"/>
    <s v="CASSIO THOMAS DA SILVEIRA"/>
    <x v="6"/>
    <m/>
    <d v="2023-03-06T00:00:00"/>
    <x v="0"/>
    <x v="29"/>
    <s v="Marília"/>
    <m/>
  </r>
  <r>
    <n v="37009170"/>
    <s v="JACSON MARQUES FONTENELES DOS SANTOS"/>
    <x v="6"/>
    <s v="Oper Maqs Florestais I Grua"/>
    <n v="373114"/>
    <s v="CASSIO THOMAS DA SILVEIRA"/>
    <x v="6"/>
    <n v="20031924"/>
    <d v="2022-08-22T00:00:00"/>
    <x v="0"/>
    <x v="0"/>
    <s v="Marília"/>
    <s v="Prêmio Maio - ok"/>
  </r>
  <r>
    <m/>
    <s v="NERITON PETESOL DOS SANTOS"/>
    <x v="6"/>
    <s v="Assistente Operador Carregamento Grua"/>
    <n v="373114"/>
    <s v="CASSIO THOMAS DA SILVEIRA"/>
    <x v="6"/>
    <m/>
    <d v="2022-08-04T00:00:00"/>
    <x v="1"/>
    <x v="26"/>
    <m/>
    <m/>
  </r>
  <r>
    <n v="37006673"/>
    <s v="JOEL SANTIAGO DA SILVA"/>
    <x v="6"/>
    <s v="Assistente Operador Carregamento Grua"/>
    <n v="373114"/>
    <s v="CASSIO THOMAS DA SILVEIRA"/>
    <x v="6"/>
    <n v="20018751"/>
    <d v="2021-11-03T00:00:00"/>
    <x v="1"/>
    <x v="0"/>
    <s v="Marília"/>
    <s v="Prêmio Maio - ok"/>
  </r>
  <r>
    <n v="37009324"/>
    <s v="LUCAS DE SOUZA DA COSTA"/>
    <x v="6"/>
    <s v="Assistente Operador Carregamento Grua"/>
    <n v="373114"/>
    <s v="CASSIO THOMAS DA SILVEIRA"/>
    <x v="6"/>
    <n v="20033025"/>
    <d v="2022-09-05T00:00:00"/>
    <x v="1"/>
    <x v="0"/>
    <s v="Marília"/>
    <s v="Prêmio Maio - ok"/>
  </r>
  <r>
    <n v="37018842"/>
    <s v="ORTIDES MENEZES SOUZA"/>
    <x v="6"/>
    <s v="Oper Maqs Florestais I Grua"/>
    <n v="373114"/>
    <s v="CASSIO THOMAS DA SILVEIRA"/>
    <x v="6"/>
    <n v="20075137"/>
    <d v="2024-08-06T00:00:00"/>
    <x v="0"/>
    <x v="0"/>
    <s v="Marília"/>
    <s v="Prêmio Maio - ok"/>
  </r>
  <r>
    <m/>
    <s v="THAMIRIS BORGES DA SILVA"/>
    <x v="6"/>
    <s v="Oper Maqs Florestais I Grua"/>
    <n v="373114"/>
    <s v="CASSIO THOMAS DA SILVEIRA"/>
    <x v="6"/>
    <m/>
    <d v="2022-05-23T00:00:00"/>
    <x v="0"/>
    <x v="11"/>
    <s v="Marília"/>
    <m/>
  </r>
  <r>
    <n v="37009877"/>
    <s v="RAFAEL ARQUIMEDES GONZALEZ SERRANO"/>
    <x v="6"/>
    <s v="Oper Maqs Florestais I Grua"/>
    <n v="373114"/>
    <s v="CASSIO THOMAS DA SILVEIRA"/>
    <x v="6"/>
    <n v="20037212"/>
    <d v="2022-11-07T00:00:00"/>
    <x v="0"/>
    <x v="0"/>
    <s v="Marília"/>
    <s v="Prêmio Maio - ok"/>
  </r>
  <r>
    <n v="37014204"/>
    <s v="RAFAEL EDUARDO PADILHA DA SILVA"/>
    <x v="6"/>
    <s v="Oper Maqs Florestais I Grua"/>
    <n v="373114"/>
    <s v="CASSIO THOMAS DA SILVEIRA"/>
    <x v="6"/>
    <n v="20058024"/>
    <d v="2023-08-22T00:00:00"/>
    <x v="0"/>
    <x v="0"/>
    <s v="Marília"/>
    <s v="Prêmio Maio - ok"/>
  </r>
  <r>
    <m/>
    <s v="THIAGO ALVES DOMINGUES"/>
    <x v="6"/>
    <s v="Assistente Operador Carregamento Grua"/>
    <n v="373114"/>
    <s v="CASSIO THOMAS DA SILVEIRA"/>
    <x v="6"/>
    <m/>
    <d v="2022-05-09T00:00:00"/>
    <x v="1"/>
    <x v="30"/>
    <m/>
    <m/>
  </r>
  <r>
    <n v="37008940"/>
    <s v="RAFAEL MACHADO DA SILVA"/>
    <x v="6"/>
    <s v="Assistente Operador Carregamento Grua"/>
    <n v="373114"/>
    <s v="CASSIO THOMAS DA SILVEIRA"/>
    <x v="6"/>
    <n v="20034651"/>
    <d v="2022-08-04T00:00:00"/>
    <x v="1"/>
    <x v="0"/>
    <s v="Marília"/>
    <s v="Prêmio Maio - ok"/>
  </r>
  <r>
    <n v="37016528"/>
    <s v="RENATO DEODATA DOS SANTOS"/>
    <x v="6"/>
    <s v="Oper Maqs Florestais I Grua"/>
    <n v="373114"/>
    <s v="CASSIO THOMAS DA SILVEIRA"/>
    <x v="6"/>
    <n v="20064518"/>
    <d v="2024-02-06T00:00:00"/>
    <x v="0"/>
    <x v="0"/>
    <s v="Marília"/>
    <s v="Prêmio Maio - ok"/>
  </r>
  <r>
    <n v="37011474"/>
    <s v="ROBERTO ANTONIO DA SILVA JUNIOR"/>
    <x v="6"/>
    <s v="Assistente Operador Carregamento Grua"/>
    <n v="373114"/>
    <s v="CASSIO THOMAS DA SILVEIRA"/>
    <x v="6"/>
    <n v="20044133"/>
    <d v="2023-03-06T00:00:00"/>
    <x v="1"/>
    <x v="0"/>
    <s v="Marília"/>
    <s v="Prêmio Maio - ok"/>
  </r>
  <r>
    <n v="37011072"/>
    <s v="RODRIGO DOS SANTOS RIBEIRO"/>
    <x v="6"/>
    <s v="Assistente Operador Carregamento Grua"/>
    <n v="373114"/>
    <s v="CASSIO THOMAS DA SILVEIRA"/>
    <x v="6"/>
    <n v="20042138"/>
    <d v="2023-02-06T00:00:00"/>
    <x v="1"/>
    <x v="0"/>
    <s v="Itapeva"/>
    <s v="Prêmio Maio - ok"/>
  </r>
  <r>
    <n v="37006924"/>
    <s v="ADEMILSON DA SILVA"/>
    <x v="7"/>
    <s v="Oper Maqs Florestais I Grua"/>
    <n v="373114"/>
    <s v="THIAGO MARIA PROENCA ALMEIDA"/>
    <x v="7"/>
    <n v="20021279"/>
    <d v="2021-12-20T00:00:00"/>
    <x v="0"/>
    <x v="0"/>
    <s v="Bauru"/>
    <s v="Prêmio Maio - ok"/>
  </r>
  <r>
    <n v="37021611"/>
    <s v="ADEMILSON FERREIRA DA SILVA"/>
    <x v="7"/>
    <s v="Oper Maqs Florestais I Grua"/>
    <n v="373114"/>
    <s v="THIAGO MARIA PROENCA ALMEIDA"/>
    <x v="7"/>
    <n v="20059387"/>
    <d v="2025-04-08T00:00:00"/>
    <x v="0"/>
    <x v="0"/>
    <m/>
    <s v="pagar proporcional"/>
  </r>
  <r>
    <m/>
    <s v="ALEX RIBEIRO DA SILVA"/>
    <x v="7"/>
    <s v="Assistente Operador Carregamento Grua"/>
    <n v="373114"/>
    <s v="THIAGO MARIA PROENCA ALMEIDA"/>
    <x v="7"/>
    <m/>
    <d v="2023-11-13T00:00:00"/>
    <x v="1"/>
    <x v="31"/>
    <m/>
    <m/>
  </r>
  <r>
    <n v="37020681"/>
    <s v="ANDRE LUIZ MEDEIROS DO AMARAL"/>
    <x v="7"/>
    <s v="Oper Maqs Florestais I Grua"/>
    <n v="373114"/>
    <s v="THIAGO MARIA PROENCA ALMEIDA"/>
    <x v="7"/>
    <n v="20045910"/>
    <d v="2025-02-04T00:00:00"/>
    <x v="0"/>
    <x v="0"/>
    <m/>
    <s v="Prêmio Maio - ok"/>
  </r>
  <r>
    <m/>
    <s v="ANTÔNIO SANTOS"/>
    <x v="7"/>
    <s v="Oper Maqs Florestais I Grua"/>
    <n v="373114"/>
    <s v="THIAGO MARIA PROENCA ALMEIDA"/>
    <x v="7"/>
    <m/>
    <d v="2024-09-03T00:00:00"/>
    <x v="0"/>
    <x v="32"/>
    <s v="Bauru"/>
    <s v="Prêmio Maio - ok"/>
  </r>
  <r>
    <n v="37009452"/>
    <s v="CARLOS DANIEL COSTA ROCHA"/>
    <x v="7"/>
    <s v="Assistente Operador Carregamento Grua"/>
    <n v="373114"/>
    <s v="THIAGO MARIA PROENCA ALMEIDA"/>
    <x v="7"/>
    <n v="20034027"/>
    <d v="2022-09-19T00:00:00"/>
    <x v="1"/>
    <x v="0"/>
    <s v="Bauru"/>
    <s v="Prêmio Maio - ok"/>
  </r>
  <r>
    <n v="37013750"/>
    <s v="CARLOS ERVINO ZILLMER JUNIOR"/>
    <x v="7"/>
    <s v="Oper Maqs Florestais I Grua"/>
    <n v="373114"/>
    <s v="THIAGO MARIA PROENCA ALMEIDA"/>
    <x v="7"/>
    <n v="20056385"/>
    <d v="2023-08-15T00:00:00"/>
    <x v="0"/>
    <x v="0"/>
    <s v="Bauru"/>
    <s v="Prêmio Maio - ok"/>
  </r>
  <r>
    <n v="37013803"/>
    <s v="DONIZETE DO NASCIMENTO"/>
    <x v="7"/>
    <s v="Assistente Operador Carregamento Grua"/>
    <n v="373114"/>
    <s v="THIAGO MARIA PROENCA ALMEIDA"/>
    <x v="7"/>
    <n v="20056489"/>
    <d v="2023-08-08T00:00:00"/>
    <x v="1"/>
    <x v="0"/>
    <s v="Bauru"/>
    <s v="Prêmio Maio - ok"/>
  </r>
  <r>
    <m/>
    <s v="FRANCISCO ASSIS GOMES DOS SANTOS"/>
    <x v="7"/>
    <s v="Assistente Operador Carregamento Grua"/>
    <n v="373114"/>
    <s v="THIAGO MARIA PROENCA ALMEIDA"/>
    <x v="7"/>
    <m/>
    <d v="2021-12-09T00:00:00"/>
    <x v="1"/>
    <x v="33"/>
    <m/>
    <m/>
  </r>
  <r>
    <n v="37019832"/>
    <s v="FRANCISCO ASSIS GOMES DOS SANTOS"/>
    <x v="7"/>
    <s v="Assistente Operador Carregamento Grua"/>
    <n v="373114"/>
    <s v="THIAGO MARIA PROENCA ALMEIDA"/>
    <x v="7"/>
    <n v="20020043"/>
    <d v="2024-11-05T00:00:00"/>
    <x v="1"/>
    <x v="0"/>
    <m/>
    <s v="Prêmio Maio - ok"/>
  </r>
  <r>
    <m/>
    <s v="IVANILDO MORAES RIBEIRO"/>
    <x v="7"/>
    <s v="Assistente Operador Carregamento Grua"/>
    <n v="373114"/>
    <s v="THIAGO MARIA PROENCA ALMEIDA"/>
    <x v="7"/>
    <m/>
    <d v="2023-01-04T00:00:00"/>
    <x v="1"/>
    <x v="34"/>
    <m/>
    <m/>
  </r>
  <r>
    <n v="37021778"/>
    <s v="JOSE PAULO TERTO DOS SANTOS"/>
    <x v="7"/>
    <s v="Oper Maqs Florestais I Grua"/>
    <n v="373114"/>
    <s v="THIAGO MARIA PROENCA ALMEIDA"/>
    <x v="7"/>
    <n v="20090330"/>
    <d v="2025-04-15T00:00:00"/>
    <x v="0"/>
    <x v="0"/>
    <m/>
    <s v="pagar proporcional"/>
  </r>
  <r>
    <n v="37009890"/>
    <s v="MANOEL CARLOS OLIVEIRA"/>
    <x v="7"/>
    <s v="Assistente Operador Carregamento Grua"/>
    <n v="373114"/>
    <s v="THIAGO MARIA PROENCA ALMEIDA"/>
    <x v="7"/>
    <n v="20037225"/>
    <d v="2022-11-07T00:00:00"/>
    <x v="1"/>
    <x v="0"/>
    <s v="Bauru"/>
    <s v="Prêmio Maio - ok"/>
  </r>
  <r>
    <n v="37006283"/>
    <s v="MARCIO ADRIANO DA SILVA"/>
    <x v="7"/>
    <s v="Assistente Operador Carregamento Grua"/>
    <n v="373114"/>
    <s v="THIAGO MARIA PROENCA ALMEIDA"/>
    <x v="7"/>
    <n v="20017015"/>
    <d v="2021-08-23T00:00:00"/>
    <x v="1"/>
    <x v="0"/>
    <s v="Bauru"/>
    <s v="Prêmio Maio - ok"/>
  </r>
  <r>
    <n v="37010961"/>
    <s v="MARCOS VINICIUS SOUZA DOS SANTOS"/>
    <x v="7"/>
    <s v="Assistente Operador Carregamento Grua"/>
    <n v="373114"/>
    <s v="THIAGO MARIA PROENCA ALMEIDA"/>
    <x v="7"/>
    <n v="20041780"/>
    <d v="2023-02-01T00:00:00"/>
    <x v="1"/>
    <x v="0"/>
    <s v="Bauru"/>
    <s v="Prêmio Maio - ok"/>
  </r>
  <r>
    <n v="37021777"/>
    <s v="OSVALDO PIRES DA SILVA JUNIOR"/>
    <x v="7"/>
    <s v="Oper Maqs Florestais I Grua"/>
    <n v="373114"/>
    <s v="THIAGO MARIA PROENCA ALMEIDA"/>
    <x v="7"/>
    <n v="20090329"/>
    <d v="2025-04-15T00:00:00"/>
    <x v="0"/>
    <x v="0"/>
    <m/>
    <s v="pagar proporcional"/>
  </r>
  <r>
    <n v="37017510"/>
    <s v="THIAGO DA SILVA DOS REIS"/>
    <x v="7"/>
    <s v="Oper Maqs Florestais I Grua"/>
    <n v="373114"/>
    <s v="THIAGO MARIA PROENCA ALMEIDA"/>
    <x v="7"/>
    <n v="20069654"/>
    <d v="2024-06-04T00:00:00"/>
    <x v="0"/>
    <x v="0"/>
    <s v="Bauru"/>
    <s v="Prêmio Maio - ok"/>
  </r>
  <r>
    <n v="37010744"/>
    <s v="VICENTE DE PAULA MOREIRA"/>
    <x v="7"/>
    <s v="Oper Maqs Florestais I Grua"/>
    <n v="373114"/>
    <s v="THIAGO MARIA PROENCA ALMEIDA"/>
    <x v="7"/>
    <n v="20040954"/>
    <d v="2023-01-09T00:00:00"/>
    <x v="0"/>
    <x v="0"/>
    <s v="Bauru"/>
    <s v="Prêmio Maio - ok"/>
  </r>
  <r>
    <m/>
    <s v="WANDERLEY RODRIGUES DA SILVA JUNIOR"/>
    <x v="7"/>
    <s v="Assistente Operador Carregamento Grua"/>
    <n v="373114"/>
    <s v="THIAGO MARIA PROENCA ALMEIDA"/>
    <x v="7"/>
    <m/>
    <d v="2023-04-18T00:00:00"/>
    <x v="1"/>
    <x v="9"/>
    <m/>
    <m/>
  </r>
  <r>
    <n v="37010059"/>
    <s v="WELLINGTON LOPES CORDEIRO "/>
    <x v="7"/>
    <s v="Assistente Operador Carregamento Grua"/>
    <n v="373114"/>
    <s v="THIAGO MARIA PROENCA ALMEIDA"/>
    <x v="7"/>
    <n v="20038164"/>
    <d v="2022-11-16T00:00:00"/>
    <x v="1"/>
    <x v="0"/>
    <s v="Bauru"/>
    <s v="Prêmio Maio - ok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37016887"/>
    <s v="ADILSON JOSE DIAS DOS SANTOS"/>
    <x v="0"/>
    <x v="0"/>
    <d v="2024-03-12T00:00:00"/>
    <s v="JHON FELIPE SENOSKI"/>
    <n v="20065483"/>
    <m/>
    <n v="373114"/>
    <s v="Premio maio - ok"/>
    <x v="0"/>
    <s v="Areiopolis"/>
    <s v="ok"/>
    <s v="ok"/>
    <m/>
  </r>
  <r>
    <m/>
    <s v="PEDRO AUGUSTO PINI"/>
    <x v="1"/>
    <x v="0"/>
    <d v="2024-06-18T00:00:00"/>
    <s v="MARCIO APARECIDO CAVALHEIRO"/>
    <n v="20072331"/>
    <e v="#REF!"/>
    <n v="373116"/>
    <m/>
    <x v="1"/>
    <m/>
    <m/>
    <m/>
    <m/>
  </r>
  <r>
    <n v="37018023"/>
    <s v="DANIEL MIRANDA"/>
    <x v="2"/>
    <x v="1"/>
    <d v="2024-06-11T00:00:00"/>
    <s v="JHON FELIPE SENOSKI"/>
    <n v="20071382"/>
    <m/>
    <n v="373114"/>
    <s v="Premio maio - ok"/>
    <x v="0"/>
    <s v="itapeva"/>
    <s v="ok"/>
    <s v="ok"/>
    <m/>
  </r>
  <r>
    <n v="37018978"/>
    <s v="ADEILTON MARCOS DE SOUSA"/>
    <x v="3"/>
    <x v="1"/>
    <d v="2024-09-03T00:00:00"/>
    <s v="MARCIO APARECIDO CAVALHEIRO"/>
    <n v="20076197"/>
    <m/>
    <n v="373114"/>
    <s v="Premio maio - ok"/>
    <x v="0"/>
    <s v="agudos"/>
    <s v="ok"/>
    <s v="Thiago abrir o desligamento dele no Worday"/>
    <m/>
  </r>
  <r>
    <n v="37016809"/>
    <s v="ALAN DA CRUZ GONCALVES"/>
    <x v="3"/>
    <x v="0"/>
    <d v="2024-03-05T00:00:00"/>
    <s v="MARCIO APARECIDO CAVALHEIRO"/>
    <n v="20065308"/>
    <m/>
    <n v="373114"/>
    <s v="Premio maio - ok"/>
    <x v="0"/>
    <s v="agudos"/>
    <s v="ok"/>
    <s v="ok"/>
    <m/>
  </r>
  <r>
    <n v="37017571"/>
    <s v="ANTONIO MARCIO AGUILERA"/>
    <x v="1"/>
    <x v="1"/>
    <d v="2024-05-14T00:00:00"/>
    <s v="MARCIO APARECIDO CAVALHEIRO"/>
    <n v="20069950"/>
    <m/>
    <n v="373114"/>
    <s v="Premio maio - ok"/>
    <x v="0"/>
    <s v="Lençois Paulista"/>
    <s v="ok - apoiando M4"/>
    <s v="ok"/>
    <m/>
  </r>
  <r>
    <n v="37016808"/>
    <s v="DANIEL RODRIGUES FOGACA"/>
    <x v="2"/>
    <x v="1"/>
    <d v="2024-03-05T00:00:00"/>
    <s v="JHON FELIPE SENOSKI"/>
    <n v="20065307"/>
    <m/>
    <n v="373114"/>
    <s v="Premio maio - ok"/>
    <x v="0"/>
    <s v="itapeva"/>
    <s v="ok"/>
    <s v="CC Operadores Estradas próprio dar downgrade nas vagas que temos (7vagas)"/>
    <m/>
  </r>
  <r>
    <m/>
    <s v="ALEX CRISTIANO MENDES"/>
    <x v="2"/>
    <x v="1"/>
    <d v="2024-03-05T00:00:00"/>
    <s v="JHON FELIPE SENOSKI"/>
    <m/>
    <e v="#REF!"/>
    <n v="373116"/>
    <m/>
    <x v="2"/>
    <m/>
    <m/>
    <s v="verifcar urgente (esta em vaga de motorista), downgrade de III para II"/>
    <m/>
  </r>
  <r>
    <n v="37013693"/>
    <s v="Deoclecio Antonio Ribeiro"/>
    <x v="0"/>
    <x v="0"/>
    <d v="2023-08-01T00:00:00"/>
    <s v="JHON FELIPE SENOSKI"/>
    <n v="20056256"/>
    <m/>
    <n v="373114"/>
    <s v="Premio maio - ok"/>
    <x v="0"/>
    <s v="Itatinga"/>
    <s v="ok"/>
    <s v="ok"/>
    <m/>
  </r>
  <r>
    <m/>
    <s v="JOSE ROBERTO DE OLIVEIRA II"/>
    <x v="2"/>
    <x v="1"/>
    <m/>
    <s v="JHON FELIPE SENOSKI"/>
    <m/>
    <e v="#REF!"/>
    <m/>
    <m/>
    <x v="3"/>
    <m/>
    <m/>
    <s v="ok"/>
    <m/>
  </r>
  <r>
    <n v="37017119"/>
    <s v="DIEGO ALENCAR FERREIRA"/>
    <x v="0"/>
    <x v="0"/>
    <d v="2024-04-02T00:00:00"/>
    <s v="JHON FELIPE SENOSKI"/>
    <n v="20067433"/>
    <e v="#REF!"/>
    <n v="373114"/>
    <m/>
    <x v="4"/>
    <s v="Itatinga"/>
    <s v="ok"/>
    <s v="ok"/>
    <m/>
  </r>
  <r>
    <n v="37013054"/>
    <s v="FERNANDO ALVES DE OLIVEIRA"/>
    <x v="2"/>
    <x v="0"/>
    <d v="2023-06-20T00:00:00"/>
    <s v="JHON FELIPE SENOSKI"/>
    <n v="20052406"/>
    <m/>
    <n v="373114"/>
    <s v="Premio maio - ok"/>
    <x v="0"/>
    <s v="itapeva"/>
    <s v="ok"/>
    <s v="ok"/>
    <m/>
  </r>
  <r>
    <n v="37016936"/>
    <s v="EDSON JOSE DE SOUZA"/>
    <x v="3"/>
    <x v="2"/>
    <d v="2024-03-19T00:00:00"/>
    <s v="MARCIO APARECIDO CAVALHEIRO"/>
    <n v="20065887"/>
    <m/>
    <n v="373114"/>
    <s v="Premio maio - ok"/>
    <x v="0"/>
    <s v="agudos"/>
    <s v="ok"/>
    <s v="ok"/>
    <m/>
  </r>
  <r>
    <m/>
    <s v="DANILO TEIXEIRA DO LIVRAMENTO"/>
    <x v="4"/>
    <x v="1"/>
    <d v="2024-03-19T00:00:00"/>
    <s v="THIAGO MARIA PROENCA ALMEIDA"/>
    <m/>
    <e v="#REF!"/>
    <m/>
    <m/>
    <x v="5"/>
    <m/>
    <m/>
    <s v="É nosso mas adequar no CC 373116"/>
    <m/>
  </r>
  <r>
    <n v="37016767"/>
    <s v="JESUS NAZARENO DE MOURA"/>
    <x v="2"/>
    <x v="0"/>
    <d v="2024-03-05T00:00:00"/>
    <s v="JHON FELIPE SENOSKI"/>
    <n v="20065261"/>
    <m/>
    <n v="373114"/>
    <s v="Premio maio - ok"/>
    <x v="0"/>
    <s v="itapeva"/>
    <s v="ok"/>
    <s v="ok"/>
    <m/>
  </r>
  <r>
    <n v="37016873"/>
    <s v="JOAO VICTOR MAMUD FRANCO CALACO"/>
    <x v="0"/>
    <x v="0"/>
    <d v="2024-03-12T00:00:00"/>
    <s v="JHON FELIPE SENOSKI"/>
    <n v="20065469"/>
    <m/>
    <n v="373114"/>
    <s v="Premio maio - ok"/>
    <x v="0"/>
    <s v="Itatinga"/>
    <s v="ok"/>
    <s v="ok"/>
    <m/>
  </r>
  <r>
    <n v="37016812"/>
    <s v="JULIANO HELIO DA SILVA"/>
    <x v="2"/>
    <x v="0"/>
    <d v="2024-03-05T00:00:00"/>
    <s v="JHON FELIPE SENOSKI"/>
    <n v="20065311"/>
    <m/>
    <n v="373114"/>
    <s v="Premio maio - ok"/>
    <x v="0"/>
    <s v="itapeva"/>
    <s v="ok"/>
    <s v="ok"/>
    <m/>
  </r>
  <r>
    <n v="37016671"/>
    <s v="LAUDELINO RIBAS DE OLIVEIRA MATOS"/>
    <x v="2"/>
    <x v="0"/>
    <d v="2024-02-20T00:00:00"/>
    <s v="JHON FELIPE SENOSKI"/>
    <n v="20064772"/>
    <m/>
    <n v="373114"/>
    <s v="Premio maio - ok"/>
    <x v="0"/>
    <s v="itapeva"/>
    <s v="ok"/>
    <s v="ok"/>
    <m/>
  </r>
  <r>
    <n v="37018016"/>
    <s v="JOSE ADALBERTO BISPO"/>
    <x v="1"/>
    <x v="1"/>
    <d v="2024-06-04T00:00:00"/>
    <s v="MARCIO APARECIDO CAVALHEIRO"/>
    <n v="20071375"/>
    <m/>
    <n v="373114"/>
    <s v="Premio maio - ok"/>
    <x v="0"/>
    <s v="Lençois Paulista"/>
    <s v="Estradas"/>
    <s v="ok"/>
    <m/>
  </r>
  <r>
    <n v="37017036"/>
    <s v="EDERVANDSON BRITO FERREIRA"/>
    <x v="5"/>
    <x v="3"/>
    <d v="2024-04-02T00:00:00"/>
    <s v="THIAGO MARIA PROENCA ALMEIDA"/>
    <n v="20066635"/>
    <m/>
    <n v="373114"/>
    <s v="Premio maio - ok"/>
    <x v="0"/>
    <s v="Bauru"/>
    <s v="Não receberá"/>
    <m/>
    <s v="FEITO"/>
  </r>
  <r>
    <n v="37017084"/>
    <s v="EDSON EDVALDO CAMILLO"/>
    <x v="5"/>
    <x v="3"/>
    <d v="2024-04-02T00:00:00"/>
    <s v="THIAGO MARIA PROENCA ALMEIDA"/>
    <n v="20067078"/>
    <m/>
    <n v="373114"/>
    <s v="Premio maio - ok"/>
    <x v="0"/>
    <s v="Bauru"/>
    <s v="Não receberá"/>
    <m/>
    <m/>
  </r>
  <r>
    <n v="37016917"/>
    <s v="Edson Martins"/>
    <x v="4"/>
    <x v="1"/>
    <d v="2024-03-19T00:00:00"/>
    <s v="THIAGO MARIA PROENCA ALMEIDA"/>
    <n v="20065867"/>
    <e v="#REF!"/>
    <n v="373114"/>
    <m/>
    <x v="6"/>
    <s v="Bauru"/>
    <s v="ok"/>
    <s v="verifcar urgente (esta em vaga de motorista), passar para vaga aberta de III"/>
    <m/>
  </r>
  <r>
    <n v="37016864"/>
    <s v="MARCOS ROBERTO DE REZENDE"/>
    <x v="0"/>
    <x v="1"/>
    <d v="2024-03-12T00:00:00"/>
    <s v="JHON FELIPE SENOSKI"/>
    <n v="20065443"/>
    <m/>
    <n v="373114"/>
    <s v="Premio maio - ok"/>
    <x v="0"/>
    <s v="Itatinga"/>
    <s v="ok"/>
    <s v="ok"/>
    <m/>
  </r>
  <r>
    <m/>
    <s v="Andre Jacinto"/>
    <x v="3"/>
    <x v="2"/>
    <d v="2024-03-19T00:00:00"/>
    <s v="MARCIO APARECIDO CAVALHEIRO"/>
    <m/>
    <e v="#REF!"/>
    <m/>
    <m/>
    <x v="7"/>
    <m/>
    <m/>
    <s v="ok"/>
    <m/>
  </r>
  <r>
    <m/>
    <s v="ALMIR RODRIGUES ALMEIDA"/>
    <x v="3"/>
    <x v="0"/>
    <d v="2024-03-05T00:00:00"/>
    <s v="MARCIO APARECIDO CAVALHEIRO"/>
    <n v="20065257"/>
    <e v="#REF!"/>
    <n v="373116"/>
    <m/>
    <x v="2"/>
    <m/>
    <m/>
    <s v="É nosso mas adequar no CC 373116"/>
    <m/>
  </r>
  <r>
    <m/>
    <s v="ELIAS CASTRO DA SILVA"/>
    <x v="4"/>
    <x v="1"/>
    <d v="2024-04-16T00:00:00"/>
    <s v="THIAGO MARIA PROENCA ALMEIDA"/>
    <m/>
    <e v="#REF!"/>
    <n v="373116"/>
    <m/>
    <x v="8"/>
    <m/>
    <m/>
    <s v="verifcar urgente (esta em vaga de motorista), passar para vaga aberta de III"/>
    <m/>
  </r>
  <r>
    <n v="37017042"/>
    <s v="FABIANO VIEIRA"/>
    <x v="4"/>
    <x v="1"/>
    <d v="2024-04-02T00:00:00"/>
    <s v="THIAGO MARIA PROENCA ALMEIDA"/>
    <n v="20066642"/>
    <m/>
    <n v="373114"/>
    <s v="Premio maio - ok"/>
    <x v="0"/>
    <s v="Bauru"/>
    <s v="ok"/>
    <s v="ok"/>
    <s v="FEITO"/>
  </r>
  <r>
    <n v="37021547"/>
    <s v="JEFFERSON CARDOSO DE PAULA"/>
    <x v="5"/>
    <x v="1"/>
    <d v="2025-04-08T00:00:00"/>
    <s v="THIAGO MARIA PROENCA ALMEIDA"/>
    <n v="20089413"/>
    <m/>
    <n v="373114"/>
    <s v="pagar proporcional"/>
    <x v="0"/>
    <m/>
    <m/>
    <m/>
    <m/>
  </r>
  <r>
    <n v="37017104"/>
    <s v="JESUS FERNANDO FERREIRA DE OLIVEIRA"/>
    <x v="4"/>
    <x v="0"/>
    <d v="2024-04-02T00:00:00"/>
    <s v="THIAGO MARIA PROENCA ALMEIDA"/>
    <n v="20067418"/>
    <m/>
    <n v="373114"/>
    <s v="Premio maio - ok"/>
    <x v="0"/>
    <s v="Bauru"/>
    <s v="ok"/>
    <s v="ok"/>
    <m/>
  </r>
  <r>
    <n v="37017097"/>
    <s v="JOAO KLEBER ANTONIO LOPES"/>
    <x v="4"/>
    <x v="3"/>
    <d v="2024-04-02T00:00:00"/>
    <s v="THIAGO MARIA PROENCA ALMEIDA"/>
    <n v="20067411"/>
    <m/>
    <n v="373114"/>
    <s v="Premio maio - ok"/>
    <x v="0"/>
    <s v="Bauru"/>
    <s v="ok"/>
    <m/>
    <m/>
  </r>
  <r>
    <n v="37016772"/>
    <s v="JOSE NIVALDO DE OLIVEIRA"/>
    <x v="4"/>
    <x v="0"/>
    <d v="2024-03-05T00:00:00"/>
    <s v="THIAGO MARIA PROENCA ALMEIDA"/>
    <n v="20060083"/>
    <m/>
    <n v="373114"/>
    <s v="Premio maio - ok"/>
    <x v="0"/>
    <s v="Bauru"/>
    <s v="ok"/>
    <s v="ok"/>
    <m/>
  </r>
  <r>
    <n v="37016869"/>
    <s v="RODRIGO ALVES DE MELLO"/>
    <x v="0"/>
    <x v="1"/>
    <d v="2024-03-12T00:00:00"/>
    <s v="JHON FELIPE SENOSKI"/>
    <n v="20065465"/>
    <m/>
    <n v="373114"/>
    <s v="Premio maio - ok"/>
    <x v="0"/>
    <s v="Itatinga"/>
    <s v="ok"/>
    <s v="ok"/>
    <m/>
  </r>
  <r>
    <n v="37016956"/>
    <s v="LEONARDO DE MELO ARF"/>
    <x v="4"/>
    <x v="0"/>
    <d v="2024-03-19T00:00:00"/>
    <s v="THIAGO MARIA PROENCA ALMEIDA"/>
    <n v="20065907"/>
    <m/>
    <n v="373114"/>
    <s v="Premio maio - ok"/>
    <x v="0"/>
    <s v="Bauru"/>
    <s v="ok"/>
    <s v="ok"/>
    <s v="FALTOU "/>
  </r>
  <r>
    <n v="37021417"/>
    <s v="MARCELO MACHADO MARTINS DE SOUZA"/>
    <x v="4"/>
    <x v="1"/>
    <d v="2025-04-01T00:00:00"/>
    <s v="THIAGO MARIA PROENCA ALMEIDA"/>
    <n v="20088837"/>
    <m/>
    <n v="373114"/>
    <s v="pagar proporcional"/>
    <x v="0"/>
    <m/>
    <m/>
    <m/>
    <m/>
  </r>
  <r>
    <n v="37020099"/>
    <s v="Luciano Antonio Fiques "/>
    <x v="3"/>
    <x v="0"/>
    <d v="2024-12-03T00:00:00"/>
    <s v="MARCIO APARECIDO CAVALHEIRO"/>
    <n v="20062977"/>
    <m/>
    <n v="373114"/>
    <s v="Premio maio - ok"/>
    <x v="0"/>
    <m/>
    <m/>
    <m/>
    <m/>
  </r>
  <r>
    <n v="37017990"/>
    <s v="MARCIO VICENTE MENDES"/>
    <x v="1"/>
    <x v="0"/>
    <d v="2024-06-04T00:00:00"/>
    <s v="MARCIO APARECIDO CAVALHEIRO"/>
    <n v="20071349"/>
    <m/>
    <n v="373114"/>
    <s v="Premio maio - ok"/>
    <x v="0"/>
    <s v="Lençois Paulista"/>
    <s v="ok - apoiando M4"/>
    <s v="ok"/>
    <m/>
  </r>
  <r>
    <n v="37020198"/>
    <s v="Maurício Fernandes de Oliveira"/>
    <x v="1"/>
    <x v="0"/>
    <d v="2024-12-03T00:00:00"/>
    <s v="MARCIO APARECIDO CAVALHEIRO"/>
    <n v="20083048"/>
    <m/>
    <n v="373114"/>
    <s v="Premio maio - ok"/>
    <x v="0"/>
    <m/>
    <m/>
    <m/>
    <m/>
  </r>
  <r>
    <n v="37014355"/>
    <s v="REGINALDO APARECIDO VAZ"/>
    <x v="1"/>
    <x v="0"/>
    <d v="2023-09-05T00:00:00"/>
    <s v="MARCIO APARECIDO CAVALHEIRO"/>
    <n v="20058490"/>
    <m/>
    <n v="373114"/>
    <s v="Premio maio - ok"/>
    <x v="0"/>
    <s v="Lençois Paulista"/>
    <s v="ok - apoiando M4"/>
    <s v="É nosso mas adequar no CC 373116"/>
    <m/>
  </r>
  <r>
    <n v="37013705"/>
    <s v="ROBERTO OLIVEIRA SANTOS"/>
    <x v="3"/>
    <x v="0"/>
    <d v="2023-08-01T00:00:00"/>
    <s v="MARCIO APARECIDO CAVALHEIRO"/>
    <n v="20056287"/>
    <m/>
    <n v="373114"/>
    <s v="Premio maio - ok"/>
    <x v="0"/>
    <s v="agudos"/>
    <s v="ok"/>
    <s v="ok"/>
    <m/>
  </r>
  <r>
    <n v="37018148"/>
    <s v="CARLOS ALEX DE GODOI PAINO"/>
    <x v="6"/>
    <x v="2"/>
    <d v="2024-06-18T00:00:00"/>
    <s v="CASSIO THOMAS DA SILVEIRA"/>
    <n v="20072296"/>
    <m/>
    <n v="373114"/>
    <s v="Premio maio - ok"/>
    <x v="0"/>
    <s v="MARÍLIA"/>
    <s v="ok"/>
    <s v="ok"/>
    <m/>
  </r>
  <r>
    <n v="37017985"/>
    <s v="MARCOS VINICIUS SOARES DA SILVA"/>
    <x v="5"/>
    <x v="0"/>
    <d v="2024-06-04T00:00:00"/>
    <s v="THIAGO MARIA PROENCA ALMEIDA"/>
    <n v="20056390"/>
    <m/>
    <n v="373114"/>
    <s v="Premio maio - ok"/>
    <x v="0"/>
    <s v="Bauru"/>
    <s v="ok"/>
    <s v="verifcar urgente temos uma vaga aberta de operador I (devolver a vaga)"/>
    <s v="FEITO"/>
  </r>
  <r>
    <n v="37014643"/>
    <s v="RODRIGO ANTONIO DE SOUSA"/>
    <x v="3"/>
    <x v="4"/>
    <d v="2023-09-19T00:00:00"/>
    <s v="MARCIO APARECIDO CAVALHEIRO"/>
    <n v="20059382"/>
    <m/>
    <n v="373114"/>
    <s v="Premio maio - ok"/>
    <x v="0"/>
    <s v="agudos"/>
    <s v="ok"/>
    <s v="Pedir downgrad de operador II para I"/>
    <m/>
  </r>
  <r>
    <n v="37019592"/>
    <s v="Sandro Renato Moreira"/>
    <x v="2"/>
    <x v="1"/>
    <d v="2024-10-15T00:00:00"/>
    <s v="JHON FELIPE SENOSKI"/>
    <n v="20079974"/>
    <m/>
    <n v="373114"/>
    <s v="Premio maio - ok"/>
    <x v="0"/>
    <s v="itapeva"/>
    <s v="ok"/>
    <m/>
    <m/>
  </r>
  <r>
    <n v="37018282"/>
    <s v="Carlos Rodrigues De Oliveira Souza"/>
    <x v="7"/>
    <x v="0"/>
    <d v="2024-07-02T00:00:00"/>
    <s v="CASSIO THOMAS DA SILVEIRA"/>
    <n v="20072833"/>
    <m/>
    <n v="373114"/>
    <s v="Premio maio - ok"/>
    <x v="0"/>
    <s v="LINS"/>
    <s v="ok"/>
    <s v="ok"/>
    <s v="FEITO"/>
  </r>
  <r>
    <n v="37017957"/>
    <s v="Cleberson Roberto Peres Lopes"/>
    <x v="7"/>
    <x v="0"/>
    <d v="2024-06-04T00:00:00"/>
    <s v="CASSIO THOMAS DA SILVEIRA"/>
    <n v="20071225"/>
    <m/>
    <n v="373114"/>
    <s v="Premio maio - ok"/>
    <x v="0"/>
    <s v="GUARANTÃ"/>
    <s v="ok"/>
    <s v="ok"/>
    <m/>
  </r>
  <r>
    <m/>
    <s v="PAULO HENRIQUE DE LIMA VIEIRA"/>
    <x v="6"/>
    <x v="0"/>
    <d v="2024-06-18T00:00:00"/>
    <s v="CASSIO THOMAS DA SILVEIRA"/>
    <n v="20072298"/>
    <e v="#REF!"/>
    <n v="373116"/>
    <m/>
    <x v="9"/>
    <s v="GUARANTÃ"/>
    <s v="Não pagar/saiu da empresa"/>
    <s v="ok"/>
    <m/>
  </r>
  <r>
    <n v="37018408"/>
    <s v="CRISTIANO SILVA"/>
    <x v="7"/>
    <x v="1"/>
    <d v="2024-07-10T00:00:00"/>
    <s v="CASSIO THOMAS DA SILVEIRA"/>
    <n v="20073600"/>
    <m/>
    <n v="373114"/>
    <s v="Premio maio - ok"/>
    <x v="0"/>
    <s v="LINS"/>
    <s v="ok"/>
    <s v="ok"/>
    <m/>
  </r>
  <r>
    <n v="37020620"/>
    <s v="DANIEL FAUSTINO CAMPOS"/>
    <x v="7"/>
    <x v="3"/>
    <d v="2025-01-21T00:00:00"/>
    <s v="CASSIO THOMAS DA SILVEIRA"/>
    <n v="20084374"/>
    <m/>
    <n v="373114"/>
    <s v="Premio maio - ok"/>
    <x v="0"/>
    <m/>
    <m/>
    <m/>
    <m/>
  </r>
  <r>
    <n v="37019064"/>
    <s v="DOUGLAS OLIVEIRA DOS SANTOS"/>
    <x v="6"/>
    <x v="1"/>
    <d v="2024-09-03T00:00:00"/>
    <s v="CASSIO THOMAS DA SILVEIRA"/>
    <n v="20076917"/>
    <m/>
    <n v="373114"/>
    <s v="Premio maio - ok"/>
    <x v="0"/>
    <s v="PRESIDENTE ALVES"/>
    <s v="ok"/>
    <s v="ok"/>
    <s v="FEITO"/>
  </r>
  <r>
    <n v="37017525"/>
    <s v="SANTOS GLAUCIO DA SILVA"/>
    <x v="1"/>
    <x v="0"/>
    <d v="2024-05-07T00:00:00"/>
    <s v="MARCIO APARECIDO CAVALHEIRO"/>
    <n v="20069674"/>
    <m/>
    <n v="373114"/>
    <s v="Premio maio - ok"/>
    <x v="0"/>
    <s v="Lençois Paulista"/>
    <s v="Estradas"/>
    <s v="ok"/>
    <m/>
  </r>
  <r>
    <n v="37018146"/>
    <s v="FABIO DIAS CARLOS"/>
    <x v="7"/>
    <x v="1"/>
    <d v="2024-06-18T00:00:00"/>
    <s v="CASSIO THOMAS DA SILVEIRA"/>
    <n v="20072294"/>
    <m/>
    <n v="373114"/>
    <s v="Premio maio - ok"/>
    <x v="0"/>
    <s v="LINS"/>
    <s v="ok"/>
    <s v="ok"/>
    <m/>
  </r>
  <r>
    <n v="37017272"/>
    <s v="Silvio Roberto dos Santos"/>
    <x v="0"/>
    <x v="1"/>
    <d v="2024-04-16T00:00:00"/>
    <s v="JHON FELIPE SENOSKI"/>
    <n v="20068585"/>
    <m/>
    <n v="373114"/>
    <s v="Premio maio - ok"/>
    <x v="0"/>
    <s v="Itatinga"/>
    <s v="ok"/>
    <m/>
    <m/>
  </r>
  <r>
    <n v="37017497"/>
    <s v="Tiago Batista De Souza"/>
    <x v="3"/>
    <x v="1"/>
    <d v="2024-05-07T00:00:00"/>
    <s v="MARCIO APARECIDO CAVALHEIRO"/>
    <n v="20069641"/>
    <m/>
    <n v="373114"/>
    <s v="Premio maio - ok"/>
    <x v="0"/>
    <s v="agudos"/>
    <s v="ok"/>
    <s v="ok"/>
    <m/>
  </r>
  <r>
    <n v="37018099"/>
    <s v="VICENTE ELIAS FELICIANO"/>
    <x v="1"/>
    <x v="1"/>
    <d v="2024-06-11T00:00:00"/>
    <s v="MARCIO APARECIDO CAVALHEIRO"/>
    <n v="20071778"/>
    <m/>
    <n v="373114"/>
    <s v="Premio maio - ok"/>
    <x v="0"/>
    <s v="Lençois Paulista"/>
    <s v="ok - apoiando M4"/>
    <s v="ok, alocar na nossa vaga em aberto"/>
    <m/>
  </r>
  <r>
    <m/>
    <s v="JOSE HERMANO DO CARMO"/>
    <x v="6"/>
    <x v="3"/>
    <d v="2024-09-10T00:00:00"/>
    <s v="CASSIO THOMAS DA SILVEIRA"/>
    <n v="20076937"/>
    <e v="#REF!"/>
    <m/>
    <m/>
    <x v="10"/>
    <s v="JURUTI"/>
    <s v="ok"/>
    <s v="ok"/>
    <s v="FEITO"/>
  </r>
  <r>
    <n v="37020393"/>
    <s v="FABIO DOS SANTOS BONFIM"/>
    <x v="6"/>
    <x v="0"/>
    <d v="2025-01-07T00:00:00"/>
    <s v="CASSIO THOMAS DA SILVEIRA"/>
    <n v="20083834"/>
    <m/>
    <n v="373114"/>
    <s v="Premio maio - ok"/>
    <x v="0"/>
    <m/>
    <m/>
    <m/>
    <m/>
  </r>
  <r>
    <m/>
    <s v="JOSE MARIANO"/>
    <x v="6"/>
    <x v="1"/>
    <d v="2024-06-18T00:00:00"/>
    <s v="CASSIO THOMAS DA SILVEIRA"/>
    <n v="20072290"/>
    <e v="#REF!"/>
    <s v="373403 cc de pipa verificar"/>
    <m/>
    <x v="11"/>
    <s v="LINS"/>
    <s v="ok"/>
    <s v="ok"/>
    <s v="FEITO"/>
  </r>
  <r>
    <n v="37020160"/>
    <s v="Gregory Willian Javarotti"/>
    <x v="7"/>
    <x v="1"/>
    <d v="2024-12-03T00:00:00"/>
    <s v="CASSIO THOMAS DA SILVEIRA"/>
    <n v="20083008"/>
    <m/>
    <n v="373114"/>
    <s v="Premio maio - ok"/>
    <x v="0"/>
    <m/>
    <m/>
    <m/>
    <m/>
  </r>
  <r>
    <n v="37020158"/>
    <s v="JEFFERSON MARINHO DOURADO"/>
    <x v="6"/>
    <x v="0"/>
    <d v="2024-12-03T00:00:00"/>
    <s v="CASSIO THOMAS DA SILVEIRA"/>
    <n v="20083005"/>
    <m/>
    <n v="373114"/>
    <s v="Premio maio - ok"/>
    <x v="0"/>
    <m/>
    <m/>
    <m/>
    <m/>
  </r>
  <r>
    <n v="37021730"/>
    <s v="Fernando Jorge da Silva"/>
    <x v="8"/>
    <x v="0"/>
    <d v="2025-04-15T00:00:00"/>
    <s v="Vanderlei Jose Honorio"/>
    <n v="20090084"/>
    <m/>
    <n v="373114"/>
    <s v="média do modulo e proporcional"/>
    <x v="0"/>
    <m/>
    <m/>
    <m/>
    <m/>
  </r>
  <r>
    <n v="37021085"/>
    <s v="Giovani Silva Cardoso"/>
    <x v="8"/>
    <x v="1"/>
    <d v="2025-03-11T00:00:00"/>
    <s v="Vanderlei Jose Honorio"/>
    <n v="20086582"/>
    <m/>
    <n v="373114"/>
    <s v="Premio maio - ok"/>
    <x v="0"/>
    <m/>
    <m/>
    <m/>
    <m/>
  </r>
  <r>
    <n v="37020297"/>
    <s v="Hailton Cunha Brito"/>
    <x v="8"/>
    <x v="3"/>
    <d v="2024-12-10T00:00:00"/>
    <s v="Vanderlei Jose Honorio"/>
    <n v="20083256"/>
    <m/>
    <n v="373114"/>
    <s v="Premio maio - ok"/>
    <x v="0"/>
    <m/>
    <m/>
    <m/>
    <m/>
  </r>
  <r>
    <n v="37021048"/>
    <s v="Jocelino dos Santos "/>
    <x v="8"/>
    <x v="1"/>
    <d v="2025-03-11T00:00:00"/>
    <s v="Vanderlei Jose Honorio"/>
    <n v="20086483"/>
    <m/>
    <n v="373114"/>
    <s v="Premio maio - ok"/>
    <x v="0"/>
    <m/>
    <m/>
    <m/>
    <m/>
  </r>
  <r>
    <n v="37020181"/>
    <s v="Julio Cesar De Godoi"/>
    <x v="7"/>
    <x v="0"/>
    <d v="2024-12-03T00:00:00"/>
    <s v="CASSIO THOMAS DA SILVEIRA"/>
    <n v="20083030"/>
    <m/>
    <n v="373114"/>
    <s v="Premio maio - ok"/>
    <x v="0"/>
    <m/>
    <m/>
    <m/>
    <m/>
  </r>
  <r>
    <n v="37020281"/>
    <s v="Luiz Antonio Cardoso"/>
    <x v="8"/>
    <x v="0"/>
    <d v="2024-12-10T00:00:00"/>
    <s v="Vanderlei Jose Honorio"/>
    <n v="20083240"/>
    <e v="#REF!"/>
    <n v="373114"/>
    <s v="média do modulo e proporcional"/>
    <x v="12"/>
    <m/>
    <m/>
    <m/>
    <m/>
  </r>
  <r>
    <n v="37020902"/>
    <s v="Juliano Dutra"/>
    <x v="8"/>
    <x v="0"/>
    <d v="2025-02-18T00:00:00"/>
    <s v="Vanderlei Jose Honorio"/>
    <n v="20085320"/>
    <m/>
    <n v="373114"/>
    <s v="Premio maio - ok"/>
    <x v="0"/>
    <m/>
    <m/>
    <m/>
    <m/>
  </r>
  <r>
    <n v="37018341"/>
    <s v="PAULO SERGIO MARTINS JUNIOR"/>
    <x v="6"/>
    <x v="3"/>
    <d v="2024-07-02T00:00:00"/>
    <s v="CASSIO THOMAS DA SILVEIRA"/>
    <n v="20073125"/>
    <m/>
    <n v="373114"/>
    <s v="Premio maio - ok"/>
    <x v="0"/>
    <s v="GUAIÇARA"/>
    <s v="ok"/>
    <s v="É nosso mas adequar no CC 373116"/>
    <s v="FEITO"/>
  </r>
  <r>
    <n v="37013837"/>
    <s v="RENATO NUNES LOPES"/>
    <x v="6"/>
    <x v="3"/>
    <d v="2023-08-22T00:00:00"/>
    <s v="CASSIO THOMAS DA SILVEIRA"/>
    <n v="20056794"/>
    <m/>
    <n v="373114"/>
    <s v="Premio maio - ok"/>
    <x v="0"/>
    <m/>
    <m/>
    <m/>
    <m/>
  </r>
  <r>
    <n v="37020502"/>
    <s v="Lazaro Antonio Rodrigues"/>
    <x v="8"/>
    <x v="1"/>
    <d v="2025-01-14T00:00:00"/>
    <s v="Vanderlei Jose Honorio"/>
    <n v="20084134"/>
    <m/>
    <n v="373114"/>
    <s v="Premio maio - ok"/>
    <x v="0"/>
    <m/>
    <m/>
    <m/>
    <m/>
  </r>
  <r>
    <n v="37020764"/>
    <s v="Vinicius Cesar Juliana"/>
    <x v="6"/>
    <x v="1"/>
    <d v="2025-02-04T00:00:00"/>
    <s v="CASSIO THOMAS DA SILVEIRA"/>
    <n v="20085115"/>
    <m/>
    <n v="373114"/>
    <s v="Premio maio - ok"/>
    <x v="0"/>
    <m/>
    <m/>
    <m/>
    <m/>
  </r>
  <r>
    <n v="37020694"/>
    <s v="Leonardo Junior Braga de Freitas"/>
    <x v="8"/>
    <x v="0"/>
    <d v="2025-02-04T00:00:00"/>
    <s v="Vanderlei Jose Honorio"/>
    <n v="20084983"/>
    <m/>
    <n v="373114"/>
    <s v="Premio maio - ok"/>
    <x v="0"/>
    <m/>
    <m/>
    <m/>
    <m/>
  </r>
  <r>
    <n v="37005788"/>
    <s v="MARCO ANTONIO DE OLIVEIRA SILVA"/>
    <x v="0"/>
    <x v="0"/>
    <d v="2021-06-01T00:00:00"/>
    <s v="JHON FELIPE SENOSKI"/>
    <n v="20016044"/>
    <m/>
    <n v="373114"/>
    <s v="Premio maio - ok"/>
    <x v="0"/>
    <m/>
    <m/>
    <m/>
    <m/>
  </r>
  <r>
    <n v="37016985"/>
    <s v="OSMAR BERTOLUCCI"/>
    <x v="4"/>
    <x v="1"/>
    <d v="2024-03-19T00:00:00"/>
    <s v="THIAGO MARIA PROENCA ALMEIDA"/>
    <n v="20065936"/>
    <m/>
    <n v="373114"/>
    <s v="Premio maio - ok"/>
    <x v="0"/>
    <s v="Bauru"/>
    <s v="ok"/>
    <s v="ok"/>
    <m/>
  </r>
  <r>
    <n v="37021148"/>
    <s v="Marcos Roberto Teodoro de Oliveira"/>
    <x v="8"/>
    <x v="0"/>
    <d v="2025-03-11T00:00:00"/>
    <s v="Vanderlei Jose Honorio"/>
    <n v="20087213"/>
    <m/>
    <n v="373114"/>
    <s v="Premio maio - ok"/>
    <x v="0"/>
    <m/>
    <m/>
    <m/>
    <m/>
  </r>
  <r>
    <n v="37020100"/>
    <s v="Nilton Cesar Moreira Ribeiro"/>
    <x v="8"/>
    <x v="1"/>
    <d v="2024-12-03T00:00:00"/>
    <s v="Vanderlei Jose Honorio"/>
    <n v="20082552"/>
    <m/>
    <n v="373114"/>
    <s v="Premio maio - ok"/>
    <x v="0"/>
    <m/>
    <m/>
    <m/>
    <m/>
  </r>
  <r>
    <n v="37020285"/>
    <s v="Rafael Machado Reis"/>
    <x v="8"/>
    <x v="0"/>
    <d v="2024-12-10T00:00:00"/>
    <s v="Vanderlei Jose Honorio"/>
    <n v="20083244"/>
    <m/>
    <n v="373114"/>
    <s v="Premio maio - ok"/>
    <x v="0"/>
    <m/>
    <m/>
    <m/>
    <m/>
  </r>
  <r>
    <n v="37017222"/>
    <s v="Paulo Sergio Anzolin"/>
    <x v="5"/>
    <x v="0"/>
    <d v="2024-04-16T00:00:00"/>
    <s v="THIAGO MARIA PROENCA ALMEIDA"/>
    <n v="20052324"/>
    <m/>
    <n v="373114"/>
    <s v="Premio maio - ok"/>
    <x v="0"/>
    <s v="Bauru"/>
    <s v="ok"/>
    <m/>
    <m/>
  </r>
  <r>
    <n v="37020385"/>
    <s v="Vergilio Neves De Souza"/>
    <x v="8"/>
    <x v="1"/>
    <d v="2025-01-07T00:00:00"/>
    <s v="Vanderlei Jose Honorio"/>
    <n v="20083826"/>
    <m/>
    <n v="373114"/>
    <s v="Premio maio - ok"/>
    <x v="0"/>
    <m/>
    <m/>
    <m/>
    <m/>
  </r>
  <r>
    <n v="37021871"/>
    <s v="Marcos Rogério do Nascimento"/>
    <x v="8"/>
    <x v="1"/>
    <d v="2025-05-06T00:00:00"/>
    <s v="Vanderlei Jose Honorio"/>
    <n v="20091143"/>
    <m/>
    <n v="373114"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3" firstHeaderRow="1" firstDataRow="2" firstDataCol="1" rowPageCount="1" colPageCount="1"/>
  <pivotFields count="13">
    <pivotField showAll="0"/>
    <pivotField dataField="1" showAll="0"/>
    <pivotField showAll="0" sortType="descending">
      <items count="17">
        <item x="7"/>
        <item x="6"/>
        <item x="5"/>
        <item x="4"/>
        <item x="3"/>
        <item x="2"/>
        <item x="1"/>
        <item x="0"/>
        <item m="1" x="14"/>
        <item m="1" x="11"/>
        <item m="1" x="10"/>
        <item m="1" x="8"/>
        <item m="1" x="15"/>
        <item m="1" x="13"/>
        <item m="1" x="9"/>
        <item m="1" x="12"/>
        <item t="default"/>
      </items>
    </pivotField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m="1" x="8"/>
        <item t="default"/>
      </items>
    </pivotField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axis="axisPage" multipleItemSelectionAllowed="1" showAll="0">
      <items count="36">
        <item h="1" x="30"/>
        <item h="1" x="21"/>
        <item h="1" x="26"/>
        <item h="1" x="18"/>
        <item h="1" x="6"/>
        <item h="1" x="5"/>
        <item h="1" x="14"/>
        <item h="1" x="34"/>
        <item h="1" x="13"/>
        <item h="1" x="20"/>
        <item h="1" x="2"/>
        <item h="1" x="1"/>
        <item h="1" x="31"/>
        <item h="1" x="33"/>
        <item h="1" x="24"/>
        <item h="1" x="9"/>
        <item h="1" x="28"/>
        <item h="1" x="25"/>
        <item h="1" x="10"/>
        <item x="0"/>
        <item h="1" x="27"/>
        <item h="1" x="19"/>
        <item h="1" x="15"/>
        <item h="1" x="23"/>
        <item h="1" x="4"/>
        <item h="1" x="16"/>
        <item h="1" x="11"/>
        <item h="1" x="8"/>
        <item h="1" x="22"/>
        <item h="1" x="29"/>
        <item h="1" x="12"/>
        <item h="1" x="3"/>
        <item h="1" x="7"/>
        <item h="1" x="32"/>
        <item h="1" x="17"/>
        <item t="default"/>
      </items>
    </pivotField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ntagem de COLABORADOR" fld="1" subtotal="count" baseField="0" baseItem="0"/>
  </dataFields>
  <formats count="7">
    <format dxfId="78">
      <pivotArea outline="0" collapsedLevelsAreSubtotals="1" fieldPosition="0"/>
    </format>
    <format dxfId="77">
      <pivotArea dataOnly="0" labelOnly="1" grandRow="1" outline="0" fieldPosition="0"/>
    </format>
    <format dxfId="76">
      <pivotArea outline="0" collapsedLevelsAreSubtotals="1" fieldPosition="0"/>
    </format>
    <format dxfId="75">
      <pivotArea dataOnly="0" labelOnly="1" grandRow="1" outline="0" fieldPosition="0"/>
    </format>
    <format dxfId="74">
      <pivotArea field="2" type="button" dataOnly="0" labelOnly="1" outline="0"/>
    </format>
    <format dxfId="73">
      <pivotArea dataOnly="0" labelOnly="1" fieldPosition="0">
        <references count="1">
          <reference field="9" count="3">
            <x v="0"/>
            <x v="1"/>
            <x v="3"/>
          </reference>
        </references>
      </pivotArea>
    </format>
    <format dxfId="72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4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7:G28" firstHeaderRow="1" firstDataRow="2" firstDataCol="1" rowPageCount="1" colPageCount="1"/>
  <pivotFields count="15">
    <pivotField showAll="0"/>
    <pivotField dataField="1" showAll="0"/>
    <pivotField axis="axisRow" showAll="0">
      <items count="11">
        <item x="1"/>
        <item x="2"/>
        <item x="0"/>
        <item x="3"/>
        <item x="4"/>
        <item x="7"/>
        <item x="6"/>
        <item x="5"/>
        <item x="8"/>
        <item m="1" x="9"/>
        <item t="default"/>
      </items>
    </pivotField>
    <pivotField axis="axisCol" showAll="0">
      <items count="7">
        <item x="2"/>
        <item x="1"/>
        <item x="3"/>
        <item x="0"/>
        <item m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x="3"/>
        <item h="1" x="8"/>
        <item h="1" x="5"/>
        <item h="1" x="7"/>
        <item x="0"/>
        <item h="1" m="1" x="13"/>
        <item h="1" x="2"/>
        <item h="1" x="1"/>
        <item h="1" x="9"/>
        <item h="1" x="11"/>
        <item h="1" x="10"/>
        <item h="1" x="4"/>
        <item h="1" x="6"/>
        <item h="1" x="1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5"/>
    </i>
    <i t="grand">
      <x/>
    </i>
  </colItems>
  <pageFields count="1">
    <pageField fld="10" hier="-1"/>
  </pageFields>
  <dataFields count="1">
    <dataField name="Contagem de COLABORADOR" fld="1" subtotal="count" baseField="0" baseItem="0"/>
  </dataFields>
  <formats count="13">
    <format dxfId="91">
      <pivotArea outline="0" collapsedLevelsAreSubtotals="1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Row="1" outline="0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3" count="0"/>
        </references>
      </pivotArea>
    </format>
    <format dxfId="83">
      <pivotArea dataOnly="0" labelOnly="1" grandCol="1" outline="0" fieldPosition="0"/>
    </format>
    <format dxfId="82">
      <pivotArea collapsedLevelsAreSubtotals="1" fieldPosition="0">
        <references count="1">
          <reference field="2" count="1">
            <x v="0"/>
          </reference>
        </references>
      </pivotArea>
    </format>
    <format dxfId="81">
      <pivotArea dataOnly="0" labelOnly="1" fieldPosition="0">
        <references count="1">
          <reference field="2" count="1">
            <x v="0"/>
          </reference>
        </references>
      </pivotArea>
    </format>
    <format dxfId="80">
      <pivotArea collapsedLevelsAreSubtotals="1" fieldPosition="0">
        <references count="1">
          <reference field="2" count="1">
            <x v="3"/>
          </reference>
        </references>
      </pivotArea>
    </format>
    <format dxfId="79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53A24-511A-4BAD-938A-C5ACCF19B8E7}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7:D54" firstHeaderRow="1" firstDataRow="2" firstDataCol="1" rowPageCount="1" colPageCount="1"/>
  <pivotFields count="15">
    <pivotField showAll="0"/>
    <pivotField dataField="1" showAll="0"/>
    <pivotField axis="axisRow" showAll="0">
      <items count="22">
        <item h="1" x="12"/>
        <item x="9"/>
        <item x="16"/>
        <item x="17"/>
        <item x="8"/>
        <item x="6"/>
        <item x="0"/>
        <item x="4"/>
        <item m="1" x="20"/>
        <item x="7"/>
        <item x="2"/>
        <item x="10"/>
        <item x="15"/>
        <item x="18"/>
        <item x="3"/>
        <item x="14"/>
        <item x="5"/>
        <item x="1"/>
        <item h="1" x="13"/>
        <item h="1" x="11"/>
        <item h="1" x="19"/>
        <item t="default"/>
      </items>
    </pivotField>
    <pivotField axis="axisCol" showAll="0">
      <items count="6">
        <item h="1" x="2"/>
        <item h="1"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Page" multipleItemSelectionAllowed="1" showAll="0">
      <items count="10">
        <item h="1" m="1" x="8"/>
        <item h="1" x="4"/>
        <item h="1" x="3"/>
        <item h="1" x="5"/>
        <item x="0"/>
        <item h="1" x="7"/>
        <item h="1" x="1"/>
        <item h="1" x="6"/>
        <item h="1" x="2"/>
        <item t="default"/>
      </items>
    </pivotField>
    <pivotField showAll="0"/>
    <pivotField showAll="0"/>
    <pivotField showAll="0"/>
  </pivotFields>
  <rowFields count="1">
    <field x="2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3"/>
  </colFields>
  <colItems count="3">
    <i>
      <x v="2"/>
    </i>
    <i>
      <x v="3"/>
    </i>
    <i t="grand">
      <x/>
    </i>
  </colItems>
  <pageFields count="1">
    <pageField fld="11" hier="-1"/>
  </pageFields>
  <dataFields count="1">
    <dataField name="Contagem de COLABORADOR" fld="1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M166" totalsRowShown="0" dataDxfId="67" headerRowBorderDxfId="68" tableBorderDxfId="66" totalsRowBorderDxfId="65">
  <autoFilter ref="A1:M166" xr:uid="{9178D1CC-FFF1-4D51-9CA1-4DF6BB79578A}">
    <filterColumn colId="10">
      <filters blank="1"/>
    </filterColumn>
  </autoFilter>
  <sortState ref="A147:M166">
    <sortCondition ref="B1:B166"/>
  </sortState>
  <tableColumns count="13">
    <tableColumn id="1" xr3:uid="{00000000-0010-0000-0000-000001000000}" name="MATRÍCULA" dataDxfId="64"/>
    <tableColumn id="2" xr3:uid="{00000000-0010-0000-0000-000002000000}" name="COLABORADOR" dataDxfId="63"/>
    <tableColumn id="3" xr3:uid="{00000000-0010-0000-0000-000003000000}" name="MÓDULO" dataDxfId="62"/>
    <tableColumn id="4" xr3:uid="{00000000-0010-0000-0000-000004000000}" name="CARGO" dataDxfId="61"/>
    <tableColumn id="5" xr3:uid="{00000000-0010-0000-0000-000005000000}" name="CC" dataDxfId="60"/>
    <tableColumn id="6" xr3:uid="{00000000-0010-0000-0000-000006000000}" name="GESTOR IMEDIATO" dataDxfId="59"/>
    <tableColumn id="7" xr3:uid="{00000000-0010-0000-0000-000007000000}" name="MÓDULO2" dataDxfId="58"/>
    <tableColumn id="8" xr3:uid="{00000000-0010-0000-0000-000008000000}" name="ID COLABORADOR" dataDxfId="57"/>
    <tableColumn id="9" xr3:uid="{00000000-0010-0000-0000-000009000000}" name="DATA ADMISSÃO" dataDxfId="56"/>
    <tableColumn id="10" xr3:uid="{00000000-0010-0000-0000-00000A000000}" name="SITUACAO" dataDxfId="55">
      <calculatedColumnFormula>Tabela3[[#This Row],[CARGO]]</calculatedColumnFormula>
    </tableColumn>
    <tableColumn id="11" xr3:uid="{00000000-0010-0000-0000-00000B000000}" name="DESLIGAMENTO" dataDxfId="54"/>
    <tableColumn id="12" xr3:uid="{334757AD-2118-4754-AE1E-2793CFBCE1C0}" name="Cidade Origem" dataDxfId="53"/>
    <tableColumn id="14" xr3:uid="{4D3BF38F-BDB6-4224-B31A-FDD0644B778D}" name="Prêmio de produção " dataDxfId="5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up_tecnicos" displayName="Sup_tecnicos" ref="A1:O45" totalsRowShown="0" headerRowDxfId="51" dataDxfId="50">
  <autoFilter ref="A1:O45" xr:uid="{DCAD2AE4-3C7C-417E-86A4-134D3040FE91}">
    <filterColumn colId="11">
      <filters blank="1"/>
    </filterColumn>
  </autoFilter>
  <sortState ref="A2:O45">
    <sortCondition ref="D1:D45"/>
  </sortState>
  <tableColumns count="15">
    <tableColumn id="1" xr3:uid="{00000000-0010-0000-0100-000001000000}" name="MATRÍCULA" dataDxfId="49"/>
    <tableColumn id="2" xr3:uid="{00000000-0010-0000-0100-000002000000}" name="COLABORADOR" dataDxfId="48"/>
    <tableColumn id="3" xr3:uid="{00000000-0010-0000-0100-000003000000}" name="MÓDULO" dataDxfId="47"/>
    <tableColumn id="4" xr3:uid="{00000000-0010-0000-0100-000004000000}" name="CARGO" dataDxfId="46"/>
    <tableColumn id="5" xr3:uid="{00000000-0010-0000-0100-000005000000}" name="TELEFONE" dataDxfId="45"/>
    <tableColumn id="6" xr3:uid="{00000000-0010-0000-0100-000006000000}" name="CC 2024" dataDxfId="44"/>
    <tableColumn id="7" xr3:uid="{00000000-0010-0000-0100-000007000000}" name="GESTOR IMEDIATO" dataDxfId="43"/>
    <tableColumn id="8" xr3:uid="{00000000-0010-0000-0100-000008000000}" name="COD. CARGO" dataDxfId="42"/>
    <tableColumn id="15" xr3:uid="{019BBA67-43E9-48CA-BFBF-B0ABBFA8A21F}" name="CARGO Workday" dataDxfId="41"/>
    <tableColumn id="9" xr3:uid="{00000000-0010-0000-0100-000009000000}" name="ID COLABORADOR" dataDxfId="40"/>
    <tableColumn id="10" xr3:uid="{00000000-0010-0000-0100-00000A000000}" name="DATA ADMISSÃO" dataDxfId="39"/>
    <tableColumn id="11" xr3:uid="{00000000-0010-0000-0100-00000B000000}" name="DATA SAÍDA" dataDxfId="38"/>
    <tableColumn id="14" xr3:uid="{0F4E2302-126E-4FFD-8944-F0411D6326E2}" name="Cidade Origem" dataDxfId="37"/>
    <tableColumn id="12" xr3:uid="{933FB161-5A8B-4646-A04E-F6207F995A97}" name="Celular Corporativo" dataDxfId="36"/>
    <tableColumn id="13" xr3:uid="{73A32B82-AC71-4B9E-8BF0-AF32BADD80AD}" name="Modelo celular" dataDxfId="3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poio_Transp" displayName="Apoio_Transp" ref="A1:O80" totalsRowShown="0" headerRowDxfId="32" dataDxfId="30" headerRowBorderDxfId="31" tableBorderDxfId="29" totalsRowBorderDxfId="28">
  <autoFilter ref="A1:O80" xr:uid="{646C0D1D-A3A5-4828-8DAC-7830CDCC212C}">
    <filterColumn colId="10">
      <filters blank="1"/>
    </filterColumn>
  </autoFilter>
  <sortState ref="A15:O78">
    <sortCondition ref="B1:B80"/>
  </sortState>
  <tableColumns count="15">
    <tableColumn id="1" xr3:uid="{00000000-0010-0000-0200-000001000000}" name="MATRÍCULA" dataDxfId="27"/>
    <tableColumn id="2" xr3:uid="{00000000-0010-0000-0200-000002000000}" name="COLABORADOR" dataDxfId="26"/>
    <tableColumn id="3" xr3:uid="{00000000-0010-0000-0200-000003000000}" name="MÓDULO" dataDxfId="25"/>
    <tableColumn id="4" xr3:uid="{00000000-0010-0000-0200-000004000000}" name="CARGO" dataDxfId="24"/>
    <tableColumn id="5" xr3:uid="{00000000-0010-0000-0200-000005000000}" name="DATA ADMISSÃO" dataDxfId="23"/>
    <tableColumn id="6" xr3:uid="{00000000-0010-0000-0200-000006000000}" name="GESTOR IMEDIATO" dataDxfId="22"/>
    <tableColumn id="8" xr3:uid="{00000000-0010-0000-0200-000008000000}" name="ID COLABORADOR" dataDxfId="21"/>
    <tableColumn id="13" xr3:uid="{6F018730-5D01-4A31-84AC-55823D27339A}" name="CARGO Workday" dataDxfId="20"/>
    <tableColumn id="12" xr3:uid="{A1436411-1066-498E-97AC-B28A076E7041}" name="Centro de Custo" dataDxfId="19"/>
    <tableColumn id="9" xr3:uid="{00000000-0010-0000-0200-000009000000}" name="OBS PRÊMIO MAIO" dataDxfId="18"/>
    <tableColumn id="10" xr3:uid="{00000000-0010-0000-0200-00000A000000}" name="DESLIGAMENTO" dataDxfId="17"/>
    <tableColumn id="11" xr3:uid="{B41B97DC-D7F0-4243-BD6A-4F8392DBD6B0}" name="Cidade Origem" dataDxfId="16"/>
    <tableColumn id="7" xr3:uid="{00000000-0010-0000-0200-000007000000}" name="Prêmio novembro" dataDxfId="15"/>
    <tableColumn id="14" xr3:uid="{6A28865E-0091-4615-A177-08462CF9DEC2}" name="RH/WD" dataDxfId="14"/>
    <tableColumn id="15" xr3:uid="{F26B1C4B-129A-4028-BCA4-12D047EC1782}" name="TREINAMENTO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t.wikipedia.org/wiki/Jo%C3%A3o_Pinheiro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54"/>
  <sheetViews>
    <sheetView showGridLines="0" zoomScale="80" zoomScaleNormal="80" workbookViewId="0">
      <selection activeCell="A17" sqref="A17"/>
    </sheetView>
  </sheetViews>
  <sheetFormatPr defaultRowHeight="15" x14ac:dyDescent="0.25"/>
  <cols>
    <col min="1" max="1" width="28" bestFit="1" customWidth="1"/>
    <col min="2" max="2" width="22.28515625" bestFit="1" customWidth="1"/>
    <col min="3" max="3" width="13.7109375" bestFit="1" customWidth="1"/>
    <col min="4" max="4" width="26.5703125" bestFit="1" customWidth="1"/>
    <col min="5" max="5" width="27.140625" bestFit="1" customWidth="1"/>
    <col min="6" max="6" width="26" bestFit="1" customWidth="1"/>
    <col min="7" max="7" width="11" bestFit="1" customWidth="1"/>
    <col min="8" max="8" width="18.140625" bestFit="1" customWidth="1"/>
    <col min="9" max="9" width="10.7109375" customWidth="1"/>
  </cols>
  <sheetData>
    <row r="1" spans="1:8" x14ac:dyDescent="0.25">
      <c r="A1" s="39" t="s">
        <v>10</v>
      </c>
      <c r="B1" t="s">
        <v>290</v>
      </c>
      <c r="F1">
        <v>15</v>
      </c>
    </row>
    <row r="2" spans="1:8" x14ac:dyDescent="0.25">
      <c r="H2" s="61" t="s">
        <v>330</v>
      </c>
    </row>
    <row r="3" spans="1:8" x14ac:dyDescent="0.25">
      <c r="A3" s="39" t="s">
        <v>286</v>
      </c>
      <c r="B3" s="39" t="s">
        <v>289</v>
      </c>
      <c r="F3" s="59"/>
      <c r="H3" s="60" t="s">
        <v>328</v>
      </c>
    </row>
    <row r="4" spans="1:8" x14ac:dyDescent="0.25">
      <c r="A4" s="39" t="s">
        <v>287</v>
      </c>
      <c r="B4" s="49" t="s">
        <v>12</v>
      </c>
      <c r="C4" s="49" t="s">
        <v>54</v>
      </c>
      <c r="D4" s="49" t="s">
        <v>288</v>
      </c>
      <c r="F4" s="59" t="s">
        <v>332</v>
      </c>
      <c r="H4" s="60" t="s">
        <v>329</v>
      </c>
    </row>
    <row r="5" spans="1:8" x14ac:dyDescent="0.25">
      <c r="A5" s="40" t="s">
        <v>19</v>
      </c>
      <c r="B5" s="47">
        <v>8</v>
      </c>
      <c r="C5" s="47">
        <v>9</v>
      </c>
      <c r="D5" s="47">
        <v>17</v>
      </c>
      <c r="F5" s="47"/>
      <c r="H5" s="62" t="s">
        <v>331</v>
      </c>
    </row>
    <row r="6" spans="1:8" x14ac:dyDescent="0.25">
      <c r="A6" s="40" t="s">
        <v>49</v>
      </c>
      <c r="B6" s="47">
        <v>7</v>
      </c>
      <c r="C6" s="47">
        <v>7</v>
      </c>
      <c r="D6" s="47">
        <v>14</v>
      </c>
      <c r="F6" s="47"/>
    </row>
    <row r="7" spans="1:8" x14ac:dyDescent="0.25">
      <c r="A7" s="40" t="s">
        <v>25</v>
      </c>
      <c r="B7" s="47">
        <v>7</v>
      </c>
      <c r="C7" s="47">
        <v>9</v>
      </c>
      <c r="D7" s="47">
        <v>16</v>
      </c>
      <c r="F7" s="47"/>
      <c r="H7" s="61" t="s">
        <v>330</v>
      </c>
    </row>
    <row r="8" spans="1:8" x14ac:dyDescent="0.25">
      <c r="A8" s="40" t="s">
        <v>21</v>
      </c>
      <c r="B8" s="47">
        <v>6</v>
      </c>
      <c r="C8" s="47">
        <v>8</v>
      </c>
      <c r="D8" s="47">
        <v>14</v>
      </c>
      <c r="F8" s="47"/>
      <c r="H8" s="60" t="s">
        <v>391</v>
      </c>
    </row>
    <row r="9" spans="1:8" x14ac:dyDescent="0.25">
      <c r="A9" s="40" t="s">
        <v>14</v>
      </c>
      <c r="B9" s="47">
        <v>6</v>
      </c>
      <c r="C9" s="47">
        <v>9</v>
      </c>
      <c r="D9" s="47">
        <v>15</v>
      </c>
      <c r="F9" s="47"/>
      <c r="H9" s="60" t="s">
        <v>392</v>
      </c>
    </row>
    <row r="10" spans="1:8" x14ac:dyDescent="0.25">
      <c r="A10" s="40" t="s">
        <v>30</v>
      </c>
      <c r="B10" s="47">
        <v>6</v>
      </c>
      <c r="C10" s="47">
        <v>9</v>
      </c>
      <c r="D10" s="47">
        <v>15</v>
      </c>
      <c r="F10" s="47"/>
      <c r="H10" s="62" t="s">
        <v>393</v>
      </c>
    </row>
    <row r="11" spans="1:8" x14ac:dyDescent="0.25">
      <c r="A11" s="40" t="s">
        <v>35</v>
      </c>
      <c r="B11" s="47">
        <v>6</v>
      </c>
      <c r="C11" s="47">
        <v>10</v>
      </c>
      <c r="D11" s="47">
        <v>16</v>
      </c>
      <c r="F11" s="47"/>
    </row>
    <row r="12" spans="1:8" x14ac:dyDescent="0.25">
      <c r="A12" s="40" t="s">
        <v>16</v>
      </c>
      <c r="B12" s="47">
        <v>7</v>
      </c>
      <c r="C12" s="47">
        <v>8</v>
      </c>
      <c r="D12" s="47">
        <v>15</v>
      </c>
      <c r="F12" s="47"/>
      <c r="H12" t="s">
        <v>37</v>
      </c>
    </row>
    <row r="13" spans="1:8" x14ac:dyDescent="0.25">
      <c r="A13" s="1" t="s">
        <v>288</v>
      </c>
      <c r="B13" s="47">
        <v>53</v>
      </c>
      <c r="C13" s="47">
        <v>69</v>
      </c>
      <c r="D13" s="47">
        <v>122</v>
      </c>
      <c r="F13" s="47"/>
    </row>
    <row r="14" spans="1:8" x14ac:dyDescent="0.25">
      <c r="E14" s="47"/>
    </row>
    <row r="15" spans="1:8" x14ac:dyDescent="0.25">
      <c r="A15" s="39" t="s">
        <v>10</v>
      </c>
      <c r="B15" t="s">
        <v>290</v>
      </c>
    </row>
    <row r="17" spans="1:9" x14ac:dyDescent="0.25">
      <c r="A17" s="39" t="s">
        <v>286</v>
      </c>
      <c r="B17" s="39" t="s">
        <v>289</v>
      </c>
    </row>
    <row r="18" spans="1:9" x14ac:dyDescent="0.25">
      <c r="A18" s="48" t="s">
        <v>287</v>
      </c>
      <c r="B18" s="49" t="s">
        <v>248</v>
      </c>
      <c r="C18" s="49" t="s">
        <v>231</v>
      </c>
      <c r="D18" s="49" t="s">
        <v>259</v>
      </c>
      <c r="E18" s="49" t="s">
        <v>236</v>
      </c>
      <c r="F18" s="49" t="s">
        <v>569</v>
      </c>
      <c r="G18" s="49" t="s">
        <v>288</v>
      </c>
      <c r="H18" s="49"/>
      <c r="I18" s="49"/>
    </row>
    <row r="19" spans="1:9" s="11" customFormat="1" x14ac:dyDescent="0.25">
      <c r="A19" s="108" t="s">
        <v>19</v>
      </c>
      <c r="B19" s="109"/>
      <c r="C19" s="109">
        <v>3</v>
      </c>
      <c r="D19" s="109"/>
      <c r="E19" s="109">
        <v>4</v>
      </c>
      <c r="F19" s="109"/>
      <c r="G19" s="109">
        <v>7</v>
      </c>
      <c r="H19" s="109"/>
      <c r="I19" s="109"/>
    </row>
    <row r="20" spans="1:9" x14ac:dyDescent="0.25">
      <c r="A20" s="1" t="s">
        <v>49</v>
      </c>
      <c r="B20" s="47"/>
      <c r="C20" s="47">
        <v>3</v>
      </c>
      <c r="D20" s="47"/>
      <c r="E20" s="47">
        <v>4</v>
      </c>
      <c r="F20" s="47"/>
      <c r="G20" s="47">
        <v>7</v>
      </c>
      <c r="H20" s="47"/>
      <c r="I20" s="47"/>
    </row>
    <row r="21" spans="1:9" x14ac:dyDescent="0.25">
      <c r="A21" s="1" t="s">
        <v>25</v>
      </c>
      <c r="B21" s="47"/>
      <c r="C21" s="47">
        <v>3</v>
      </c>
      <c r="D21" s="47"/>
      <c r="E21" s="47">
        <v>4</v>
      </c>
      <c r="F21" s="47"/>
      <c r="G21" s="47">
        <v>7</v>
      </c>
      <c r="H21" s="47"/>
      <c r="I21" s="47"/>
    </row>
    <row r="22" spans="1:9" s="11" customFormat="1" x14ac:dyDescent="0.25">
      <c r="A22" s="108" t="s">
        <v>21</v>
      </c>
      <c r="B22" s="109">
        <v>1</v>
      </c>
      <c r="C22" s="109">
        <v>2</v>
      </c>
      <c r="D22" s="109"/>
      <c r="E22" s="109">
        <v>3</v>
      </c>
      <c r="F22" s="109">
        <v>1</v>
      </c>
      <c r="G22" s="109">
        <v>7</v>
      </c>
      <c r="H22" s="109"/>
      <c r="I22" s="109"/>
    </row>
    <row r="23" spans="1:9" x14ac:dyDescent="0.25">
      <c r="A23" s="1" t="s">
        <v>14</v>
      </c>
      <c r="B23" s="47"/>
      <c r="C23" s="47">
        <v>3</v>
      </c>
      <c r="D23" s="47">
        <v>1</v>
      </c>
      <c r="E23" s="47">
        <v>3</v>
      </c>
      <c r="F23" s="47"/>
      <c r="G23" s="47">
        <v>7</v>
      </c>
      <c r="H23" s="47"/>
      <c r="I23" s="47"/>
    </row>
    <row r="24" spans="1:9" x14ac:dyDescent="0.25">
      <c r="A24" s="1" t="s">
        <v>30</v>
      </c>
      <c r="B24" s="47"/>
      <c r="C24" s="47">
        <v>3</v>
      </c>
      <c r="D24" s="47">
        <v>1</v>
      </c>
      <c r="E24" s="47">
        <v>3</v>
      </c>
      <c r="F24" s="47"/>
      <c r="G24" s="47">
        <v>7</v>
      </c>
      <c r="H24" s="47"/>
      <c r="I24" s="47"/>
    </row>
    <row r="25" spans="1:9" x14ac:dyDescent="0.25">
      <c r="A25" s="1" t="s">
        <v>35</v>
      </c>
      <c r="B25" s="47">
        <v>1</v>
      </c>
      <c r="C25" s="47">
        <v>2</v>
      </c>
      <c r="D25" s="47">
        <v>2</v>
      </c>
      <c r="E25" s="47">
        <v>2</v>
      </c>
      <c r="F25" s="47"/>
      <c r="G25" s="47">
        <v>7</v>
      </c>
      <c r="H25" s="47"/>
      <c r="I25" s="47"/>
    </row>
    <row r="26" spans="1:9" x14ac:dyDescent="0.25">
      <c r="A26" s="1" t="s">
        <v>16</v>
      </c>
      <c r="B26" s="47"/>
      <c r="C26" s="47">
        <v>1</v>
      </c>
      <c r="D26" s="47">
        <v>2</v>
      </c>
      <c r="E26" s="47">
        <v>2</v>
      </c>
      <c r="F26" s="47"/>
      <c r="G26" s="47">
        <v>5</v>
      </c>
      <c r="H26" s="47"/>
      <c r="I26" s="47"/>
    </row>
    <row r="27" spans="1:9" x14ac:dyDescent="0.25">
      <c r="A27" s="1" t="s">
        <v>486</v>
      </c>
      <c r="B27" s="47"/>
      <c r="C27" s="47">
        <v>6</v>
      </c>
      <c r="D27" s="47">
        <v>1</v>
      </c>
      <c r="E27" s="47">
        <v>5</v>
      </c>
      <c r="F27" s="47"/>
      <c r="G27" s="47">
        <v>12</v>
      </c>
      <c r="H27" s="47"/>
      <c r="I27" s="47"/>
    </row>
    <row r="28" spans="1:9" x14ac:dyDescent="0.25">
      <c r="A28" s="1" t="s">
        <v>288</v>
      </c>
      <c r="B28" s="47">
        <v>2</v>
      </c>
      <c r="C28" s="47">
        <v>26</v>
      </c>
      <c r="D28" s="47">
        <v>7</v>
      </c>
      <c r="E28" s="47">
        <v>30</v>
      </c>
      <c r="F28" s="47">
        <v>1</v>
      </c>
      <c r="G28" s="47">
        <v>66</v>
      </c>
    </row>
    <row r="35" spans="1:4" x14ac:dyDescent="0.25">
      <c r="A35" s="39" t="s">
        <v>189</v>
      </c>
      <c r="B35" t="s">
        <v>290</v>
      </c>
    </row>
    <row r="37" spans="1:4" x14ac:dyDescent="0.25">
      <c r="A37" s="39" t="s">
        <v>286</v>
      </c>
      <c r="B37" s="39" t="s">
        <v>289</v>
      </c>
    </row>
    <row r="38" spans="1:4" x14ac:dyDescent="0.25">
      <c r="A38" s="39" t="s">
        <v>287</v>
      </c>
      <c r="B38" t="s">
        <v>198</v>
      </c>
      <c r="C38" t="s">
        <v>219</v>
      </c>
      <c r="D38" t="s">
        <v>288</v>
      </c>
    </row>
    <row r="39" spans="1:4" x14ac:dyDescent="0.25">
      <c r="A39" s="40" t="s">
        <v>19</v>
      </c>
      <c r="B39" s="107">
        <v>1</v>
      </c>
      <c r="C39" s="107"/>
      <c r="D39" s="107">
        <v>1</v>
      </c>
    </row>
    <row r="40" spans="1:4" x14ac:dyDescent="0.25">
      <c r="A40" s="40" t="s">
        <v>386</v>
      </c>
      <c r="B40" s="107">
        <v>1</v>
      </c>
      <c r="C40" s="107"/>
      <c r="D40" s="107">
        <v>1</v>
      </c>
    </row>
    <row r="41" spans="1:4" x14ac:dyDescent="0.25">
      <c r="A41" s="40" t="s">
        <v>49</v>
      </c>
      <c r="B41" s="107">
        <v>1</v>
      </c>
      <c r="C41" s="107"/>
      <c r="D41" s="107">
        <v>1</v>
      </c>
    </row>
    <row r="42" spans="1:4" x14ac:dyDescent="0.25">
      <c r="A42" s="40" t="s">
        <v>385</v>
      </c>
      <c r="B42" s="107">
        <v>1</v>
      </c>
      <c r="C42" s="107"/>
      <c r="D42" s="107">
        <v>1</v>
      </c>
    </row>
    <row r="43" spans="1:4" x14ac:dyDescent="0.25">
      <c r="A43" s="40" t="s">
        <v>25</v>
      </c>
      <c r="B43" s="107">
        <v>1</v>
      </c>
      <c r="C43" s="107"/>
      <c r="D43" s="107">
        <v>1</v>
      </c>
    </row>
    <row r="44" spans="1:4" x14ac:dyDescent="0.25">
      <c r="A44" s="40" t="s">
        <v>21</v>
      </c>
      <c r="B44" s="107">
        <v>1</v>
      </c>
      <c r="C44" s="107"/>
      <c r="D44" s="107">
        <v>1</v>
      </c>
    </row>
    <row r="45" spans="1:4" x14ac:dyDescent="0.25">
      <c r="A45" s="40" t="s">
        <v>14</v>
      </c>
      <c r="B45" s="107">
        <v>1</v>
      </c>
      <c r="C45" s="107"/>
      <c r="D45" s="107">
        <v>1</v>
      </c>
    </row>
    <row r="46" spans="1:4" x14ac:dyDescent="0.25">
      <c r="A46" s="40" t="s">
        <v>30</v>
      </c>
      <c r="B46" s="107">
        <v>1</v>
      </c>
      <c r="C46" s="107"/>
      <c r="D46" s="107">
        <v>1</v>
      </c>
    </row>
    <row r="47" spans="1:4" x14ac:dyDescent="0.25">
      <c r="A47" s="40" t="s">
        <v>200</v>
      </c>
      <c r="B47" s="107">
        <v>1</v>
      </c>
      <c r="C47" s="107"/>
      <c r="D47" s="107">
        <v>1</v>
      </c>
    </row>
    <row r="48" spans="1:4" x14ac:dyDescent="0.25">
      <c r="A48" s="40" t="s">
        <v>35</v>
      </c>
      <c r="B48" s="107">
        <v>1</v>
      </c>
      <c r="C48" s="107"/>
      <c r="D48" s="107">
        <v>1</v>
      </c>
    </row>
    <row r="49" spans="1:4" x14ac:dyDescent="0.25">
      <c r="A49" s="40" t="s">
        <v>16</v>
      </c>
      <c r="B49" s="107">
        <v>1</v>
      </c>
      <c r="C49" s="107"/>
      <c r="D49" s="107">
        <v>1</v>
      </c>
    </row>
    <row r="50" spans="1:4" x14ac:dyDescent="0.25">
      <c r="A50" s="40" t="s">
        <v>300</v>
      </c>
      <c r="B50" s="107">
        <v>2</v>
      </c>
      <c r="C50" s="107"/>
      <c r="D50" s="107">
        <v>2</v>
      </c>
    </row>
    <row r="51" spans="1:4" x14ac:dyDescent="0.25">
      <c r="A51" s="40" t="s">
        <v>383</v>
      </c>
      <c r="B51" s="107"/>
      <c r="C51" s="107">
        <v>1</v>
      </c>
      <c r="D51" s="107">
        <v>1</v>
      </c>
    </row>
    <row r="52" spans="1:4" x14ac:dyDescent="0.25">
      <c r="A52" s="40" t="s">
        <v>301</v>
      </c>
      <c r="B52" s="107">
        <v>3</v>
      </c>
      <c r="C52" s="107"/>
      <c r="D52" s="107">
        <v>3</v>
      </c>
    </row>
    <row r="53" spans="1:4" x14ac:dyDescent="0.25">
      <c r="A53" s="40" t="s">
        <v>208</v>
      </c>
      <c r="B53" s="107">
        <v>9</v>
      </c>
      <c r="C53" s="107"/>
      <c r="D53" s="107">
        <v>9</v>
      </c>
    </row>
    <row r="54" spans="1:4" x14ac:dyDescent="0.25">
      <c r="A54" s="40" t="s">
        <v>288</v>
      </c>
      <c r="B54" s="107">
        <v>25</v>
      </c>
      <c r="C54" s="107">
        <v>1</v>
      </c>
      <c r="D54" s="107">
        <v>26</v>
      </c>
    </row>
  </sheetData>
  <conditionalFormatting sqref="F5:F13">
    <cfRule type="cellIs" dxfId="9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0" verticalDpi="200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EZ166"/>
  <sheetViews>
    <sheetView showGridLines="0" tabSelected="1" zoomScale="90" zoomScaleNormal="90" workbookViewId="0">
      <selection activeCell="D34" sqref="D34"/>
    </sheetView>
  </sheetViews>
  <sheetFormatPr defaultRowHeight="15" x14ac:dyDescent="0.25"/>
  <cols>
    <col min="1" max="1" width="12.28515625" style="2" customWidth="1"/>
    <col min="2" max="2" width="36.28515625" style="2" customWidth="1"/>
    <col min="3" max="3" width="12.85546875" style="2" customWidth="1"/>
    <col min="4" max="4" width="33.42578125" style="2" customWidth="1"/>
    <col min="5" max="5" width="9.42578125" style="2" customWidth="1"/>
    <col min="6" max="6" width="28.140625" style="2" customWidth="1"/>
    <col min="7" max="7" width="13.85546875" style="2" customWidth="1"/>
    <col min="8" max="9" width="24" style="2" customWidth="1"/>
    <col min="10" max="10" width="36.85546875" style="3" bestFit="1" customWidth="1"/>
    <col min="11" max="11" width="13.42578125" style="2" bestFit="1" customWidth="1"/>
    <col min="12" max="12" width="20.140625" style="3" hidden="1" customWidth="1"/>
    <col min="13" max="13" width="28.85546875" style="3" hidden="1" customWidth="1"/>
    <col min="14" max="14" width="74.42578125" style="2" customWidth="1"/>
    <col min="16" max="16" width="42.85546875" bestFit="1" customWidth="1"/>
    <col min="17" max="17" width="36" bestFit="1" customWidth="1"/>
    <col min="18" max="18" width="42.85546875" bestFit="1" customWidth="1"/>
    <col min="19" max="19" width="36.28515625" bestFit="1" customWidth="1"/>
  </cols>
  <sheetData>
    <row r="1" spans="1:18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52" t="s">
        <v>9</v>
      </c>
      <c r="K1" s="53" t="s">
        <v>10</v>
      </c>
      <c r="L1" s="45" t="s">
        <v>355</v>
      </c>
      <c r="M1" s="43" t="s">
        <v>504</v>
      </c>
      <c r="N1"/>
      <c r="O1" s="6" t="s">
        <v>171</v>
      </c>
      <c r="P1" s="6" t="s">
        <v>172</v>
      </c>
      <c r="Q1" s="6" t="s">
        <v>173</v>
      </c>
      <c r="R1" s="6" t="s">
        <v>174</v>
      </c>
    </row>
    <row r="2" spans="1:18" s="11" customFormat="1" x14ac:dyDescent="0.25">
      <c r="A2" s="54">
        <v>37005668</v>
      </c>
      <c r="B2" s="55" t="s">
        <v>102</v>
      </c>
      <c r="C2" s="55" t="str">
        <f>RIGHT(Tabela3[[#This Row],[MÓDULO2]],1)</f>
        <v>1</v>
      </c>
      <c r="D2" s="55" t="s">
        <v>54</v>
      </c>
      <c r="E2" s="55">
        <v>373114</v>
      </c>
      <c r="F2" s="55" t="s">
        <v>18</v>
      </c>
      <c r="G2" s="55" t="s">
        <v>19</v>
      </c>
      <c r="H2" s="55">
        <v>20013964</v>
      </c>
      <c r="I2" s="56">
        <v>44329</v>
      </c>
      <c r="J2" s="55" t="str">
        <f>Tabela3[[#This Row],[CARGO]]</f>
        <v>Oper Maqs Florestais I Grua</v>
      </c>
      <c r="K2" s="57"/>
      <c r="L2" s="169" t="s">
        <v>369</v>
      </c>
      <c r="M2" s="23" t="s">
        <v>562</v>
      </c>
      <c r="O2" s="7" t="s">
        <v>175</v>
      </c>
      <c r="P2" s="7"/>
      <c r="Q2" s="7" t="s">
        <v>176</v>
      </c>
      <c r="R2" s="7"/>
    </row>
    <row r="3" spans="1:18" s="11" customFormat="1" x14ac:dyDescent="0.25">
      <c r="A3" s="54">
        <v>37005493</v>
      </c>
      <c r="B3" s="55" t="s">
        <v>17</v>
      </c>
      <c r="C3" s="55" t="str">
        <f>RIGHT(Tabela3[[#This Row],[MÓDULO2]],1)</f>
        <v>1</v>
      </c>
      <c r="D3" s="55" t="s">
        <v>12</v>
      </c>
      <c r="E3" s="55">
        <v>373114</v>
      </c>
      <c r="F3" s="55" t="s">
        <v>18</v>
      </c>
      <c r="G3" s="55" t="s">
        <v>19</v>
      </c>
      <c r="H3" s="55">
        <v>20013542</v>
      </c>
      <c r="I3" s="56">
        <v>44270</v>
      </c>
      <c r="J3" s="55" t="str">
        <f>Tabela3[[#This Row],[CARGO]]</f>
        <v>Assistente Operador Carregamento Grua</v>
      </c>
      <c r="K3" s="57"/>
      <c r="L3" s="56" t="s">
        <v>369</v>
      </c>
      <c r="M3" s="23" t="s">
        <v>562</v>
      </c>
      <c r="O3" s="7" t="s">
        <v>175</v>
      </c>
      <c r="P3" s="7"/>
      <c r="Q3" s="7" t="s">
        <v>177</v>
      </c>
      <c r="R3" s="7"/>
    </row>
    <row r="4" spans="1:18" s="11" customFormat="1" x14ac:dyDescent="0.25">
      <c r="A4" s="54">
        <v>37000092</v>
      </c>
      <c r="B4" s="55" t="s">
        <v>27</v>
      </c>
      <c r="C4" s="55" t="str">
        <f>RIGHT(Tabela3[[#This Row],[MÓDULO2]],1)</f>
        <v>1</v>
      </c>
      <c r="D4" s="55" t="s">
        <v>12</v>
      </c>
      <c r="E4" s="55">
        <v>373114</v>
      </c>
      <c r="F4" s="55" t="s">
        <v>18</v>
      </c>
      <c r="G4" s="55" t="s">
        <v>19</v>
      </c>
      <c r="H4" s="55">
        <v>20008678</v>
      </c>
      <c r="I4" s="56">
        <v>33795</v>
      </c>
      <c r="J4" s="55" t="str">
        <f>Tabela3[[#This Row],[CARGO]]</f>
        <v>Assistente Operador Carregamento Grua</v>
      </c>
      <c r="K4" s="57"/>
      <c r="L4" s="56" t="s">
        <v>369</v>
      </c>
      <c r="M4" s="23" t="s">
        <v>562</v>
      </c>
      <c r="O4" s="7" t="s">
        <v>175</v>
      </c>
      <c r="P4" s="7" t="s">
        <v>19</v>
      </c>
      <c r="Q4" s="7" t="s">
        <v>178</v>
      </c>
      <c r="R4" s="7" t="s">
        <v>18</v>
      </c>
    </row>
    <row r="5" spans="1:18" s="11" customFormat="1" x14ac:dyDescent="0.25">
      <c r="A5" s="54">
        <v>37012429</v>
      </c>
      <c r="B5" s="55" t="s">
        <v>110</v>
      </c>
      <c r="C5" s="55" t="str">
        <f>RIGHT(Tabela3[[#This Row],[MÓDULO2]],1)</f>
        <v>1</v>
      </c>
      <c r="D5" s="55" t="s">
        <v>54</v>
      </c>
      <c r="E5" s="55">
        <v>373114</v>
      </c>
      <c r="F5" s="55" t="s">
        <v>18</v>
      </c>
      <c r="G5" s="55" t="s">
        <v>19</v>
      </c>
      <c r="H5" s="55">
        <v>20049729</v>
      </c>
      <c r="I5" s="56">
        <v>45055</v>
      </c>
      <c r="J5" s="55" t="str">
        <f>Tabela3[[#This Row],[CARGO]]</f>
        <v>Oper Maqs Florestais I Grua</v>
      </c>
      <c r="K5" s="57"/>
      <c r="L5" s="55" t="s">
        <v>368</v>
      </c>
      <c r="M5" s="23" t="s">
        <v>562</v>
      </c>
      <c r="O5" s="7" t="s">
        <v>175</v>
      </c>
      <c r="P5" s="7" t="s">
        <v>49</v>
      </c>
      <c r="Q5" s="7" t="s">
        <v>179</v>
      </c>
      <c r="R5" s="7" t="s">
        <v>24</v>
      </c>
    </row>
    <row r="6" spans="1:18" s="11" customFormat="1" x14ac:dyDescent="0.25">
      <c r="A6" s="54">
        <v>37018299</v>
      </c>
      <c r="B6" s="55" t="s">
        <v>164</v>
      </c>
      <c r="C6" s="55" t="str">
        <f>RIGHT(Tabela3[[#This Row],[MÓDULO2]],1)</f>
        <v>1</v>
      </c>
      <c r="D6" s="55" t="s">
        <v>54</v>
      </c>
      <c r="E6" s="55">
        <v>373114</v>
      </c>
      <c r="F6" s="55" t="s">
        <v>18</v>
      </c>
      <c r="G6" s="55" t="s">
        <v>19</v>
      </c>
      <c r="H6" s="55">
        <v>20072858</v>
      </c>
      <c r="I6" s="56">
        <v>45475</v>
      </c>
      <c r="J6" s="55" t="str">
        <f>Tabela3[[#This Row],[CARGO]]</f>
        <v>Oper Maqs Florestais I Grua</v>
      </c>
      <c r="K6" s="57"/>
      <c r="L6" s="169" t="s">
        <v>369</v>
      </c>
      <c r="M6" s="23" t="s">
        <v>562</v>
      </c>
      <c r="O6" s="7" t="s">
        <v>175</v>
      </c>
      <c r="P6" s="7" t="s">
        <v>25</v>
      </c>
      <c r="Q6" s="7" t="s">
        <v>180</v>
      </c>
      <c r="R6" s="7" t="s">
        <v>24</v>
      </c>
    </row>
    <row r="7" spans="1:18" s="11" customFormat="1" x14ac:dyDescent="0.25">
      <c r="A7" s="54">
        <v>37006523</v>
      </c>
      <c r="B7" s="55" t="s">
        <v>32</v>
      </c>
      <c r="C7" s="55" t="str">
        <f>RIGHT(Tabela3[[#This Row],[MÓDULO2]],1)</f>
        <v>1</v>
      </c>
      <c r="D7" s="55" t="s">
        <v>12</v>
      </c>
      <c r="E7" s="55">
        <v>373114</v>
      </c>
      <c r="F7" s="55" t="s">
        <v>18</v>
      </c>
      <c r="G7" s="55" t="s">
        <v>19</v>
      </c>
      <c r="H7" s="55">
        <v>20018115</v>
      </c>
      <c r="I7" s="56">
        <v>44473</v>
      </c>
      <c r="J7" s="55" t="str">
        <f>Tabela3[[#This Row],[CARGO]]</f>
        <v>Assistente Operador Carregamento Grua</v>
      </c>
      <c r="K7" s="57"/>
      <c r="L7" s="169" t="s">
        <v>369</v>
      </c>
      <c r="M7" s="23" t="s">
        <v>562</v>
      </c>
      <c r="O7" s="7" t="s">
        <v>175</v>
      </c>
      <c r="P7" s="7" t="s">
        <v>21</v>
      </c>
      <c r="Q7" s="7" t="s">
        <v>181</v>
      </c>
      <c r="R7" s="7" t="s">
        <v>18</v>
      </c>
    </row>
    <row r="8" spans="1:18" s="11" customFormat="1" x14ac:dyDescent="0.25">
      <c r="A8" s="54">
        <v>37000868</v>
      </c>
      <c r="B8" s="55" t="s">
        <v>43</v>
      </c>
      <c r="C8" s="55" t="str">
        <f>RIGHT(Tabela3[[#This Row],[MÓDULO2]],1)</f>
        <v>1</v>
      </c>
      <c r="D8" s="55" t="s">
        <v>12</v>
      </c>
      <c r="E8" s="55">
        <v>373114</v>
      </c>
      <c r="F8" s="55" t="s">
        <v>18</v>
      </c>
      <c r="G8" s="55" t="s">
        <v>19</v>
      </c>
      <c r="H8" s="55">
        <v>20008845</v>
      </c>
      <c r="I8" s="56">
        <v>40700</v>
      </c>
      <c r="J8" s="55" t="str">
        <f>Tabela3[[#This Row],[CARGO]]</f>
        <v>Assistente Operador Carregamento Grua</v>
      </c>
      <c r="K8" s="57"/>
      <c r="L8" s="169" t="s">
        <v>369</v>
      </c>
      <c r="M8" s="23" t="s">
        <v>562</v>
      </c>
      <c r="O8" s="7" t="s">
        <v>175</v>
      </c>
      <c r="P8" s="7" t="s">
        <v>14</v>
      </c>
      <c r="Q8" s="7" t="s">
        <v>182</v>
      </c>
      <c r="R8" s="7" t="s">
        <v>13</v>
      </c>
    </row>
    <row r="9" spans="1:18" s="11" customFormat="1" x14ac:dyDescent="0.25">
      <c r="A9" s="54">
        <v>37012287</v>
      </c>
      <c r="B9" s="55" t="s">
        <v>113</v>
      </c>
      <c r="C9" s="55" t="str">
        <f>RIGHT(Tabela3[[#This Row],[MÓDULO2]],1)</f>
        <v>1</v>
      </c>
      <c r="D9" s="55" t="s">
        <v>54</v>
      </c>
      <c r="E9" s="55">
        <v>373114</v>
      </c>
      <c r="F9" s="55" t="s">
        <v>18</v>
      </c>
      <c r="G9" s="55" t="s">
        <v>19</v>
      </c>
      <c r="H9" s="55">
        <v>20049233</v>
      </c>
      <c r="I9" s="56">
        <v>45048</v>
      </c>
      <c r="J9" s="55" t="str">
        <f>Tabela3[[#This Row],[CARGO]]</f>
        <v>Oper Maqs Florestais I Grua</v>
      </c>
      <c r="K9" s="86"/>
      <c r="L9" s="170" t="s">
        <v>368</v>
      </c>
      <c r="M9" s="23" t="s">
        <v>562</v>
      </c>
      <c r="O9" s="7" t="s">
        <v>175</v>
      </c>
      <c r="P9" s="7" t="s">
        <v>30</v>
      </c>
      <c r="Q9" s="7" t="s">
        <v>183</v>
      </c>
      <c r="R9" s="7" t="s">
        <v>29</v>
      </c>
    </row>
    <row r="10" spans="1:18" s="11" customFormat="1" x14ac:dyDescent="0.25">
      <c r="A10" s="54">
        <v>37001860</v>
      </c>
      <c r="B10" s="55" t="s">
        <v>46</v>
      </c>
      <c r="C10" s="55" t="str">
        <f>RIGHT(Tabela3[[#This Row],[MÓDULO2]],1)</f>
        <v>1</v>
      </c>
      <c r="D10" s="55" t="s">
        <v>12</v>
      </c>
      <c r="E10" s="55">
        <v>373114</v>
      </c>
      <c r="F10" s="55" t="s">
        <v>18</v>
      </c>
      <c r="G10" s="55" t="s">
        <v>19</v>
      </c>
      <c r="H10" s="55">
        <v>20009387</v>
      </c>
      <c r="I10" s="56">
        <v>42758</v>
      </c>
      <c r="J10" s="55" t="str">
        <f>Tabela3[[#This Row],[CARGO]]</f>
        <v>Assistente Operador Carregamento Grua</v>
      </c>
      <c r="K10" s="57"/>
      <c r="L10" s="169" t="s">
        <v>369</v>
      </c>
      <c r="M10" s="23" t="s">
        <v>562</v>
      </c>
      <c r="O10" s="7" t="s">
        <v>175</v>
      </c>
      <c r="P10" s="7" t="s">
        <v>35</v>
      </c>
      <c r="Q10" s="7" t="s">
        <v>184</v>
      </c>
      <c r="R10" s="7" t="s">
        <v>29</v>
      </c>
    </row>
    <row r="11" spans="1:18" s="11" customFormat="1" x14ac:dyDescent="0.25">
      <c r="A11" s="54">
        <v>37005646</v>
      </c>
      <c r="B11" s="55" t="s">
        <v>126</v>
      </c>
      <c r="C11" s="55" t="str">
        <f>RIGHT(Tabela3[[#This Row],[MÓDULO2]],1)</f>
        <v>1</v>
      </c>
      <c r="D11" s="55" t="s">
        <v>54</v>
      </c>
      <c r="E11" s="55">
        <v>373114</v>
      </c>
      <c r="F11" s="55" t="s">
        <v>18</v>
      </c>
      <c r="G11" s="55" t="s">
        <v>19</v>
      </c>
      <c r="H11" s="55">
        <v>20013945</v>
      </c>
      <c r="I11" s="56">
        <v>44329</v>
      </c>
      <c r="J11" s="55" t="str">
        <f>Tabela3[[#This Row],[CARGO]]</f>
        <v>Oper Maqs Florestais I Grua</v>
      </c>
      <c r="K11" s="57"/>
      <c r="L11" s="169" t="s">
        <v>369</v>
      </c>
      <c r="M11" s="23" t="s">
        <v>562</v>
      </c>
      <c r="O11" s="7" t="s">
        <v>175</v>
      </c>
      <c r="P11" s="7" t="s">
        <v>16</v>
      </c>
      <c r="Q11" s="7" t="s">
        <v>185</v>
      </c>
      <c r="R11" s="7" t="s">
        <v>13</v>
      </c>
    </row>
    <row r="12" spans="1:18" s="11" customFormat="1" x14ac:dyDescent="0.25">
      <c r="A12" s="54">
        <v>37002172</v>
      </c>
      <c r="B12" s="55" t="s">
        <v>50</v>
      </c>
      <c r="C12" s="55" t="str">
        <f>RIGHT(Tabela3[[#This Row],[MÓDULO2]],1)</f>
        <v>1</v>
      </c>
      <c r="D12" s="55" t="s">
        <v>12</v>
      </c>
      <c r="E12" s="55">
        <v>373114</v>
      </c>
      <c r="F12" s="55" t="s">
        <v>18</v>
      </c>
      <c r="G12" s="55" t="s">
        <v>19</v>
      </c>
      <c r="H12" s="55">
        <v>20009576</v>
      </c>
      <c r="I12" s="56">
        <v>43122</v>
      </c>
      <c r="J12" s="55" t="str">
        <f>Tabela3[[#This Row],[CARGO]]</f>
        <v>Assistente Operador Carregamento Grua</v>
      </c>
      <c r="K12" s="57"/>
      <c r="L12" s="169" t="s">
        <v>369</v>
      </c>
      <c r="M12" s="23" t="s">
        <v>562</v>
      </c>
      <c r="O12" s="7" t="s">
        <v>175</v>
      </c>
      <c r="P12" s="7"/>
      <c r="Q12" s="7" t="s">
        <v>186</v>
      </c>
      <c r="R12" s="7"/>
    </row>
    <row r="13" spans="1:18" s="11" customFormat="1" x14ac:dyDescent="0.25">
      <c r="A13" s="54">
        <v>37020614</v>
      </c>
      <c r="B13" s="55" t="s">
        <v>489</v>
      </c>
      <c r="C13" s="55" t="str">
        <f>RIGHT(Tabela3[[#This Row],[MÓDULO2]],1)</f>
        <v>1</v>
      </c>
      <c r="D13" s="55" t="s">
        <v>54</v>
      </c>
      <c r="E13" s="55">
        <v>373114</v>
      </c>
      <c r="F13" s="55" t="s">
        <v>18</v>
      </c>
      <c r="G13" s="55" t="s">
        <v>19</v>
      </c>
      <c r="H13" s="55">
        <v>20084368</v>
      </c>
      <c r="I13" s="56">
        <v>45678</v>
      </c>
      <c r="J13" s="55" t="str">
        <f>Tabela3[[#This Row],[CARGO]]</f>
        <v>Oper Maqs Florestais I Grua</v>
      </c>
      <c r="K13" s="57"/>
      <c r="L13" s="169"/>
      <c r="M13" s="23" t="s">
        <v>562</v>
      </c>
      <c r="O13" s="143"/>
      <c r="P13" s="17"/>
      <c r="Q13" s="17"/>
      <c r="R13" s="18"/>
    </row>
    <row r="14" spans="1:18" s="11" customFormat="1" x14ac:dyDescent="0.25">
      <c r="A14" s="54">
        <v>37005674</v>
      </c>
      <c r="B14" s="55" t="s">
        <v>131</v>
      </c>
      <c r="C14" s="55" t="str">
        <f>RIGHT(Tabela3[[#This Row],[MÓDULO2]],1)</f>
        <v>1</v>
      </c>
      <c r="D14" s="55" t="s">
        <v>54</v>
      </c>
      <c r="E14" s="55">
        <v>373114</v>
      </c>
      <c r="F14" s="55" t="s">
        <v>18</v>
      </c>
      <c r="G14" s="55" t="s">
        <v>19</v>
      </c>
      <c r="H14" s="55">
        <v>20013969</v>
      </c>
      <c r="I14" s="56">
        <v>44329</v>
      </c>
      <c r="J14" s="55" t="str">
        <f>Tabela3[[#This Row],[CARGO]]</f>
        <v>Oper Maqs Florestais I Grua</v>
      </c>
      <c r="K14" s="57"/>
      <c r="L14" s="169" t="s">
        <v>369</v>
      </c>
      <c r="M14" s="23" t="s">
        <v>562</v>
      </c>
    </row>
    <row r="15" spans="1:18" hidden="1" x14ac:dyDescent="0.25">
      <c r="A15" s="54"/>
      <c r="B15" s="4" t="s">
        <v>69</v>
      </c>
      <c r="C15" s="4" t="str">
        <f>RIGHT(Tabela3[[#This Row],[MÓDULO2]],1)</f>
        <v>1</v>
      </c>
      <c r="D15" s="4" t="s">
        <v>54</v>
      </c>
      <c r="E15" s="55">
        <v>373114</v>
      </c>
      <c r="F15" s="4" t="s">
        <v>18</v>
      </c>
      <c r="G15" s="4" t="s">
        <v>19</v>
      </c>
      <c r="H15" s="55"/>
      <c r="I15" s="5">
        <v>44329</v>
      </c>
      <c r="J15" s="4" t="str">
        <f>Tabela3[[#This Row],[CARGO]]</f>
        <v>Oper Maqs Florestais I Grua</v>
      </c>
      <c r="K15" s="42">
        <v>45408</v>
      </c>
      <c r="L15" s="80"/>
      <c r="M15" s="4"/>
      <c r="N15"/>
    </row>
    <row r="16" spans="1:18" s="11" customFormat="1" hidden="1" x14ac:dyDescent="0.25">
      <c r="A16" s="54"/>
      <c r="B16" s="4" t="s">
        <v>100</v>
      </c>
      <c r="C16" s="4" t="str">
        <f>RIGHT(Tabela3[[#This Row],[MÓDULO2]],1)</f>
        <v>1</v>
      </c>
      <c r="D16" s="4" t="s">
        <v>54</v>
      </c>
      <c r="E16" s="55">
        <v>373114</v>
      </c>
      <c r="F16" s="4" t="s">
        <v>18</v>
      </c>
      <c r="G16" s="4" t="s">
        <v>19</v>
      </c>
      <c r="H16" s="55"/>
      <c r="I16" s="5">
        <v>44329</v>
      </c>
      <c r="J16" s="4" t="str">
        <f>Tabela3[[#This Row],[CARGO]]</f>
        <v>Oper Maqs Florestais I Grua</v>
      </c>
      <c r="K16" s="42">
        <v>45394</v>
      </c>
      <c r="L16" s="80"/>
      <c r="M16" s="4"/>
    </row>
    <row r="17" spans="1:14" x14ac:dyDescent="0.25">
      <c r="A17" s="54">
        <v>37005669</v>
      </c>
      <c r="B17" s="55" t="s">
        <v>62</v>
      </c>
      <c r="C17" s="55" t="str">
        <f>RIGHT(Tabela3[[#This Row],[MÓDULO2]],1)</f>
        <v>1</v>
      </c>
      <c r="D17" s="55" t="s">
        <v>12</v>
      </c>
      <c r="E17" s="55">
        <v>373114</v>
      </c>
      <c r="F17" s="55" t="s">
        <v>18</v>
      </c>
      <c r="G17" s="55" t="s">
        <v>19</v>
      </c>
      <c r="H17" s="55">
        <v>20013965</v>
      </c>
      <c r="I17" s="56">
        <v>44329</v>
      </c>
      <c r="J17" s="55" t="str">
        <f>Tabela3[[#This Row],[CARGO]]</f>
        <v>Assistente Operador Carregamento Grua</v>
      </c>
      <c r="K17" s="57"/>
      <c r="L17" s="169" t="s">
        <v>369</v>
      </c>
      <c r="M17" s="23" t="s">
        <v>562</v>
      </c>
      <c r="N17"/>
    </row>
    <row r="18" spans="1:14" s="11" customFormat="1" x14ac:dyDescent="0.25">
      <c r="A18" s="54">
        <v>37007174</v>
      </c>
      <c r="B18" s="55" t="s">
        <v>155</v>
      </c>
      <c r="C18" s="55" t="str">
        <f>RIGHT(Tabela3[[#This Row],[MÓDULO2]],1)</f>
        <v>1</v>
      </c>
      <c r="D18" s="55" t="s">
        <v>54</v>
      </c>
      <c r="E18" s="55">
        <v>373114</v>
      </c>
      <c r="F18" s="55" t="s">
        <v>18</v>
      </c>
      <c r="G18" s="55" t="s">
        <v>19</v>
      </c>
      <c r="H18" s="55">
        <v>20022977</v>
      </c>
      <c r="I18" s="56">
        <v>44609</v>
      </c>
      <c r="J18" s="55" t="str">
        <f>Tabela3[[#This Row],[CARGO]]</f>
        <v>Oper Maqs Florestais I Grua</v>
      </c>
      <c r="K18" s="57"/>
      <c r="L18" s="56" t="s">
        <v>367</v>
      </c>
      <c r="M18" s="23" t="s">
        <v>562</v>
      </c>
    </row>
    <row r="19" spans="1:14" s="11" customFormat="1" x14ac:dyDescent="0.25">
      <c r="A19" s="54">
        <v>37001934</v>
      </c>
      <c r="B19" s="55" t="s">
        <v>94</v>
      </c>
      <c r="C19" s="55" t="str">
        <f>RIGHT(Tabela3[[#This Row],[MÓDULO2]],1)</f>
        <v>1</v>
      </c>
      <c r="D19" s="55" t="s">
        <v>12</v>
      </c>
      <c r="E19" s="55">
        <v>373114</v>
      </c>
      <c r="F19" s="55" t="s">
        <v>18</v>
      </c>
      <c r="G19" s="55" t="s">
        <v>19</v>
      </c>
      <c r="H19" s="55">
        <v>20009981</v>
      </c>
      <c r="I19" s="56">
        <v>42828</v>
      </c>
      <c r="J19" s="55" t="str">
        <f>Tabela3[[#This Row],[CARGO]]</f>
        <v>Assistente Operador Carregamento Grua</v>
      </c>
      <c r="K19" s="57"/>
      <c r="L19" s="56" t="s">
        <v>369</v>
      </c>
      <c r="M19" s="23" t="s">
        <v>562</v>
      </c>
    </row>
    <row r="20" spans="1:14" s="11" customFormat="1" x14ac:dyDescent="0.25">
      <c r="A20" s="54">
        <v>37005672</v>
      </c>
      <c r="B20" s="55" t="s">
        <v>162</v>
      </c>
      <c r="C20" s="55" t="str">
        <f>RIGHT(Tabela3[[#This Row],[MÓDULO2]],1)</f>
        <v>1</v>
      </c>
      <c r="D20" s="55" t="s">
        <v>54</v>
      </c>
      <c r="E20" s="55">
        <v>373114</v>
      </c>
      <c r="F20" s="55" t="s">
        <v>18</v>
      </c>
      <c r="G20" s="55" t="s">
        <v>19</v>
      </c>
      <c r="H20" s="55">
        <v>20013968</v>
      </c>
      <c r="I20" s="56">
        <v>44329</v>
      </c>
      <c r="J20" s="55" t="str">
        <f>Tabela3[[#This Row],[CARGO]]</f>
        <v>Oper Maqs Florestais I Grua</v>
      </c>
      <c r="K20" s="57"/>
      <c r="L20" s="56" t="s">
        <v>369</v>
      </c>
      <c r="M20" s="23" t="s">
        <v>562</v>
      </c>
    </row>
    <row r="21" spans="1:14" s="11" customFormat="1" hidden="1" x14ac:dyDescent="0.25">
      <c r="A21" s="54"/>
      <c r="B21" s="55" t="s">
        <v>48</v>
      </c>
      <c r="C21" s="55" t="str">
        <f>RIGHT(Tabela3[[#This Row],[MÓDULO2]],1)</f>
        <v>2</v>
      </c>
      <c r="D21" s="55" t="s">
        <v>12</v>
      </c>
      <c r="E21" s="55">
        <v>373114</v>
      </c>
      <c r="F21" s="55" t="s">
        <v>24</v>
      </c>
      <c r="G21" s="55" t="s">
        <v>49</v>
      </c>
      <c r="H21" s="55">
        <v>20014383</v>
      </c>
      <c r="I21" s="56">
        <v>44329</v>
      </c>
      <c r="J21" s="55" t="str">
        <f>Tabela3[[#This Row],[CARGO]]</f>
        <v>Assistente Operador Carregamento Grua</v>
      </c>
      <c r="K21" s="57">
        <v>45758</v>
      </c>
      <c r="L21" s="56" t="s">
        <v>365</v>
      </c>
      <c r="M21" s="23"/>
    </row>
    <row r="22" spans="1:14" s="11" customFormat="1" hidden="1" x14ac:dyDescent="0.25">
      <c r="A22" s="54"/>
      <c r="B22" s="55" t="s">
        <v>114</v>
      </c>
      <c r="C22" s="83" t="str">
        <f>RIGHT(Tabela3[[#This Row],[MÓDULO2]],1)</f>
        <v>2</v>
      </c>
      <c r="D22" s="83" t="s">
        <v>54</v>
      </c>
      <c r="E22" s="55">
        <v>373114</v>
      </c>
      <c r="F22" s="83" t="s">
        <v>24</v>
      </c>
      <c r="G22" s="83" t="s">
        <v>49</v>
      </c>
      <c r="H22" s="55">
        <v>20055398</v>
      </c>
      <c r="I22" s="56">
        <v>45125</v>
      </c>
      <c r="J22" s="83" t="str">
        <f>Tabela3[[#This Row],[CARGO]]</f>
        <v>Oper Maqs Florestais I Grua</v>
      </c>
      <c r="K22" s="85">
        <v>45677</v>
      </c>
      <c r="L22" s="84" t="s">
        <v>365</v>
      </c>
      <c r="M22" s="55"/>
    </row>
    <row r="23" spans="1:14" s="11" customFormat="1" x14ac:dyDescent="0.25">
      <c r="A23" s="54">
        <v>37015497</v>
      </c>
      <c r="B23" s="55" t="s">
        <v>107</v>
      </c>
      <c r="C23" s="55" t="str">
        <f>RIGHT(Tabela3[[#This Row],[MÓDULO2]],1)</f>
        <v>2</v>
      </c>
      <c r="D23" s="55" t="s">
        <v>54</v>
      </c>
      <c r="E23" s="55">
        <v>373114</v>
      </c>
      <c r="F23" s="55" t="s">
        <v>24</v>
      </c>
      <c r="G23" s="55" t="s">
        <v>49</v>
      </c>
      <c r="H23" s="55">
        <v>20062748</v>
      </c>
      <c r="I23" s="56">
        <v>45265</v>
      </c>
      <c r="J23" s="55" t="str">
        <f>Tabela3[[#This Row],[CARGO]]</f>
        <v>Oper Maqs Florestais I Grua</v>
      </c>
      <c r="K23" s="57"/>
      <c r="L23" s="56" t="s">
        <v>365</v>
      </c>
      <c r="M23" s="23" t="s">
        <v>562</v>
      </c>
    </row>
    <row r="24" spans="1:14" s="11" customFormat="1" x14ac:dyDescent="0.25">
      <c r="A24" s="54">
        <v>37018691</v>
      </c>
      <c r="B24" s="55" t="s">
        <v>165</v>
      </c>
      <c r="C24" s="55" t="str">
        <f>RIGHT(Tabela3[[#This Row],[MÓDULO2]],1)</f>
        <v>2</v>
      </c>
      <c r="D24" s="55" t="s">
        <v>54</v>
      </c>
      <c r="E24" s="55">
        <v>373114</v>
      </c>
      <c r="F24" s="55" t="s">
        <v>24</v>
      </c>
      <c r="G24" s="55" t="s">
        <v>49</v>
      </c>
      <c r="H24" s="55">
        <v>20074848</v>
      </c>
      <c r="I24" s="56">
        <v>45510</v>
      </c>
      <c r="J24" s="55" t="str">
        <f>Tabela3[[#This Row],[CARGO]]</f>
        <v>Oper Maqs Florestais I Grua</v>
      </c>
      <c r="K24" s="57"/>
      <c r="L24" s="56" t="s">
        <v>363</v>
      </c>
      <c r="M24" s="23" t="s">
        <v>562</v>
      </c>
    </row>
    <row r="25" spans="1:14" s="11" customFormat="1" x14ac:dyDescent="0.25">
      <c r="A25" s="54">
        <v>37018692</v>
      </c>
      <c r="B25" s="55" t="s">
        <v>166</v>
      </c>
      <c r="C25" s="55" t="str">
        <f>RIGHT(Tabela3[[#This Row],[MÓDULO2]],1)</f>
        <v>2</v>
      </c>
      <c r="D25" s="55" t="s">
        <v>54</v>
      </c>
      <c r="E25" s="55">
        <v>373114</v>
      </c>
      <c r="F25" s="55" t="s">
        <v>24</v>
      </c>
      <c r="G25" s="55" t="s">
        <v>49</v>
      </c>
      <c r="H25" s="55">
        <v>20074849</v>
      </c>
      <c r="I25" s="56">
        <v>45510</v>
      </c>
      <c r="J25" s="55" t="str">
        <f>Tabela3[[#This Row],[CARGO]]</f>
        <v>Oper Maqs Florestais I Grua</v>
      </c>
      <c r="K25" s="57"/>
      <c r="L25" s="56" t="s">
        <v>366</v>
      </c>
      <c r="M25" s="23" t="s">
        <v>562</v>
      </c>
    </row>
    <row r="26" spans="1:14" s="11" customFormat="1" x14ac:dyDescent="0.25">
      <c r="A26" s="54">
        <v>37006418</v>
      </c>
      <c r="B26" s="55" t="s">
        <v>66</v>
      </c>
      <c r="C26" s="55" t="str">
        <f>RIGHT(Tabela3[[#This Row],[MÓDULO2]],1)</f>
        <v>2</v>
      </c>
      <c r="D26" s="55" t="s">
        <v>12</v>
      </c>
      <c r="E26" s="55">
        <v>373114</v>
      </c>
      <c r="F26" s="55" t="s">
        <v>24</v>
      </c>
      <c r="G26" s="55" t="s">
        <v>49</v>
      </c>
      <c r="H26" s="55">
        <v>20017828</v>
      </c>
      <c r="I26" s="56">
        <v>44459</v>
      </c>
      <c r="J26" s="55" t="str">
        <f>Tabela3[[#This Row],[CARGO]]</f>
        <v>Assistente Operador Carregamento Grua</v>
      </c>
      <c r="K26" s="57"/>
      <c r="L26" s="56" t="s">
        <v>365</v>
      </c>
      <c r="M26" s="23" t="s">
        <v>562</v>
      </c>
    </row>
    <row r="27" spans="1:14" s="11" customFormat="1" x14ac:dyDescent="0.25">
      <c r="A27" s="54">
        <v>37008824</v>
      </c>
      <c r="B27" s="55" t="s">
        <v>70</v>
      </c>
      <c r="C27" s="55" t="str">
        <f>RIGHT(Tabela3[[#This Row],[MÓDULO2]],1)</f>
        <v>2</v>
      </c>
      <c r="D27" s="55" t="s">
        <v>12</v>
      </c>
      <c r="E27" s="55">
        <v>373114</v>
      </c>
      <c r="F27" s="55" t="s">
        <v>24</v>
      </c>
      <c r="G27" s="55" t="s">
        <v>49</v>
      </c>
      <c r="H27" s="55">
        <v>20034927</v>
      </c>
      <c r="I27" s="56">
        <v>44777</v>
      </c>
      <c r="J27" s="55" t="str">
        <f>Tabela3[[#This Row],[CARGO]]</f>
        <v>Assistente Operador Carregamento Grua</v>
      </c>
      <c r="K27" s="57"/>
      <c r="L27" s="56" t="s">
        <v>365</v>
      </c>
      <c r="M27" s="23" t="s">
        <v>562</v>
      </c>
    </row>
    <row r="28" spans="1:14" s="11" customFormat="1" x14ac:dyDescent="0.25">
      <c r="A28" s="54">
        <v>37013385</v>
      </c>
      <c r="B28" s="55" t="s">
        <v>108</v>
      </c>
      <c r="C28" s="55" t="str">
        <f>RIGHT(Tabela3[[#This Row],[MÓDULO2]],1)</f>
        <v>2</v>
      </c>
      <c r="D28" s="55" t="s">
        <v>12</v>
      </c>
      <c r="E28" s="55">
        <v>373114</v>
      </c>
      <c r="F28" s="55" t="s">
        <v>24</v>
      </c>
      <c r="G28" s="55" t="s">
        <v>49</v>
      </c>
      <c r="H28" s="55">
        <v>20054463</v>
      </c>
      <c r="I28" s="56">
        <v>45118</v>
      </c>
      <c r="J28" s="55" t="str">
        <f>Tabela3[[#This Row],[CARGO]]</f>
        <v>Assistente Operador Carregamento Grua</v>
      </c>
      <c r="K28" s="57"/>
      <c r="L28" s="56" t="s">
        <v>364</v>
      </c>
      <c r="M28" s="23" t="s">
        <v>562</v>
      </c>
    </row>
    <row r="29" spans="1:14" x14ac:dyDescent="0.25">
      <c r="A29" s="54">
        <v>37005649</v>
      </c>
      <c r="B29" s="55" t="s">
        <v>75</v>
      </c>
      <c r="C29" s="55" t="str">
        <f>RIGHT(Tabela3[[#This Row],[MÓDULO2]],1)</f>
        <v>2</v>
      </c>
      <c r="D29" s="55" t="s">
        <v>12</v>
      </c>
      <c r="E29" s="55">
        <v>373114</v>
      </c>
      <c r="F29" s="55" t="s">
        <v>24</v>
      </c>
      <c r="G29" s="55" t="s">
        <v>49</v>
      </c>
      <c r="H29" s="55">
        <v>20013948</v>
      </c>
      <c r="I29" s="56">
        <v>44329</v>
      </c>
      <c r="J29" s="55" t="str">
        <f>Tabela3[[#This Row],[CARGO]]</f>
        <v>Assistente Operador Carregamento Grua</v>
      </c>
      <c r="K29" s="57"/>
      <c r="L29" s="56" t="s">
        <v>365</v>
      </c>
      <c r="M29" s="23" t="s">
        <v>562</v>
      </c>
      <c r="N29"/>
    </row>
    <row r="30" spans="1:14" x14ac:dyDescent="0.25">
      <c r="A30" s="54">
        <v>37009369</v>
      </c>
      <c r="B30" s="55" t="s">
        <v>85</v>
      </c>
      <c r="C30" s="55" t="str">
        <f>RIGHT(Tabela3[[#This Row],[MÓDULO2]],1)</f>
        <v>2</v>
      </c>
      <c r="D30" s="55" t="s">
        <v>12</v>
      </c>
      <c r="E30" s="55">
        <v>373114</v>
      </c>
      <c r="F30" s="55" t="s">
        <v>24</v>
      </c>
      <c r="G30" s="55" t="s">
        <v>49</v>
      </c>
      <c r="H30" s="55">
        <v>20033390</v>
      </c>
      <c r="I30" s="56">
        <v>44816</v>
      </c>
      <c r="J30" s="55" t="str">
        <f>Tabela3[[#This Row],[CARGO]]</f>
        <v>Assistente Operador Carregamento Grua</v>
      </c>
      <c r="K30" s="57"/>
      <c r="L30" s="56" t="s">
        <v>365</v>
      </c>
      <c r="M30" s="23" t="s">
        <v>562</v>
      </c>
      <c r="N30"/>
    </row>
    <row r="31" spans="1:14" s="11" customFormat="1" x14ac:dyDescent="0.25">
      <c r="A31" s="41">
        <v>37021674</v>
      </c>
      <c r="B31" s="4" t="s">
        <v>529</v>
      </c>
      <c r="C31" s="55" t="str">
        <f>RIGHT(Tabela3[[#This Row],[MÓDULO2]],1)</f>
        <v>2</v>
      </c>
      <c r="D31" s="55" t="s">
        <v>54</v>
      </c>
      <c r="E31" s="55">
        <v>373114</v>
      </c>
      <c r="F31" s="55" t="s">
        <v>24</v>
      </c>
      <c r="G31" s="55" t="s">
        <v>49</v>
      </c>
      <c r="H31" s="55">
        <v>20089575</v>
      </c>
      <c r="I31" s="5">
        <v>45755</v>
      </c>
      <c r="J31" s="5" t="str">
        <f>Tabela3[[#This Row],[CARGO]]</f>
        <v>Oper Maqs Florestais I Grua</v>
      </c>
      <c r="K31" s="42"/>
      <c r="L31" s="5" t="s">
        <v>365</v>
      </c>
      <c r="M31" s="23" t="s">
        <v>561</v>
      </c>
    </row>
    <row r="32" spans="1:14" x14ac:dyDescent="0.25">
      <c r="A32" s="54">
        <v>37005645</v>
      </c>
      <c r="B32" s="55" t="s">
        <v>101</v>
      </c>
      <c r="C32" s="55" t="str">
        <f>RIGHT(Tabela3[[#This Row],[MÓDULO2]],1)</f>
        <v>2</v>
      </c>
      <c r="D32" s="55" t="s">
        <v>12</v>
      </c>
      <c r="E32" s="55">
        <v>373114</v>
      </c>
      <c r="F32" s="55" t="s">
        <v>24</v>
      </c>
      <c r="G32" s="55" t="s">
        <v>49</v>
      </c>
      <c r="H32" s="55">
        <v>20014382</v>
      </c>
      <c r="I32" s="56">
        <v>44329</v>
      </c>
      <c r="J32" s="55" t="str">
        <f>Tabela3[[#This Row],[CARGO]]</f>
        <v>Assistente Operador Carregamento Grua</v>
      </c>
      <c r="K32" s="57"/>
      <c r="L32" s="56" t="s">
        <v>365</v>
      </c>
      <c r="M32" s="23" t="s">
        <v>562</v>
      </c>
      <c r="N32"/>
    </row>
    <row r="33" spans="1:14" s="11" customFormat="1" x14ac:dyDescent="0.25">
      <c r="A33" s="54">
        <v>37009096</v>
      </c>
      <c r="B33" s="55" t="s">
        <v>121</v>
      </c>
      <c r="C33" s="55" t="str">
        <f>RIGHT(Tabela3[[#This Row],[MÓDULO2]],1)</f>
        <v>2</v>
      </c>
      <c r="D33" s="55" t="s">
        <v>54</v>
      </c>
      <c r="E33" s="55">
        <v>373114</v>
      </c>
      <c r="F33" s="55" t="s">
        <v>24</v>
      </c>
      <c r="G33" s="55" t="s">
        <v>49</v>
      </c>
      <c r="H33" s="55">
        <v>20031522</v>
      </c>
      <c r="I33" s="56">
        <v>44788</v>
      </c>
      <c r="J33" s="55" t="str">
        <f>Tabela3[[#This Row],[CARGO]]</f>
        <v>Oper Maqs Florestais I Grua</v>
      </c>
      <c r="K33" s="57"/>
      <c r="L33" s="56" t="s">
        <v>374</v>
      </c>
      <c r="M33" s="23" t="s">
        <v>562</v>
      </c>
    </row>
    <row r="34" spans="1:14" s="11" customFormat="1" x14ac:dyDescent="0.25">
      <c r="A34" s="54">
        <v>37011081</v>
      </c>
      <c r="B34" s="55" t="s">
        <v>123</v>
      </c>
      <c r="C34" s="55" t="str">
        <f>RIGHT(Tabela3[[#This Row],[MÓDULO2]],1)</f>
        <v>2</v>
      </c>
      <c r="D34" s="55" t="s">
        <v>54</v>
      </c>
      <c r="E34" s="55">
        <v>373114</v>
      </c>
      <c r="F34" s="55" t="s">
        <v>24</v>
      </c>
      <c r="G34" s="55" t="s">
        <v>49</v>
      </c>
      <c r="H34" s="55">
        <v>20042153</v>
      </c>
      <c r="I34" s="56">
        <v>44963</v>
      </c>
      <c r="J34" s="55" t="str">
        <f>Tabela3[[#This Row],[CARGO]]</f>
        <v>Oper Maqs Florestais I Grua</v>
      </c>
      <c r="K34" s="57"/>
      <c r="L34" s="56" t="s">
        <v>365</v>
      </c>
      <c r="M34" s="23" t="s">
        <v>562</v>
      </c>
    </row>
    <row r="35" spans="1:14" s="11" customFormat="1" hidden="1" x14ac:dyDescent="0.25">
      <c r="A35" s="54"/>
      <c r="B35" s="4" t="s">
        <v>104</v>
      </c>
      <c r="C35" s="4" t="str">
        <f>RIGHT(Tabela3[[#This Row],[MÓDULO2]],1)</f>
        <v>2</v>
      </c>
      <c r="D35" s="4" t="s">
        <v>54</v>
      </c>
      <c r="E35" s="55">
        <v>373114</v>
      </c>
      <c r="F35" s="4" t="s">
        <v>24</v>
      </c>
      <c r="G35" s="4" t="s">
        <v>49</v>
      </c>
      <c r="H35" s="55"/>
      <c r="I35" s="5">
        <v>44900</v>
      </c>
      <c r="J35" s="4" t="str">
        <f>Tabela3[[#This Row],[CARGO]]</f>
        <v>Oper Maqs Florestais I Grua</v>
      </c>
      <c r="K35" s="42">
        <v>45366</v>
      </c>
      <c r="L35" s="5"/>
      <c r="M35" s="23"/>
    </row>
    <row r="36" spans="1:14" s="11" customFormat="1" hidden="1" x14ac:dyDescent="0.25">
      <c r="A36" s="54"/>
      <c r="B36" s="4" t="s">
        <v>161</v>
      </c>
      <c r="C36" s="4" t="str">
        <f>RIGHT(Tabela3[[#This Row],[MÓDULO2]],1)</f>
        <v>2</v>
      </c>
      <c r="D36" s="4" t="s">
        <v>12</v>
      </c>
      <c r="E36" s="55">
        <v>373114</v>
      </c>
      <c r="F36" s="4" t="s">
        <v>24</v>
      </c>
      <c r="G36" s="4" t="s">
        <v>49</v>
      </c>
      <c r="H36" s="55"/>
      <c r="I36" s="5">
        <v>44329</v>
      </c>
      <c r="J36" s="4" t="str">
        <f>Tabela3[[#This Row],[CARGO]]</f>
        <v>Assistente Operador Carregamento Grua</v>
      </c>
      <c r="K36" s="42">
        <v>45359</v>
      </c>
      <c r="L36" s="5"/>
      <c r="M36" s="23"/>
    </row>
    <row r="37" spans="1:14" s="11" customFormat="1" x14ac:dyDescent="0.25">
      <c r="A37" s="54">
        <v>37011476</v>
      </c>
      <c r="B37" s="55" t="s">
        <v>146</v>
      </c>
      <c r="C37" s="55" t="str">
        <f>RIGHT(Tabela3[[#This Row],[MÓDULO2]],1)</f>
        <v>2</v>
      </c>
      <c r="D37" s="55" t="s">
        <v>54</v>
      </c>
      <c r="E37" s="55">
        <v>373114</v>
      </c>
      <c r="F37" s="55" t="s">
        <v>24</v>
      </c>
      <c r="G37" s="55" t="s">
        <v>49</v>
      </c>
      <c r="H37" s="55">
        <v>20044135</v>
      </c>
      <c r="I37" s="56">
        <v>44991</v>
      </c>
      <c r="J37" s="55" t="str">
        <f>Tabela3[[#This Row],[CARGO]]</f>
        <v>Oper Maqs Florestais I Grua</v>
      </c>
      <c r="K37" s="57"/>
      <c r="L37" s="56" t="s">
        <v>365</v>
      </c>
      <c r="M37" s="23" t="s">
        <v>562</v>
      </c>
    </row>
    <row r="38" spans="1:14" s="11" customFormat="1" x14ac:dyDescent="0.25">
      <c r="A38" s="54">
        <v>37011488</v>
      </c>
      <c r="B38" s="55" t="s">
        <v>148</v>
      </c>
      <c r="C38" s="55" t="str">
        <f>RIGHT(Tabela3[[#This Row],[MÓDULO2]],1)</f>
        <v>2</v>
      </c>
      <c r="D38" s="55" t="s">
        <v>12</v>
      </c>
      <c r="E38" s="55">
        <v>373114</v>
      </c>
      <c r="F38" s="55" t="s">
        <v>24</v>
      </c>
      <c r="G38" s="55" t="s">
        <v>49</v>
      </c>
      <c r="H38" s="55">
        <v>20044147</v>
      </c>
      <c r="I38" s="56">
        <v>44991</v>
      </c>
      <c r="J38" s="55" t="str">
        <f>Tabela3[[#This Row],[CARGO]]</f>
        <v>Assistente Operador Carregamento Grua</v>
      </c>
      <c r="K38" s="57"/>
      <c r="L38" s="56" t="s">
        <v>365</v>
      </c>
      <c r="M38" s="23" t="s">
        <v>562</v>
      </c>
    </row>
    <row r="39" spans="1:14" x14ac:dyDescent="0.25">
      <c r="A39" s="54">
        <v>37005782</v>
      </c>
      <c r="B39" s="55" t="s">
        <v>23</v>
      </c>
      <c r="C39" s="55" t="str">
        <f>RIGHT(Tabela3[[#This Row],[MÓDULO2]],1)</f>
        <v>3</v>
      </c>
      <c r="D39" s="55" t="s">
        <v>12</v>
      </c>
      <c r="E39" s="55">
        <v>373114</v>
      </c>
      <c r="F39" s="55" t="s">
        <v>24</v>
      </c>
      <c r="G39" s="55" t="s">
        <v>25</v>
      </c>
      <c r="H39" s="55">
        <v>20016046</v>
      </c>
      <c r="I39" s="56">
        <v>44348</v>
      </c>
      <c r="J39" s="55" t="str">
        <f>Tabela3[[#This Row],[CARGO]]</f>
        <v>Assistente Operador Carregamento Grua</v>
      </c>
      <c r="K39" s="57"/>
      <c r="L39" s="56" t="s">
        <v>370</v>
      </c>
      <c r="M39" s="23" t="s">
        <v>562</v>
      </c>
      <c r="N39"/>
    </row>
    <row r="40" spans="1:14" s="11" customFormat="1" x14ac:dyDescent="0.25">
      <c r="A40" s="54">
        <v>37020619</v>
      </c>
      <c r="B40" s="55" t="s">
        <v>497</v>
      </c>
      <c r="C40" s="55" t="str">
        <f>RIGHT(Tabela3[[#This Row],[MÓDULO2]],1)</f>
        <v>3</v>
      </c>
      <c r="D40" s="55" t="s">
        <v>54</v>
      </c>
      <c r="E40" s="55">
        <v>373114</v>
      </c>
      <c r="F40" s="55" t="s">
        <v>24</v>
      </c>
      <c r="G40" s="55" t="s">
        <v>25</v>
      </c>
      <c r="H40" s="55">
        <v>20084373</v>
      </c>
      <c r="I40" s="56">
        <v>45678</v>
      </c>
      <c r="J40" s="55" t="str">
        <f>Tabela3[[#This Row],[CARGO]]</f>
        <v>Oper Maqs Florestais I Grua</v>
      </c>
      <c r="K40" s="57"/>
      <c r="L40" s="57"/>
      <c r="M40" s="23" t="s">
        <v>562</v>
      </c>
    </row>
    <row r="41" spans="1:14" s="11" customFormat="1" x14ac:dyDescent="0.25">
      <c r="A41" s="54">
        <v>37020807</v>
      </c>
      <c r="B41" s="55" t="s">
        <v>500</v>
      </c>
      <c r="C41" s="55" t="str">
        <f>RIGHT(Tabela3[[#This Row],[MÓDULO2]],1)</f>
        <v>3</v>
      </c>
      <c r="D41" s="55" t="s">
        <v>54</v>
      </c>
      <c r="E41" s="55">
        <v>373114</v>
      </c>
      <c r="F41" s="55" t="s">
        <v>24</v>
      </c>
      <c r="G41" s="55" t="s">
        <v>25</v>
      </c>
      <c r="H41" s="55">
        <v>20085171</v>
      </c>
      <c r="I41" s="56">
        <v>45699</v>
      </c>
      <c r="J41" s="55" t="str">
        <f>Tabela3[[#This Row],[CARGO]]</f>
        <v>Oper Maqs Florestais I Grua</v>
      </c>
      <c r="K41" s="57"/>
      <c r="L41" s="57"/>
      <c r="M41" s="23" t="s">
        <v>562</v>
      </c>
    </row>
    <row r="42" spans="1:14" s="11" customFormat="1" x14ac:dyDescent="0.25">
      <c r="A42" s="54">
        <v>37013716</v>
      </c>
      <c r="B42" s="55" t="s">
        <v>143</v>
      </c>
      <c r="C42" s="55" t="str">
        <f>RIGHT(Tabela3[[#This Row],[MÓDULO2]],1)</f>
        <v>3</v>
      </c>
      <c r="D42" s="55" t="s">
        <v>54</v>
      </c>
      <c r="E42" s="55">
        <v>373114</v>
      </c>
      <c r="F42" s="55" t="s">
        <v>24</v>
      </c>
      <c r="G42" s="55" t="s">
        <v>25</v>
      </c>
      <c r="H42" s="55">
        <v>20056311</v>
      </c>
      <c r="I42" s="56">
        <v>45153</v>
      </c>
      <c r="J42" s="55" t="str">
        <f>Tabela3[[#This Row],[CARGO]]</f>
        <v>Oper Maqs Florestais I Grua</v>
      </c>
      <c r="K42" s="57"/>
      <c r="L42" s="56" t="s">
        <v>375</v>
      </c>
      <c r="M42" s="23" t="s">
        <v>562</v>
      </c>
    </row>
    <row r="43" spans="1:14" s="11" customFormat="1" x14ac:dyDescent="0.25">
      <c r="A43" s="54">
        <v>37010826</v>
      </c>
      <c r="B43" s="55" t="s">
        <v>64</v>
      </c>
      <c r="C43" s="55" t="str">
        <f>RIGHT(Tabela3[[#This Row],[MÓDULO2]],1)</f>
        <v>3</v>
      </c>
      <c r="D43" s="55" t="s">
        <v>12</v>
      </c>
      <c r="E43" s="55">
        <v>373114</v>
      </c>
      <c r="F43" s="55" t="s">
        <v>24</v>
      </c>
      <c r="G43" s="55" t="s">
        <v>25</v>
      </c>
      <c r="H43" s="55">
        <v>20041222</v>
      </c>
      <c r="I43" s="56">
        <v>44942</v>
      </c>
      <c r="J43" s="55" t="str">
        <f>Tabela3[[#This Row],[CARGO]]</f>
        <v>Assistente Operador Carregamento Grua</v>
      </c>
      <c r="K43" s="57"/>
      <c r="L43" s="56" t="s">
        <v>370</v>
      </c>
      <c r="M43" s="23" t="s">
        <v>562</v>
      </c>
    </row>
    <row r="44" spans="1:14" s="11" customFormat="1" x14ac:dyDescent="0.25">
      <c r="A44" s="54">
        <v>37009198</v>
      </c>
      <c r="B44" s="55" t="s">
        <v>80</v>
      </c>
      <c r="C44" s="55" t="str">
        <f>RIGHT(Tabela3[[#This Row],[MÓDULO2]],1)</f>
        <v>3</v>
      </c>
      <c r="D44" s="55" t="s">
        <v>12</v>
      </c>
      <c r="E44" s="55">
        <v>373114</v>
      </c>
      <c r="F44" s="55" t="s">
        <v>24</v>
      </c>
      <c r="G44" s="55" t="s">
        <v>25</v>
      </c>
      <c r="H44" s="55">
        <v>20032235</v>
      </c>
      <c r="I44" s="56">
        <v>44795</v>
      </c>
      <c r="J44" s="55" t="str">
        <f>Tabela3[[#This Row],[CARGO]]</f>
        <v>Assistente Operador Carregamento Grua</v>
      </c>
      <c r="K44" s="57"/>
      <c r="L44" s="57" t="s">
        <v>370</v>
      </c>
      <c r="M44" s="23" t="s">
        <v>562</v>
      </c>
    </row>
    <row r="45" spans="1:14" s="11" customFormat="1" x14ac:dyDescent="0.25">
      <c r="A45" s="54">
        <v>37006345</v>
      </c>
      <c r="B45" s="55" t="s">
        <v>26</v>
      </c>
      <c r="C45" s="55" t="str">
        <f>RIGHT(Tabela3[[#This Row],[MÓDULO2]],1)</f>
        <v>3</v>
      </c>
      <c r="D45" s="55" t="s">
        <v>12</v>
      </c>
      <c r="E45" s="55">
        <v>373114</v>
      </c>
      <c r="F45" s="55" t="s">
        <v>24</v>
      </c>
      <c r="G45" s="55" t="s">
        <v>25</v>
      </c>
      <c r="H45" s="55">
        <v>20017072</v>
      </c>
      <c r="I45" s="56">
        <v>44447</v>
      </c>
      <c r="J45" s="55" t="str">
        <f>Tabela3[[#This Row],[CARGO]]</f>
        <v>Assistente Operador Carregamento Grua</v>
      </c>
      <c r="K45" s="57"/>
      <c r="L45" s="57" t="s">
        <v>370</v>
      </c>
      <c r="M45" s="23" t="s">
        <v>562</v>
      </c>
    </row>
    <row r="46" spans="1:14" s="11" customFormat="1" x14ac:dyDescent="0.25">
      <c r="A46" s="41">
        <v>37021092</v>
      </c>
      <c r="B46" s="4" t="s">
        <v>508</v>
      </c>
      <c r="C46" s="55" t="str">
        <f>RIGHT(Tabela3[[#This Row],[MÓDULO2]],1)</f>
        <v>3</v>
      </c>
      <c r="D46" s="55" t="s">
        <v>54</v>
      </c>
      <c r="E46" s="55">
        <v>373114</v>
      </c>
      <c r="F46" s="55" t="s">
        <v>24</v>
      </c>
      <c r="G46" s="4" t="s">
        <v>25</v>
      </c>
      <c r="H46" s="55">
        <v>20086589</v>
      </c>
      <c r="I46" s="5">
        <v>45727</v>
      </c>
      <c r="J46" s="5" t="str">
        <f>Tabela3[[#This Row],[CARGO]]</f>
        <v>Oper Maqs Florestais I Grua</v>
      </c>
      <c r="K46" s="42"/>
      <c r="L46" s="42"/>
      <c r="M46" s="23" t="s">
        <v>562</v>
      </c>
    </row>
    <row r="47" spans="1:14" s="11" customFormat="1" x14ac:dyDescent="0.25">
      <c r="A47" s="54">
        <v>37005790</v>
      </c>
      <c r="B47" s="55" t="s">
        <v>52</v>
      </c>
      <c r="C47" s="55" t="str">
        <f>RIGHT(Tabela3[[#This Row],[MÓDULO2]],1)</f>
        <v>3</v>
      </c>
      <c r="D47" s="55" t="s">
        <v>12</v>
      </c>
      <c r="E47" s="55">
        <v>373114</v>
      </c>
      <c r="F47" s="55" t="s">
        <v>24</v>
      </c>
      <c r="G47" s="55" t="s">
        <v>25</v>
      </c>
      <c r="H47" s="55">
        <v>20016041</v>
      </c>
      <c r="I47" s="56">
        <v>44348</v>
      </c>
      <c r="J47" s="55" t="str">
        <f>Tabela3[[#This Row],[CARGO]]</f>
        <v>Assistente Operador Carregamento Grua</v>
      </c>
      <c r="K47" s="57"/>
      <c r="L47" s="57" t="s">
        <v>370</v>
      </c>
      <c r="M47" s="23" t="s">
        <v>562</v>
      </c>
    </row>
    <row r="48" spans="1:14" s="11" customFormat="1" x14ac:dyDescent="0.25">
      <c r="A48" s="54">
        <v>37011355</v>
      </c>
      <c r="B48" s="55" t="s">
        <v>92</v>
      </c>
      <c r="C48" s="55" t="str">
        <f>RIGHT(Tabela3[[#This Row],[MÓDULO2]],1)</f>
        <v>3</v>
      </c>
      <c r="D48" s="55" t="s">
        <v>54</v>
      </c>
      <c r="E48" s="55">
        <v>373114</v>
      </c>
      <c r="F48" s="55" t="s">
        <v>24</v>
      </c>
      <c r="G48" s="55" t="s">
        <v>25</v>
      </c>
      <c r="H48" s="55">
        <v>20043355</v>
      </c>
      <c r="I48" s="56">
        <v>44986</v>
      </c>
      <c r="J48" s="55" t="str">
        <f>Tabela3[[#This Row],[CARGO]]</f>
        <v>Oper Maqs Florestais I Grua</v>
      </c>
      <c r="K48" s="57"/>
      <c r="L48" s="57" t="s">
        <v>370</v>
      </c>
      <c r="M48" s="23" t="s">
        <v>562</v>
      </c>
    </row>
    <row r="49" spans="1:14" s="11" customFormat="1" hidden="1" x14ac:dyDescent="0.25">
      <c r="A49" s="54"/>
      <c r="B49" s="55" t="s">
        <v>78</v>
      </c>
      <c r="C49" s="55" t="str">
        <f>RIGHT(Tabela3[[#This Row],[MÓDULO2]],1)</f>
        <v>3</v>
      </c>
      <c r="D49" s="55" t="s">
        <v>54</v>
      </c>
      <c r="E49" s="55">
        <v>373114</v>
      </c>
      <c r="F49" s="55" t="s">
        <v>24</v>
      </c>
      <c r="G49" s="55" t="s">
        <v>25</v>
      </c>
      <c r="H49" s="55"/>
      <c r="I49" s="56">
        <v>44970</v>
      </c>
      <c r="J49" s="55" t="str">
        <f>Tabela3[[#This Row],[CARGO]]</f>
        <v>Oper Maqs Florestais I Grua</v>
      </c>
      <c r="K49" s="57">
        <v>45677</v>
      </c>
      <c r="L49" s="57" t="s">
        <v>370</v>
      </c>
      <c r="M49" s="23"/>
    </row>
    <row r="50" spans="1:14" s="11" customFormat="1" x14ac:dyDescent="0.25">
      <c r="A50" s="54">
        <v>37005791</v>
      </c>
      <c r="B50" s="55" t="s">
        <v>58</v>
      </c>
      <c r="C50" s="55" t="str">
        <f>RIGHT(Tabela3[[#This Row],[MÓDULO2]],1)</f>
        <v>3</v>
      </c>
      <c r="D50" s="55" t="s">
        <v>12</v>
      </c>
      <c r="E50" s="55">
        <v>373114</v>
      </c>
      <c r="F50" s="55" t="s">
        <v>24</v>
      </c>
      <c r="G50" s="55" t="s">
        <v>25</v>
      </c>
      <c r="H50" s="55">
        <v>20016047</v>
      </c>
      <c r="I50" s="56">
        <v>44348</v>
      </c>
      <c r="J50" s="55" t="str">
        <f>Tabela3[[#This Row],[CARGO]]</f>
        <v>Assistente Operador Carregamento Grua</v>
      </c>
      <c r="K50" s="57"/>
      <c r="L50" s="57" t="s">
        <v>370</v>
      </c>
      <c r="M50" s="23" t="s">
        <v>562</v>
      </c>
    </row>
    <row r="51" spans="1:14" s="11" customFormat="1" hidden="1" x14ac:dyDescent="0.25">
      <c r="A51" s="54"/>
      <c r="B51" s="55" t="s">
        <v>42</v>
      </c>
      <c r="C51" s="55" t="str">
        <f>RIGHT(Tabela3[[#This Row],[MÓDULO2]],1)</f>
        <v>3</v>
      </c>
      <c r="D51" s="55" t="s">
        <v>12</v>
      </c>
      <c r="E51" s="55">
        <v>373114</v>
      </c>
      <c r="F51" s="55" t="s">
        <v>24</v>
      </c>
      <c r="G51" s="55" t="s">
        <v>25</v>
      </c>
      <c r="H51" s="55"/>
      <c r="I51" s="56">
        <v>44447</v>
      </c>
      <c r="J51" s="55" t="str">
        <f>Tabela3[[#This Row],[CARGO]]</f>
        <v>Assistente Operador Carregamento Grua</v>
      </c>
      <c r="K51" s="57">
        <v>45733</v>
      </c>
      <c r="L51" s="57" t="s">
        <v>371</v>
      </c>
      <c r="M51" s="23"/>
    </row>
    <row r="52" spans="1:14" s="11" customFormat="1" x14ac:dyDescent="0.25">
      <c r="A52" s="41">
        <v>37021545</v>
      </c>
      <c r="B52" s="4" t="s">
        <v>530</v>
      </c>
      <c r="C52" s="55" t="str">
        <f>RIGHT(Tabela3[[#This Row],[MÓDULO2]],1)</f>
        <v>3</v>
      </c>
      <c r="D52" s="55" t="s">
        <v>54</v>
      </c>
      <c r="E52" s="55">
        <v>373114</v>
      </c>
      <c r="F52" s="55" t="s">
        <v>24</v>
      </c>
      <c r="G52" s="4" t="s">
        <v>25</v>
      </c>
      <c r="H52" s="55">
        <v>20089411</v>
      </c>
      <c r="I52" s="5">
        <v>45755</v>
      </c>
      <c r="J52" s="5" t="str">
        <f>Tabela3[[#This Row],[CARGO]]</f>
        <v>Oper Maqs Florestais I Grua</v>
      </c>
      <c r="K52" s="42"/>
      <c r="L52" s="57" t="s">
        <v>370</v>
      </c>
      <c r="M52" s="23" t="s">
        <v>561</v>
      </c>
    </row>
    <row r="53" spans="1:14" s="11" customFormat="1" hidden="1" x14ac:dyDescent="0.25">
      <c r="A53" s="54"/>
      <c r="B53" s="55" t="s">
        <v>115</v>
      </c>
      <c r="C53" s="55" t="str">
        <f>RIGHT(Tabela3[[#This Row],[MÓDULO2]],1)</f>
        <v>3</v>
      </c>
      <c r="D53" s="55" t="s">
        <v>54</v>
      </c>
      <c r="E53" s="55">
        <v>373114</v>
      </c>
      <c r="F53" s="55" t="s">
        <v>24</v>
      </c>
      <c r="G53" s="55" t="s">
        <v>25</v>
      </c>
      <c r="H53" s="55"/>
      <c r="I53" s="56">
        <v>44986</v>
      </c>
      <c r="J53" s="55" t="str">
        <f>Tabela3[[#This Row],[CARGO]]</f>
        <v>Oper Maqs Florestais I Grua</v>
      </c>
      <c r="K53" s="57">
        <v>45707</v>
      </c>
      <c r="L53" s="57"/>
      <c r="M53" s="23"/>
    </row>
    <row r="54" spans="1:14" s="11" customFormat="1" hidden="1" x14ac:dyDescent="0.25">
      <c r="A54" s="54"/>
      <c r="B54" s="55" t="s">
        <v>59</v>
      </c>
      <c r="C54" s="55" t="str">
        <f>RIGHT(Tabela3[[#This Row],[MÓDULO2]],1)</f>
        <v>3</v>
      </c>
      <c r="D54" s="55" t="s">
        <v>12</v>
      </c>
      <c r="E54" s="55">
        <v>373114</v>
      </c>
      <c r="F54" s="55" t="s">
        <v>24</v>
      </c>
      <c r="G54" s="55" t="s">
        <v>25</v>
      </c>
      <c r="H54" s="55"/>
      <c r="I54" s="56">
        <v>44348</v>
      </c>
      <c r="J54" s="55" t="str">
        <f>Tabela3[[#This Row],[CARGO]]</f>
        <v>Assistente Operador Carregamento Grua</v>
      </c>
      <c r="K54" s="57">
        <v>45733</v>
      </c>
      <c r="L54" s="56" t="s">
        <v>370</v>
      </c>
      <c r="M54" s="23"/>
    </row>
    <row r="55" spans="1:14" s="11" customFormat="1" x14ac:dyDescent="0.25">
      <c r="A55" s="54">
        <v>37011356</v>
      </c>
      <c r="B55" s="55" t="s">
        <v>95</v>
      </c>
      <c r="C55" s="55" t="str">
        <f>RIGHT(Tabela3[[#This Row],[MÓDULO2]],1)</f>
        <v>3</v>
      </c>
      <c r="D55" s="55" t="s">
        <v>54</v>
      </c>
      <c r="E55" s="55">
        <v>373114</v>
      </c>
      <c r="F55" s="55" t="s">
        <v>24</v>
      </c>
      <c r="G55" s="55" t="s">
        <v>25</v>
      </c>
      <c r="H55" s="55">
        <v>20043356</v>
      </c>
      <c r="I55" s="56">
        <v>44986</v>
      </c>
      <c r="J55" s="55" t="str">
        <f>Tabela3[[#This Row],[CARGO]]</f>
        <v>Oper Maqs Florestais I Grua</v>
      </c>
      <c r="K55" s="57"/>
      <c r="L55" s="56" t="s">
        <v>370</v>
      </c>
      <c r="M55" s="23" t="s">
        <v>562</v>
      </c>
    </row>
    <row r="56" spans="1:14" s="11" customFormat="1" x14ac:dyDescent="0.25">
      <c r="A56" s="41">
        <v>37021045</v>
      </c>
      <c r="B56" s="4" t="s">
        <v>509</v>
      </c>
      <c r="C56" s="55" t="str">
        <f>RIGHT(Tabela3[[#This Row],[MÓDULO2]],1)</f>
        <v>3</v>
      </c>
      <c r="D56" s="55" t="s">
        <v>54</v>
      </c>
      <c r="E56" s="55">
        <v>373114</v>
      </c>
      <c r="F56" s="55" t="s">
        <v>24</v>
      </c>
      <c r="G56" s="4" t="s">
        <v>25</v>
      </c>
      <c r="H56" s="55">
        <v>20086480</v>
      </c>
      <c r="I56" s="5">
        <v>45727</v>
      </c>
      <c r="J56" s="5" t="str">
        <f>Tabela3[[#This Row],[CARGO]]</f>
        <v>Oper Maqs Florestais I Grua</v>
      </c>
      <c r="K56" s="42"/>
      <c r="L56" s="5"/>
      <c r="M56" s="23" t="s">
        <v>562</v>
      </c>
    </row>
    <row r="57" spans="1:14" hidden="1" x14ac:dyDescent="0.25">
      <c r="A57" s="54"/>
      <c r="B57" s="4" t="s">
        <v>55</v>
      </c>
      <c r="C57" s="4" t="str">
        <f>RIGHT(Tabela3[[#This Row],[MÓDULO2]],1)</f>
        <v>3</v>
      </c>
      <c r="D57" s="4" t="s">
        <v>12</v>
      </c>
      <c r="E57" s="55">
        <v>373114</v>
      </c>
      <c r="F57" s="4" t="s">
        <v>24</v>
      </c>
      <c r="G57" s="4" t="s">
        <v>25</v>
      </c>
      <c r="H57" s="55"/>
      <c r="I57" s="5">
        <v>44348</v>
      </c>
      <c r="J57" s="4" t="str">
        <f>Tabela3[[#This Row],[CARGO]]</f>
        <v>Assistente Operador Carregamento Grua</v>
      </c>
      <c r="K57" s="42">
        <v>45474</v>
      </c>
      <c r="L57" s="5"/>
      <c r="M57" s="23"/>
      <c r="N57"/>
    </row>
    <row r="58" spans="1:14" hidden="1" x14ac:dyDescent="0.25">
      <c r="A58" s="54"/>
      <c r="B58" s="4" t="s">
        <v>65</v>
      </c>
      <c r="C58" s="4" t="str">
        <f>RIGHT(Tabela3[[#This Row],[MÓDULO2]],1)</f>
        <v>3</v>
      </c>
      <c r="D58" s="4" t="s">
        <v>54</v>
      </c>
      <c r="E58" s="55">
        <v>373114</v>
      </c>
      <c r="F58" s="4" t="s">
        <v>24</v>
      </c>
      <c r="G58" s="4" t="s">
        <v>25</v>
      </c>
      <c r="H58" s="55"/>
      <c r="I58" s="5">
        <v>44935</v>
      </c>
      <c r="J58" s="4" t="str">
        <f>Tabela3[[#This Row],[CARGO]]</f>
        <v>Oper Maqs Florestais I Grua</v>
      </c>
      <c r="K58" s="42">
        <v>45504</v>
      </c>
      <c r="L58" s="5"/>
      <c r="M58" s="23"/>
      <c r="N58"/>
    </row>
    <row r="59" spans="1:14" x14ac:dyDescent="0.25">
      <c r="A59" s="54">
        <v>37009026</v>
      </c>
      <c r="B59" s="55" t="s">
        <v>132</v>
      </c>
      <c r="C59" s="55" t="str">
        <f>RIGHT(Tabela3[[#This Row],[MÓDULO2]],1)</f>
        <v>3</v>
      </c>
      <c r="D59" s="55" t="s">
        <v>54</v>
      </c>
      <c r="E59" s="55">
        <v>373114</v>
      </c>
      <c r="F59" s="55" t="s">
        <v>24</v>
      </c>
      <c r="G59" s="55" t="s">
        <v>25</v>
      </c>
      <c r="H59" s="55">
        <v>20030999</v>
      </c>
      <c r="I59" s="56">
        <v>44781</v>
      </c>
      <c r="J59" s="55" t="str">
        <f>Tabela3[[#This Row],[CARGO]]</f>
        <v>Oper Maqs Florestais I Grua</v>
      </c>
      <c r="K59" s="57"/>
      <c r="L59" s="56" t="s">
        <v>370</v>
      </c>
      <c r="M59" s="23" t="s">
        <v>562</v>
      </c>
      <c r="N59"/>
    </row>
    <row r="60" spans="1:14" s="11" customFormat="1" x14ac:dyDescent="0.25">
      <c r="A60" s="54">
        <v>37014379</v>
      </c>
      <c r="B60" s="55" t="s">
        <v>144</v>
      </c>
      <c r="C60" s="55" t="str">
        <f>RIGHT(Tabela3[[#This Row],[MÓDULO2]],1)</f>
        <v>3</v>
      </c>
      <c r="D60" s="55" t="s">
        <v>12</v>
      </c>
      <c r="E60" s="55">
        <v>373114</v>
      </c>
      <c r="F60" s="55" t="s">
        <v>24</v>
      </c>
      <c r="G60" s="55" t="s">
        <v>25</v>
      </c>
      <c r="H60" s="55">
        <v>20058514</v>
      </c>
      <c r="I60" s="56">
        <v>45174</v>
      </c>
      <c r="J60" s="55" t="str">
        <f>Tabela3[[#This Row],[CARGO]]</f>
        <v>Assistente Operador Carregamento Grua</v>
      </c>
      <c r="K60" s="57"/>
      <c r="L60" s="56" t="s">
        <v>370</v>
      </c>
      <c r="M60" s="23" t="s">
        <v>562</v>
      </c>
    </row>
    <row r="61" spans="1:14" s="11" customFormat="1" x14ac:dyDescent="0.25">
      <c r="A61" s="54">
        <v>37013717</v>
      </c>
      <c r="B61" s="55" t="s">
        <v>150</v>
      </c>
      <c r="C61" s="55" t="str">
        <f>RIGHT(Tabela3[[#This Row],[MÓDULO2]],1)</f>
        <v>4</v>
      </c>
      <c r="D61" s="55" t="s">
        <v>12</v>
      </c>
      <c r="E61" s="55">
        <v>373114</v>
      </c>
      <c r="F61" s="55" t="s">
        <v>18</v>
      </c>
      <c r="G61" s="55" t="s">
        <v>21</v>
      </c>
      <c r="H61" s="55">
        <v>20056312</v>
      </c>
      <c r="I61" s="56">
        <v>45153</v>
      </c>
      <c r="J61" s="55" t="str">
        <f>Tabela3[[#This Row],[CARGO]]</f>
        <v>Assistente Operador Carregamento Grua</v>
      </c>
      <c r="K61" s="57"/>
      <c r="L61" s="56" t="s">
        <v>375</v>
      </c>
      <c r="M61" s="23" t="s">
        <v>562</v>
      </c>
    </row>
    <row r="62" spans="1:14" s="11" customFormat="1" x14ac:dyDescent="0.25">
      <c r="A62" s="54">
        <v>37010495</v>
      </c>
      <c r="B62" s="55" t="s">
        <v>20</v>
      </c>
      <c r="C62" s="55" t="str">
        <f>RIGHT(Tabela3[[#This Row],[MÓDULO2]],1)</f>
        <v>4</v>
      </c>
      <c r="D62" s="55" t="s">
        <v>12</v>
      </c>
      <c r="E62" s="55">
        <v>373114</v>
      </c>
      <c r="F62" s="55" t="s">
        <v>18</v>
      </c>
      <c r="G62" s="55" t="s">
        <v>21</v>
      </c>
      <c r="H62" s="55">
        <v>20040228</v>
      </c>
      <c r="I62" s="56">
        <v>44914</v>
      </c>
      <c r="J62" s="55" t="str">
        <f>Tabela3[[#This Row],[CARGO]]</f>
        <v>Assistente Operador Carregamento Grua</v>
      </c>
      <c r="K62" s="57"/>
      <c r="L62" s="56" t="s">
        <v>375</v>
      </c>
      <c r="M62" s="23" t="s">
        <v>562</v>
      </c>
    </row>
    <row r="63" spans="1:14" s="11" customFormat="1" x14ac:dyDescent="0.25">
      <c r="A63" s="54">
        <v>37020817</v>
      </c>
      <c r="B63" s="55" t="s">
        <v>499</v>
      </c>
      <c r="C63" s="55" t="str">
        <f>RIGHT(Tabela3[[#This Row],[MÓDULO2]],1)</f>
        <v>4</v>
      </c>
      <c r="D63" s="55" t="s">
        <v>54</v>
      </c>
      <c r="E63" s="55">
        <v>373114</v>
      </c>
      <c r="F63" s="55" t="s">
        <v>18</v>
      </c>
      <c r="G63" s="55" t="s">
        <v>21</v>
      </c>
      <c r="H63" s="55">
        <v>20085191</v>
      </c>
      <c r="I63" s="56">
        <v>45699</v>
      </c>
      <c r="J63" s="55" t="str">
        <f>Tabela3[[#This Row],[CARGO]]</f>
        <v>Oper Maqs Florestais I Grua</v>
      </c>
      <c r="K63" s="57"/>
      <c r="L63" s="56"/>
      <c r="M63" s="23" t="s">
        <v>562</v>
      </c>
    </row>
    <row r="64" spans="1:14" s="11" customFormat="1" x14ac:dyDescent="0.25">
      <c r="A64" s="54">
        <v>37006675</v>
      </c>
      <c r="B64" s="55" t="s">
        <v>84</v>
      </c>
      <c r="C64" s="55" t="str">
        <f>RIGHT(Tabela3[[#This Row],[MÓDULO2]],1)</f>
        <v>4</v>
      </c>
      <c r="D64" s="55" t="s">
        <v>54</v>
      </c>
      <c r="E64" s="55">
        <v>373114</v>
      </c>
      <c r="F64" s="55" t="s">
        <v>18</v>
      </c>
      <c r="G64" s="55" t="s">
        <v>21</v>
      </c>
      <c r="H64" s="55">
        <v>20018752</v>
      </c>
      <c r="I64" s="56">
        <v>44503</v>
      </c>
      <c r="J64" s="55" t="str">
        <f>Tabela3[[#This Row],[CARGO]]</f>
        <v>Oper Maqs Florestais I Grua</v>
      </c>
      <c r="K64" s="57"/>
      <c r="L64" s="56" t="s">
        <v>375</v>
      </c>
      <c r="M64" s="23" t="s">
        <v>562</v>
      </c>
    </row>
    <row r="65" spans="1:14" s="11" customFormat="1" x14ac:dyDescent="0.25">
      <c r="A65" s="54">
        <v>37006782</v>
      </c>
      <c r="B65" s="55" t="s">
        <v>45</v>
      </c>
      <c r="C65" s="55" t="str">
        <f>RIGHT(Tabela3[[#This Row],[MÓDULO2]],1)</f>
        <v>4</v>
      </c>
      <c r="D65" s="55" t="s">
        <v>12</v>
      </c>
      <c r="E65" s="55">
        <v>373114</v>
      </c>
      <c r="F65" s="55" t="s">
        <v>18</v>
      </c>
      <c r="G65" s="55" t="s">
        <v>21</v>
      </c>
      <c r="H65" s="55">
        <v>20019009</v>
      </c>
      <c r="I65" s="56">
        <v>44522</v>
      </c>
      <c r="J65" s="55" t="str">
        <f>Tabela3[[#This Row],[CARGO]]</f>
        <v>Assistente Operador Carregamento Grua</v>
      </c>
      <c r="K65" s="57"/>
      <c r="L65" s="56" t="s">
        <v>375</v>
      </c>
      <c r="M65" s="23" t="s">
        <v>562</v>
      </c>
    </row>
    <row r="66" spans="1:14" s="11" customFormat="1" x14ac:dyDescent="0.25">
      <c r="A66" s="54">
        <v>37013351</v>
      </c>
      <c r="B66" s="55" t="s">
        <v>122</v>
      </c>
      <c r="C66" s="55" t="str">
        <f>RIGHT(Tabela3[[#This Row],[MÓDULO2]],1)</f>
        <v>4</v>
      </c>
      <c r="D66" s="55" t="s">
        <v>12</v>
      </c>
      <c r="E66" s="55">
        <v>373114</v>
      </c>
      <c r="F66" s="55" t="s">
        <v>18</v>
      </c>
      <c r="G66" s="55" t="s">
        <v>21</v>
      </c>
      <c r="H66" s="55">
        <v>20054008</v>
      </c>
      <c r="I66" s="56">
        <f>VLOOKUP(Tabela3[[#This Row],[COLABORADOR]],[1]ATIVOS!$B$4:$I$216,8,)</f>
        <v>45118</v>
      </c>
      <c r="J66" s="55" t="str">
        <f>Tabela3[[#This Row],[CARGO]]</f>
        <v>Assistente Operador Carregamento Grua</v>
      </c>
      <c r="K66" s="57"/>
      <c r="L66" s="56" t="s">
        <v>375</v>
      </c>
      <c r="M66" s="23" t="s">
        <v>562</v>
      </c>
    </row>
    <row r="67" spans="1:14" s="11" customFormat="1" hidden="1" x14ac:dyDescent="0.25">
      <c r="A67" s="54"/>
      <c r="B67" s="55" t="s">
        <v>63</v>
      </c>
      <c r="C67" s="55" t="str">
        <f>RIGHT(Tabela3[[#This Row],[MÓDULO2]],1)</f>
        <v>4</v>
      </c>
      <c r="D67" s="55" t="s">
        <v>12</v>
      </c>
      <c r="E67" s="55">
        <v>373114</v>
      </c>
      <c r="F67" s="55" t="s">
        <v>18</v>
      </c>
      <c r="G67" s="55" t="s">
        <v>21</v>
      </c>
      <c r="H67" s="55"/>
      <c r="I67" s="56">
        <v>44417</v>
      </c>
      <c r="J67" s="55" t="str">
        <f>Tabela3[[#This Row],[CARGO]]</f>
        <v>Assistente Operador Carregamento Grua</v>
      </c>
      <c r="K67" s="57">
        <v>45698</v>
      </c>
      <c r="L67" s="5" t="s">
        <v>375</v>
      </c>
      <c r="M67" s="23"/>
    </row>
    <row r="68" spans="1:14" s="11" customFormat="1" x14ac:dyDescent="0.25">
      <c r="A68" s="54">
        <v>37008955</v>
      </c>
      <c r="B68" s="55" t="s">
        <v>124</v>
      </c>
      <c r="C68" s="55" t="str">
        <f>RIGHT(Tabela3[[#This Row],[MÓDULO2]],1)</f>
        <v>4</v>
      </c>
      <c r="D68" s="55" t="s">
        <v>54</v>
      </c>
      <c r="E68" s="55">
        <v>373114</v>
      </c>
      <c r="F68" s="55" t="s">
        <v>18</v>
      </c>
      <c r="G68" s="55" t="s">
        <v>21</v>
      </c>
      <c r="H68" s="55">
        <v>20035279</v>
      </c>
      <c r="I68" s="56">
        <v>44777</v>
      </c>
      <c r="J68" s="55" t="str">
        <f>Tabela3[[#This Row],[CARGO]]</f>
        <v>Oper Maqs Florestais I Grua</v>
      </c>
      <c r="K68" s="57"/>
      <c r="L68" s="56" t="s">
        <v>375</v>
      </c>
      <c r="M68" s="23" t="s">
        <v>562</v>
      </c>
    </row>
    <row r="69" spans="1:14" s="11" customFormat="1" x14ac:dyDescent="0.25">
      <c r="A69" s="54">
        <v>37005982</v>
      </c>
      <c r="B69" s="55" t="s">
        <v>130</v>
      </c>
      <c r="C69" s="55" t="str">
        <f>RIGHT(Tabela3[[#This Row],[MÓDULO2]],1)</f>
        <v>4</v>
      </c>
      <c r="D69" s="55" t="s">
        <v>54</v>
      </c>
      <c r="E69" s="55">
        <v>373114</v>
      </c>
      <c r="F69" s="55" t="s">
        <v>18</v>
      </c>
      <c r="G69" s="55" t="s">
        <v>21</v>
      </c>
      <c r="H69" s="55">
        <v>20016784</v>
      </c>
      <c r="I69" s="56">
        <v>44382</v>
      </c>
      <c r="J69" s="55" t="str">
        <f>Tabela3[[#This Row],[CARGO]]</f>
        <v>Oper Maqs Florestais I Grua</v>
      </c>
      <c r="K69" s="57"/>
      <c r="L69" s="56" t="s">
        <v>375</v>
      </c>
      <c r="M69" s="23" t="s">
        <v>562</v>
      </c>
    </row>
    <row r="70" spans="1:14" s="11" customFormat="1" x14ac:dyDescent="0.25">
      <c r="A70" s="54">
        <v>37006437</v>
      </c>
      <c r="B70" s="55" t="s">
        <v>136</v>
      </c>
      <c r="C70" s="55" t="str">
        <f>RIGHT(Tabela3[[#This Row],[MÓDULO2]],1)</f>
        <v>4</v>
      </c>
      <c r="D70" s="55" t="s">
        <v>54</v>
      </c>
      <c r="E70" s="55">
        <v>373114</v>
      </c>
      <c r="F70" s="55" t="s">
        <v>18</v>
      </c>
      <c r="G70" s="55" t="s">
        <v>21</v>
      </c>
      <c r="H70" s="55">
        <v>20017841</v>
      </c>
      <c r="I70" s="56">
        <v>44459</v>
      </c>
      <c r="J70" s="55" t="str">
        <f>Tabela3[[#This Row],[CARGO]]</f>
        <v>Oper Maqs Florestais I Grua</v>
      </c>
      <c r="K70" s="57"/>
      <c r="L70" s="56" t="s">
        <v>375</v>
      </c>
      <c r="M70" s="23" t="s">
        <v>562</v>
      </c>
    </row>
    <row r="71" spans="1:14" s="11" customFormat="1" x14ac:dyDescent="0.25">
      <c r="A71" s="54">
        <v>37005988</v>
      </c>
      <c r="B71" s="55" t="s">
        <v>138</v>
      </c>
      <c r="C71" s="55" t="str">
        <f>RIGHT(Tabela3[[#This Row],[MÓDULO2]],1)</f>
        <v>4</v>
      </c>
      <c r="D71" s="55" t="s">
        <v>54</v>
      </c>
      <c r="E71" s="55">
        <v>373114</v>
      </c>
      <c r="F71" s="55" t="s">
        <v>18</v>
      </c>
      <c r="G71" s="55" t="s">
        <v>21</v>
      </c>
      <c r="H71" s="55">
        <v>20016790</v>
      </c>
      <c r="I71" s="56">
        <v>44382</v>
      </c>
      <c r="J71" s="55" t="str">
        <f>Tabela3[[#This Row],[CARGO]]</f>
        <v>Oper Maqs Florestais I Grua</v>
      </c>
      <c r="K71" s="57"/>
      <c r="L71" s="56" t="s">
        <v>375</v>
      </c>
      <c r="M71" s="23" t="s">
        <v>562</v>
      </c>
    </row>
    <row r="72" spans="1:14" x14ac:dyDescent="0.25">
      <c r="A72" s="54">
        <v>37013308</v>
      </c>
      <c r="B72" s="55" t="s">
        <v>140</v>
      </c>
      <c r="C72" s="55" t="str">
        <f>RIGHT(Tabela3[[#This Row],[MÓDULO2]],1)</f>
        <v>4</v>
      </c>
      <c r="D72" s="55" t="s">
        <v>12</v>
      </c>
      <c r="E72" s="55">
        <v>373114</v>
      </c>
      <c r="F72" s="55" t="s">
        <v>18</v>
      </c>
      <c r="G72" s="55" t="s">
        <v>21</v>
      </c>
      <c r="H72" s="55">
        <v>20053670</v>
      </c>
      <c r="I72" s="56">
        <v>45111</v>
      </c>
      <c r="J72" s="55" t="str">
        <f>Tabela3[[#This Row],[CARGO]]</f>
        <v>Assistente Operador Carregamento Grua</v>
      </c>
      <c r="K72" s="57"/>
      <c r="L72" s="56" t="s">
        <v>375</v>
      </c>
      <c r="M72" s="23" t="s">
        <v>562</v>
      </c>
      <c r="N72"/>
    </row>
    <row r="73" spans="1:14" hidden="1" x14ac:dyDescent="0.25">
      <c r="A73" s="54"/>
      <c r="B73" s="55" t="s">
        <v>87</v>
      </c>
      <c r="C73" s="55" t="str">
        <f>RIGHT(Tabela3[[#This Row],[MÓDULO2]],1)</f>
        <v>4</v>
      </c>
      <c r="D73" s="55" t="s">
        <v>12</v>
      </c>
      <c r="E73" s="55">
        <v>373114</v>
      </c>
      <c r="F73" s="55" t="s">
        <v>18</v>
      </c>
      <c r="G73" s="55" t="s">
        <v>21</v>
      </c>
      <c r="H73" s="55"/>
      <c r="I73" s="56">
        <v>44571</v>
      </c>
      <c r="J73" s="55" t="str">
        <f>Tabela3[[#This Row],[CARGO]]</f>
        <v>Assistente Operador Carregamento Grua</v>
      </c>
      <c r="K73" s="57">
        <v>45728</v>
      </c>
      <c r="L73" s="56" t="s">
        <v>375</v>
      </c>
      <c r="M73" s="23"/>
      <c r="N73"/>
    </row>
    <row r="74" spans="1:14" x14ac:dyDescent="0.25">
      <c r="A74" s="54">
        <v>37018828</v>
      </c>
      <c r="B74" s="55" t="s">
        <v>170</v>
      </c>
      <c r="C74" s="55" t="str">
        <f>RIGHT(Tabela3[[#This Row],[MÓDULO2]],1)</f>
        <v>4</v>
      </c>
      <c r="D74" s="55" t="s">
        <v>54</v>
      </c>
      <c r="E74" s="55">
        <v>373114</v>
      </c>
      <c r="F74" s="55" t="s">
        <v>18</v>
      </c>
      <c r="G74" s="55" t="s">
        <v>21</v>
      </c>
      <c r="H74" s="55">
        <v>20075123</v>
      </c>
      <c r="I74" s="56">
        <v>45510</v>
      </c>
      <c r="J74" s="55" t="str">
        <f>Tabela3[[#This Row],[CARGO]]</f>
        <v>Oper Maqs Florestais I Grua</v>
      </c>
      <c r="K74" s="57"/>
      <c r="L74" s="56" t="s">
        <v>375</v>
      </c>
      <c r="M74" s="23" t="s">
        <v>562</v>
      </c>
      <c r="N74"/>
    </row>
    <row r="75" spans="1:14" s="11" customFormat="1" x14ac:dyDescent="0.25">
      <c r="A75" s="54">
        <v>37013499</v>
      </c>
      <c r="B75" s="55" t="s">
        <v>93</v>
      </c>
      <c r="C75" s="55" t="str">
        <f>RIGHT(Tabela3[[#This Row],[MÓDULO2]],1)</f>
        <v>4</v>
      </c>
      <c r="D75" s="55" t="s">
        <v>12</v>
      </c>
      <c r="E75" s="55">
        <v>373114</v>
      </c>
      <c r="F75" s="55" t="s">
        <v>18</v>
      </c>
      <c r="G75" s="55" t="s">
        <v>21</v>
      </c>
      <c r="H75" s="55">
        <v>20055395</v>
      </c>
      <c r="I75" s="56">
        <v>45125</v>
      </c>
      <c r="J75" s="55" t="str">
        <f>Tabela3[[#This Row],[CARGO]]</f>
        <v>Assistente Operador Carregamento Grua</v>
      </c>
      <c r="K75" s="57"/>
      <c r="L75" s="56" t="s">
        <v>375</v>
      </c>
      <c r="M75" s="23" t="s">
        <v>562</v>
      </c>
    </row>
    <row r="76" spans="1:14" s="11" customFormat="1" x14ac:dyDescent="0.25">
      <c r="A76" s="54">
        <v>37013752</v>
      </c>
      <c r="B76" s="55" t="s">
        <v>154</v>
      </c>
      <c r="C76" s="55" t="str">
        <f>RIGHT(Tabela3[[#This Row],[MÓDULO2]],1)</f>
        <v>4</v>
      </c>
      <c r="D76" s="55" t="s">
        <v>313</v>
      </c>
      <c r="E76" s="55">
        <v>373114</v>
      </c>
      <c r="F76" s="55" t="s">
        <v>18</v>
      </c>
      <c r="G76" s="55" t="s">
        <v>21</v>
      </c>
      <c r="H76" s="55">
        <v>20056387</v>
      </c>
      <c r="I76" s="56">
        <v>45153</v>
      </c>
      <c r="J76" s="55" t="str">
        <f>Tabela3[[#This Row],[CARGO]]</f>
        <v>Oper maqs Florestais I Grua</v>
      </c>
      <c r="K76" s="57"/>
      <c r="L76" s="56" t="s">
        <v>375</v>
      </c>
      <c r="M76" s="23" t="s">
        <v>562</v>
      </c>
    </row>
    <row r="77" spans="1:14" s="11" customFormat="1" hidden="1" x14ac:dyDescent="0.25">
      <c r="A77" s="54"/>
      <c r="B77" s="4" t="s">
        <v>88</v>
      </c>
      <c r="C77" s="4" t="str">
        <f>RIGHT(Tabela3[[#This Row],[MÓDULO2]],1)</f>
        <v>4</v>
      </c>
      <c r="D77" s="4" t="s">
        <v>12</v>
      </c>
      <c r="E77" s="55">
        <v>373114</v>
      </c>
      <c r="F77" s="4" t="s">
        <v>18</v>
      </c>
      <c r="G77" s="4" t="s">
        <v>21</v>
      </c>
      <c r="H77" s="55"/>
      <c r="I77" s="5">
        <v>44417</v>
      </c>
      <c r="J77" s="4" t="str">
        <f>Tabela3[[#This Row],[CARGO]]</f>
        <v>Assistente Operador Carregamento Grua</v>
      </c>
      <c r="K77" s="42">
        <v>45385</v>
      </c>
      <c r="L77" s="5"/>
      <c r="M77" s="23"/>
    </row>
    <row r="78" spans="1:14" s="11" customFormat="1" hidden="1" x14ac:dyDescent="0.25">
      <c r="A78" s="54"/>
      <c r="B78" s="4" t="s">
        <v>116</v>
      </c>
      <c r="C78" s="4" t="str">
        <f>RIGHT(Tabela3[[#This Row],[MÓDULO2]],1)</f>
        <v>4</v>
      </c>
      <c r="D78" s="4" t="s">
        <v>12</v>
      </c>
      <c r="E78" s="55">
        <v>373114</v>
      </c>
      <c r="F78" s="4" t="s">
        <v>18</v>
      </c>
      <c r="G78" s="4" t="s">
        <v>21</v>
      </c>
      <c r="H78" s="55"/>
      <c r="I78" s="5">
        <v>44881</v>
      </c>
      <c r="J78" s="4" t="str">
        <f>Tabela3[[#This Row],[CARGO]]</f>
        <v>Assistente Operador Carregamento Grua</v>
      </c>
      <c r="K78" s="42">
        <v>45383</v>
      </c>
      <c r="L78" s="5"/>
      <c r="M78" s="23"/>
    </row>
    <row r="79" spans="1:14" s="11" customFormat="1" hidden="1" x14ac:dyDescent="0.25">
      <c r="A79" s="54"/>
      <c r="B79" s="4" t="s">
        <v>83</v>
      </c>
      <c r="C79" s="4" t="str">
        <f>RIGHT(Tabela3[[#This Row],[MÓDULO2]],1)</f>
        <v>4</v>
      </c>
      <c r="D79" s="4" t="s">
        <v>12</v>
      </c>
      <c r="E79" s="55">
        <v>373114</v>
      </c>
      <c r="F79" s="4" t="s">
        <v>18</v>
      </c>
      <c r="G79" s="4" t="s">
        <v>21</v>
      </c>
      <c r="H79" s="55"/>
      <c r="I79" s="5">
        <v>45174</v>
      </c>
      <c r="J79" s="4" t="str">
        <f>Tabela3[[#This Row],[CARGO]]</f>
        <v>Assistente Operador Carregamento Grua</v>
      </c>
      <c r="K79" s="42">
        <v>45504</v>
      </c>
      <c r="L79" s="5"/>
      <c r="M79" s="23"/>
    </row>
    <row r="80" spans="1:14" s="148" customFormat="1" x14ac:dyDescent="0.25">
      <c r="A80" s="54">
        <v>37008020</v>
      </c>
      <c r="B80" s="55" t="s">
        <v>96</v>
      </c>
      <c r="C80" s="55" t="str">
        <f>RIGHT(Tabela3[[#This Row],[MÓDULO2]],1)</f>
        <v>5</v>
      </c>
      <c r="D80" s="55" t="s">
        <v>54</v>
      </c>
      <c r="E80" s="55">
        <v>373114</v>
      </c>
      <c r="F80" s="55" t="s">
        <v>13</v>
      </c>
      <c r="G80" s="55" t="s">
        <v>14</v>
      </c>
      <c r="H80" s="55">
        <v>20026063</v>
      </c>
      <c r="I80" s="56">
        <v>44713</v>
      </c>
      <c r="J80" s="55" t="str">
        <f>Tabela3[[#This Row],[CARGO]]</f>
        <v>Oper Maqs Florestais I Grua</v>
      </c>
      <c r="K80" s="57"/>
      <c r="L80" s="56" t="s">
        <v>360</v>
      </c>
      <c r="M80" s="23" t="s">
        <v>562</v>
      </c>
    </row>
    <row r="81" spans="1:14" s="11" customFormat="1" hidden="1" x14ac:dyDescent="0.25">
      <c r="A81" s="54"/>
      <c r="B81" s="51" t="s">
        <v>86</v>
      </c>
      <c r="C81" s="51" t="str">
        <f>RIGHT(Tabela3[[#This Row],[MÓDULO2]],1)</f>
        <v>5</v>
      </c>
      <c r="D81" s="51" t="s">
        <v>12</v>
      </c>
      <c r="E81" s="55">
        <v>373114</v>
      </c>
      <c r="F81" s="51" t="s">
        <v>13</v>
      </c>
      <c r="G81" s="51" t="s">
        <v>14</v>
      </c>
      <c r="H81" s="55"/>
      <c r="I81" s="146">
        <v>45083</v>
      </c>
      <c r="J81" s="51" t="str">
        <f>Tabela3[[#This Row],[CARGO]]</f>
        <v>Assistente Operador Carregamento Grua</v>
      </c>
      <c r="K81" s="147">
        <v>45639</v>
      </c>
      <c r="L81" s="5" t="s">
        <v>360</v>
      </c>
      <c r="M81" s="23"/>
    </row>
    <row r="82" spans="1:14" s="11" customFormat="1" x14ac:dyDescent="0.25">
      <c r="A82" s="54">
        <v>37013758</v>
      </c>
      <c r="B82" s="55" t="s">
        <v>156</v>
      </c>
      <c r="C82" s="55" t="str">
        <f>RIGHT(Tabela3[[#This Row],[MÓDULO2]],1)</f>
        <v>5</v>
      </c>
      <c r="D82" s="4" t="s">
        <v>12</v>
      </c>
      <c r="E82" s="55">
        <v>373114</v>
      </c>
      <c r="F82" s="55" t="s">
        <v>13</v>
      </c>
      <c r="G82" s="55" t="s">
        <v>14</v>
      </c>
      <c r="H82" s="55">
        <v>20056393</v>
      </c>
      <c r="I82" s="56">
        <v>45153</v>
      </c>
      <c r="J82" s="55" t="str">
        <f>Tabela3[[#This Row],[CARGO]]</f>
        <v>Assistente Operador Carregamento Grua</v>
      </c>
      <c r="K82" s="57"/>
      <c r="L82" s="56" t="s">
        <v>360</v>
      </c>
      <c r="M82" s="23" t="s">
        <v>562</v>
      </c>
    </row>
    <row r="83" spans="1:14" s="11" customFormat="1" x14ac:dyDescent="0.25">
      <c r="A83" s="54">
        <v>37011464</v>
      </c>
      <c r="B83" s="55" t="s">
        <v>149</v>
      </c>
      <c r="C83" s="55" t="str">
        <f>RIGHT(Tabela3[[#This Row],[MÓDULO2]],1)</f>
        <v>5</v>
      </c>
      <c r="D83" s="55" t="s">
        <v>54</v>
      </c>
      <c r="E83" s="55">
        <v>373114</v>
      </c>
      <c r="F83" s="55" t="s">
        <v>13</v>
      </c>
      <c r="G83" s="55" t="s">
        <v>14</v>
      </c>
      <c r="H83" s="55">
        <v>20044123</v>
      </c>
      <c r="I83" s="56">
        <v>44991</v>
      </c>
      <c r="J83" s="55" t="str">
        <f>Tabela3[[#This Row],[CARGO]]</f>
        <v>Oper Maqs Florestais I Grua</v>
      </c>
      <c r="K83" s="57"/>
      <c r="L83" s="56" t="s">
        <v>360</v>
      </c>
      <c r="M83" s="23" t="s">
        <v>562</v>
      </c>
    </row>
    <row r="84" spans="1:14" s="11" customFormat="1" hidden="1" x14ac:dyDescent="0.25">
      <c r="A84" s="54"/>
      <c r="B84" s="55" t="s">
        <v>60</v>
      </c>
      <c r="C84" s="55" t="str">
        <f>RIGHT(Tabela3[[#This Row],[MÓDULO2]],1)</f>
        <v>5</v>
      </c>
      <c r="D84" s="55" t="s">
        <v>12</v>
      </c>
      <c r="E84" s="55">
        <v>373114</v>
      </c>
      <c r="F84" s="55" t="s">
        <v>13</v>
      </c>
      <c r="G84" s="55" t="s">
        <v>14</v>
      </c>
      <c r="H84" s="55"/>
      <c r="I84" s="56">
        <v>44837</v>
      </c>
      <c r="J84" s="55" t="str">
        <f>Tabela3[[#This Row],[CARGO]]</f>
        <v>Assistente Operador Carregamento Grua</v>
      </c>
      <c r="K84" s="57">
        <v>45701</v>
      </c>
      <c r="L84" s="56" t="s">
        <v>360</v>
      </c>
      <c r="M84" s="23"/>
    </row>
    <row r="85" spans="1:14" s="11" customFormat="1" x14ac:dyDescent="0.25">
      <c r="A85" s="54">
        <v>37006237</v>
      </c>
      <c r="B85" s="55" t="s">
        <v>11</v>
      </c>
      <c r="C85" s="55" t="str">
        <f>RIGHT(Tabela3[[#This Row],[MÓDULO2]],1)</f>
        <v>5</v>
      </c>
      <c r="D85" s="55" t="s">
        <v>12</v>
      </c>
      <c r="E85" s="55">
        <v>373114</v>
      </c>
      <c r="F85" s="55" t="s">
        <v>13</v>
      </c>
      <c r="G85" s="55" t="s">
        <v>14</v>
      </c>
      <c r="H85" s="55">
        <v>20016982</v>
      </c>
      <c r="I85" s="56">
        <v>44431</v>
      </c>
      <c r="J85" s="55" t="str">
        <f>Tabela3[[#This Row],[CARGO]]</f>
        <v>Assistente Operador Carregamento Grua</v>
      </c>
      <c r="K85" s="57"/>
      <c r="L85" s="56" t="s">
        <v>360</v>
      </c>
      <c r="M85" s="23" t="s">
        <v>562</v>
      </c>
    </row>
    <row r="86" spans="1:14" s="11" customFormat="1" x14ac:dyDescent="0.25">
      <c r="A86" s="54">
        <v>37019174</v>
      </c>
      <c r="B86" s="199" t="s">
        <v>557</v>
      </c>
      <c r="C86" s="55" t="str">
        <f>RIGHT(Tabela3[[#This Row],[MÓDULO2]],1)</f>
        <v>5</v>
      </c>
      <c r="D86" s="55" t="s">
        <v>54</v>
      </c>
      <c r="E86" s="55">
        <v>373114</v>
      </c>
      <c r="F86" s="55" t="s">
        <v>13</v>
      </c>
      <c r="G86" s="55" t="s">
        <v>14</v>
      </c>
      <c r="H86" s="55">
        <v>20077381</v>
      </c>
      <c r="I86" s="56">
        <v>45545</v>
      </c>
      <c r="J86" s="55" t="str">
        <f>Tabela3[[#This Row],[CARGO]]</f>
        <v>Oper Maqs Florestais I Grua</v>
      </c>
      <c r="K86" s="57"/>
      <c r="L86" s="56"/>
      <c r="M86" s="23" t="s">
        <v>562</v>
      </c>
    </row>
    <row r="87" spans="1:14" s="154" customFormat="1" x14ac:dyDescent="0.25">
      <c r="A87" s="54">
        <v>37009726</v>
      </c>
      <c r="B87" s="55" t="s">
        <v>491</v>
      </c>
      <c r="C87" s="55" t="str">
        <f>RIGHT(Tabela3[[#This Row],[MÓDULO2]],1)</f>
        <v>5</v>
      </c>
      <c r="D87" s="55" t="s">
        <v>12</v>
      </c>
      <c r="E87" s="55">
        <v>373114</v>
      </c>
      <c r="F87" s="55" t="s">
        <v>13</v>
      </c>
      <c r="G87" s="55" t="s">
        <v>14</v>
      </c>
      <c r="H87" s="55">
        <v>20036011</v>
      </c>
      <c r="I87" s="56">
        <v>44851</v>
      </c>
      <c r="J87" s="55" t="str">
        <f>Tabela3[[#This Row],[CARGO]]</f>
        <v>Assistente Operador Carregamento Grua</v>
      </c>
      <c r="K87" s="57"/>
      <c r="L87" s="56"/>
      <c r="M87" s="23" t="s">
        <v>562</v>
      </c>
    </row>
    <row r="88" spans="1:14" s="11" customFormat="1" hidden="1" x14ac:dyDescent="0.25">
      <c r="A88" s="54"/>
      <c r="B88" s="55" t="s">
        <v>31</v>
      </c>
      <c r="C88" s="55" t="str">
        <f>RIGHT(Tabela3[[#This Row],[MÓDULO2]],1)</f>
        <v>5</v>
      </c>
      <c r="D88" s="55" t="s">
        <v>12</v>
      </c>
      <c r="E88" s="55">
        <v>373114</v>
      </c>
      <c r="F88" s="55" t="s">
        <v>13</v>
      </c>
      <c r="G88" s="55" t="s">
        <v>14</v>
      </c>
      <c r="H88" s="55">
        <v>20059011</v>
      </c>
      <c r="I88" s="56">
        <v>45181</v>
      </c>
      <c r="J88" s="55" t="str">
        <f>Tabela3[[#This Row],[CARGO]]</f>
        <v>Assistente Operador Carregamento Grua</v>
      </c>
      <c r="K88" s="57" t="s">
        <v>567</v>
      </c>
      <c r="L88" s="56" t="s">
        <v>360</v>
      </c>
      <c r="M88" s="23" t="s">
        <v>562</v>
      </c>
    </row>
    <row r="89" spans="1:14" s="11" customFormat="1" hidden="1" x14ac:dyDescent="0.25">
      <c r="A89" s="54"/>
      <c r="B89" s="4" t="s">
        <v>53</v>
      </c>
      <c r="C89" s="4" t="str">
        <f>RIGHT(Tabela3[[#This Row],[MÓDULO2]],1)</f>
        <v>5</v>
      </c>
      <c r="D89" s="4" t="s">
        <v>54</v>
      </c>
      <c r="E89" s="55">
        <v>373114</v>
      </c>
      <c r="F89" s="4" t="s">
        <v>13</v>
      </c>
      <c r="G89" s="4" t="s">
        <v>14</v>
      </c>
      <c r="H89" s="55"/>
      <c r="I89" s="5">
        <v>44431</v>
      </c>
      <c r="J89" s="4" t="str">
        <f>Tabela3[[#This Row],[CARGO]]</f>
        <v>Oper Maqs Florestais I Grua</v>
      </c>
      <c r="K89" s="202">
        <v>45357</v>
      </c>
      <c r="L89" s="5"/>
      <c r="M89" s="23"/>
    </row>
    <row r="90" spans="1:14" s="11" customFormat="1" hidden="1" x14ac:dyDescent="0.25">
      <c r="A90" s="54"/>
      <c r="B90" s="4" t="s">
        <v>99</v>
      </c>
      <c r="C90" s="4" t="str">
        <f>RIGHT(Tabela3[[#This Row],[MÓDULO2]],1)</f>
        <v>5</v>
      </c>
      <c r="D90" s="4" t="s">
        <v>54</v>
      </c>
      <c r="E90" s="55">
        <v>373114</v>
      </c>
      <c r="F90" s="4" t="s">
        <v>13</v>
      </c>
      <c r="G90" s="4" t="s">
        <v>14</v>
      </c>
      <c r="H90" s="55"/>
      <c r="I90" s="5">
        <v>45118</v>
      </c>
      <c r="J90" s="4" t="str">
        <f>Tabela3[[#This Row],[CARGO]]</f>
        <v>Oper Maqs Florestais I Grua</v>
      </c>
      <c r="K90" s="42">
        <v>45538</v>
      </c>
      <c r="L90" s="5"/>
      <c r="M90" s="23"/>
    </row>
    <row r="91" spans="1:14" hidden="1" x14ac:dyDescent="0.25">
      <c r="A91" s="54"/>
      <c r="B91" s="4" t="s">
        <v>128</v>
      </c>
      <c r="C91" s="4" t="str">
        <f>RIGHT(Tabela3[[#This Row],[MÓDULO2]],1)</f>
        <v>5</v>
      </c>
      <c r="D91" s="4" t="s">
        <v>129</v>
      </c>
      <c r="E91" s="55">
        <v>373114</v>
      </c>
      <c r="F91" s="4" t="s">
        <v>13</v>
      </c>
      <c r="G91" s="4" t="s">
        <v>14</v>
      </c>
      <c r="H91" s="55"/>
      <c r="I91" s="5"/>
      <c r="J91" s="4" t="str">
        <f>Tabela3[[#This Row],[CARGO]]</f>
        <v>Operador Trainee Campo</v>
      </c>
      <c r="K91" s="42">
        <v>45386</v>
      </c>
      <c r="L91" s="5"/>
      <c r="M91" s="23"/>
      <c r="N91"/>
    </row>
    <row r="92" spans="1:14" s="11" customFormat="1" hidden="1" x14ac:dyDescent="0.25">
      <c r="A92" s="54"/>
      <c r="B92" s="4" t="s">
        <v>145</v>
      </c>
      <c r="C92" s="4" t="str">
        <f>RIGHT(Tabela3[[#This Row],[MÓDULO2]],1)</f>
        <v>5</v>
      </c>
      <c r="D92" s="4" t="s">
        <v>12</v>
      </c>
      <c r="E92" s="55">
        <v>373114</v>
      </c>
      <c r="F92" s="4" t="s">
        <v>13</v>
      </c>
      <c r="G92" s="4" t="s">
        <v>14</v>
      </c>
      <c r="H92" s="55"/>
      <c r="I92" s="5">
        <v>44986</v>
      </c>
      <c r="J92" s="4" t="str">
        <f>Tabela3[[#This Row],[CARGO]]</f>
        <v>Assistente Operador Carregamento Grua</v>
      </c>
      <c r="K92" s="42">
        <v>45386</v>
      </c>
      <c r="L92" s="5"/>
      <c r="M92" s="23"/>
    </row>
    <row r="93" spans="1:14" s="11" customFormat="1" hidden="1" x14ac:dyDescent="0.25">
      <c r="A93" s="54"/>
      <c r="B93" s="4" t="s">
        <v>160</v>
      </c>
      <c r="C93" s="4" t="str">
        <f>RIGHT(Tabela3[[#This Row],[MÓDULO2]],1)</f>
        <v>5</v>
      </c>
      <c r="D93" s="4" t="s">
        <v>12</v>
      </c>
      <c r="E93" s="55">
        <v>373114</v>
      </c>
      <c r="F93" s="4" t="s">
        <v>13</v>
      </c>
      <c r="G93" s="4" t="s">
        <v>14</v>
      </c>
      <c r="H93" s="55"/>
      <c r="I93" s="5">
        <v>44844</v>
      </c>
      <c r="J93" s="4" t="str">
        <f>Tabela3[[#This Row],[CARGO]]</f>
        <v>Assistente Operador Carregamento Grua</v>
      </c>
      <c r="K93" s="42">
        <v>45338</v>
      </c>
      <c r="L93" s="5"/>
      <c r="M93" s="23"/>
    </row>
    <row r="94" spans="1:14" s="11" customFormat="1" x14ac:dyDescent="0.25">
      <c r="A94" s="54">
        <v>37011459</v>
      </c>
      <c r="B94" s="55" t="s">
        <v>33</v>
      </c>
      <c r="C94" s="55" t="str">
        <f>RIGHT(Tabela3[[#This Row],[MÓDULO2]],1)</f>
        <v>5</v>
      </c>
      <c r="D94" s="55" t="s">
        <v>12</v>
      </c>
      <c r="E94" s="55">
        <v>373114</v>
      </c>
      <c r="F94" s="55" t="s">
        <v>13</v>
      </c>
      <c r="G94" s="55" t="s">
        <v>14</v>
      </c>
      <c r="H94" s="55">
        <v>20044118</v>
      </c>
      <c r="I94" s="56">
        <v>44991</v>
      </c>
      <c r="J94" s="55" t="str">
        <f>Tabela3[[#This Row],[CARGO]]</f>
        <v>Assistente Operador Carregamento Grua</v>
      </c>
      <c r="K94" s="57"/>
      <c r="L94" s="56" t="s">
        <v>360</v>
      </c>
      <c r="M94" s="23" t="s">
        <v>562</v>
      </c>
    </row>
    <row r="95" spans="1:14" x14ac:dyDescent="0.25">
      <c r="A95" s="54">
        <v>37009549</v>
      </c>
      <c r="B95" s="55" t="s">
        <v>15</v>
      </c>
      <c r="C95" s="55" t="str">
        <f>RIGHT(Tabela3[[#This Row],[MÓDULO2]],1)</f>
        <v>5</v>
      </c>
      <c r="D95" s="55" t="s">
        <v>12</v>
      </c>
      <c r="E95" s="55">
        <v>373114</v>
      </c>
      <c r="F95" s="55" t="s">
        <v>13</v>
      </c>
      <c r="G95" s="55" t="s">
        <v>14</v>
      </c>
      <c r="H95" s="55">
        <v>20035367</v>
      </c>
      <c r="I95" s="56">
        <v>44837</v>
      </c>
      <c r="J95" s="55" t="str">
        <f>Tabela3[[#This Row],[CARGO]]</f>
        <v>Assistente Operador Carregamento Grua</v>
      </c>
      <c r="K95" s="57"/>
      <c r="L95" s="56" t="s">
        <v>360</v>
      </c>
      <c r="M95" s="23" t="s">
        <v>562</v>
      </c>
      <c r="N95"/>
    </row>
    <row r="96" spans="1:14" x14ac:dyDescent="0.25">
      <c r="A96" s="54">
        <v>37012631</v>
      </c>
      <c r="B96" s="55" t="s">
        <v>112</v>
      </c>
      <c r="C96" s="55" t="str">
        <f>RIGHT(Tabela3[[#This Row],[MÓDULO2]],1)</f>
        <v>5</v>
      </c>
      <c r="D96" s="55" t="s">
        <v>54</v>
      </c>
      <c r="E96" s="55">
        <v>373114</v>
      </c>
      <c r="F96" s="55" t="s">
        <v>13</v>
      </c>
      <c r="G96" s="55" t="s">
        <v>14</v>
      </c>
      <c r="H96" s="55">
        <v>20051117</v>
      </c>
      <c r="I96" s="56">
        <v>45083</v>
      </c>
      <c r="J96" s="55" t="str">
        <f>Tabela3[[#This Row],[CARGO]]</f>
        <v>Oper Maqs Florestais I Grua</v>
      </c>
      <c r="K96" s="57"/>
      <c r="L96" s="56" t="s">
        <v>360</v>
      </c>
      <c r="M96" s="23" t="s">
        <v>562</v>
      </c>
      <c r="N96"/>
    </row>
    <row r="97" spans="1:14" x14ac:dyDescent="0.25">
      <c r="A97" s="54">
        <v>37009276</v>
      </c>
      <c r="B97" s="55" t="s">
        <v>111</v>
      </c>
      <c r="C97" s="55" t="str">
        <f>RIGHT(Tabela3[[#This Row],[MÓDULO2]],1)</f>
        <v>5</v>
      </c>
      <c r="D97" s="55" t="s">
        <v>54</v>
      </c>
      <c r="E97" s="55">
        <v>373114</v>
      </c>
      <c r="F97" s="55" t="s">
        <v>13</v>
      </c>
      <c r="G97" s="55" t="s">
        <v>14</v>
      </c>
      <c r="H97" s="55">
        <v>20033041</v>
      </c>
      <c r="I97" s="56">
        <v>44809</v>
      </c>
      <c r="J97" s="55" t="str">
        <f>Tabela3[[#This Row],[CARGO]]</f>
        <v>Oper Maqs Florestais I Grua</v>
      </c>
      <c r="K97" s="57"/>
      <c r="L97" s="56" t="s">
        <v>360</v>
      </c>
      <c r="M97" s="23" t="s">
        <v>562</v>
      </c>
      <c r="N97"/>
    </row>
    <row r="98" spans="1:14" hidden="1" x14ac:dyDescent="0.25">
      <c r="A98" s="54"/>
      <c r="B98" s="55" t="s">
        <v>71</v>
      </c>
      <c r="C98" s="55" t="str">
        <f>RIGHT(Tabela3[[#This Row],[MÓDULO2]],1)</f>
        <v>5</v>
      </c>
      <c r="D98" s="55" t="s">
        <v>12</v>
      </c>
      <c r="E98" s="55">
        <v>373114</v>
      </c>
      <c r="F98" s="55" t="s">
        <v>13</v>
      </c>
      <c r="G98" s="55" t="s">
        <v>14</v>
      </c>
      <c r="H98" s="55"/>
      <c r="I98" s="56">
        <v>44795</v>
      </c>
      <c r="J98" s="55" t="str">
        <f>Tabela3[[#This Row],[CARGO]]</f>
        <v>Assistente Operador Carregamento Grua</v>
      </c>
      <c r="K98" s="57">
        <v>45719</v>
      </c>
      <c r="L98" s="56" t="s">
        <v>360</v>
      </c>
      <c r="M98" s="23"/>
      <c r="N98"/>
    </row>
    <row r="99" spans="1:14" s="11" customFormat="1" x14ac:dyDescent="0.25">
      <c r="A99" s="54">
        <v>37009688</v>
      </c>
      <c r="B99" s="55" t="s">
        <v>118</v>
      </c>
      <c r="C99" s="55" t="str">
        <f>RIGHT(Tabela3[[#This Row],[MÓDULO2]],1)</f>
        <v>5</v>
      </c>
      <c r="D99" s="55" t="s">
        <v>54</v>
      </c>
      <c r="E99" s="55">
        <v>373114</v>
      </c>
      <c r="F99" s="55" t="s">
        <v>13</v>
      </c>
      <c r="G99" s="55" t="s">
        <v>14</v>
      </c>
      <c r="H99" s="55">
        <v>20036001</v>
      </c>
      <c r="I99" s="56">
        <v>44851</v>
      </c>
      <c r="J99" s="55" t="str">
        <f>Tabela3[[#This Row],[CARGO]]</f>
        <v>Oper Maqs Florestais I Grua</v>
      </c>
      <c r="K99" s="57"/>
      <c r="L99" s="56" t="s">
        <v>360</v>
      </c>
      <c r="M99" s="23" t="s">
        <v>562</v>
      </c>
    </row>
    <row r="100" spans="1:14" s="11" customFormat="1" x14ac:dyDescent="0.25">
      <c r="A100" s="54">
        <v>37020154</v>
      </c>
      <c r="B100" s="55" t="s">
        <v>467</v>
      </c>
      <c r="C100" s="55" t="str">
        <f>RIGHT(Tabela3[[#This Row],[MÓDULO2]],1)</f>
        <v>5</v>
      </c>
      <c r="D100" s="55" t="s">
        <v>54</v>
      </c>
      <c r="E100" s="55">
        <v>373114</v>
      </c>
      <c r="F100" s="55" t="s">
        <v>13</v>
      </c>
      <c r="G100" s="55" t="s">
        <v>14</v>
      </c>
      <c r="H100" s="55">
        <v>20083001</v>
      </c>
      <c r="I100" s="56">
        <v>45629</v>
      </c>
      <c r="J100" s="55" t="str">
        <f>Tabela3[[#This Row],[CARGO]]</f>
        <v>Oper Maqs Florestais I Grua</v>
      </c>
      <c r="K100" s="57"/>
      <c r="L100" s="56"/>
      <c r="M100" s="23" t="s">
        <v>562</v>
      </c>
    </row>
    <row r="101" spans="1:14" s="11" customFormat="1" x14ac:dyDescent="0.25">
      <c r="A101" s="54">
        <v>37018301</v>
      </c>
      <c r="B101" s="55" t="s">
        <v>159</v>
      </c>
      <c r="C101" s="55" t="str">
        <f>RIGHT(Tabela3[[#This Row],[MÓDULO2]],1)</f>
        <v>5</v>
      </c>
      <c r="D101" s="55" t="s">
        <v>54</v>
      </c>
      <c r="E101" s="55">
        <v>373114</v>
      </c>
      <c r="F101" s="55" t="s">
        <v>13</v>
      </c>
      <c r="G101" s="55" t="s">
        <v>14</v>
      </c>
      <c r="H101" s="55">
        <v>20072860</v>
      </c>
      <c r="I101" s="56">
        <v>45475</v>
      </c>
      <c r="J101" s="55" t="str">
        <f>Tabela3[[#This Row],[CARGO]]</f>
        <v>Oper Maqs Florestais I Grua</v>
      </c>
      <c r="K101" s="57"/>
      <c r="L101" s="56" t="s">
        <v>360</v>
      </c>
      <c r="M101" s="23" t="s">
        <v>562</v>
      </c>
    </row>
    <row r="102" spans="1:14" s="11" customFormat="1" x14ac:dyDescent="0.25">
      <c r="A102" s="54">
        <v>37006524</v>
      </c>
      <c r="B102" s="55" t="s">
        <v>120</v>
      </c>
      <c r="C102" s="55" t="str">
        <f>RIGHT(Tabela3[[#This Row],[MÓDULO2]],1)</f>
        <v>5</v>
      </c>
      <c r="D102" s="55" t="s">
        <v>54</v>
      </c>
      <c r="E102" s="55">
        <v>373114</v>
      </c>
      <c r="F102" s="55" t="s">
        <v>13</v>
      </c>
      <c r="G102" s="55" t="s">
        <v>14</v>
      </c>
      <c r="H102" s="55">
        <v>20018116</v>
      </c>
      <c r="I102" s="56">
        <v>44473</v>
      </c>
      <c r="J102" s="55" t="str">
        <f>Tabela3[[#This Row],[CARGO]]</f>
        <v>Oper Maqs Florestais I Grua</v>
      </c>
      <c r="K102" s="57"/>
      <c r="L102" s="56" t="s">
        <v>360</v>
      </c>
      <c r="M102" s="23" t="s">
        <v>562</v>
      </c>
    </row>
    <row r="103" spans="1:14" s="11" customFormat="1" x14ac:dyDescent="0.25">
      <c r="A103" s="54">
        <v>37006910</v>
      </c>
      <c r="B103" s="55" t="s">
        <v>40</v>
      </c>
      <c r="C103" s="55" t="str">
        <f>RIGHT(Tabela3[[#This Row],[MÓDULO2]],1)</f>
        <v>5</v>
      </c>
      <c r="D103" s="55" t="s">
        <v>12</v>
      </c>
      <c r="E103" s="55">
        <v>373114</v>
      </c>
      <c r="F103" s="55" t="s">
        <v>13</v>
      </c>
      <c r="G103" s="55" t="s">
        <v>14</v>
      </c>
      <c r="H103" s="55">
        <v>20021273</v>
      </c>
      <c r="I103" s="56">
        <v>44550</v>
      </c>
      <c r="J103" s="55" t="str">
        <f>Tabela3[[#This Row],[CARGO]]</f>
        <v>Assistente Operador Carregamento Grua</v>
      </c>
      <c r="K103" s="57"/>
      <c r="L103" s="56" t="s">
        <v>360</v>
      </c>
      <c r="M103" s="23" t="s">
        <v>562</v>
      </c>
    </row>
    <row r="104" spans="1:14" s="11" customFormat="1" x14ac:dyDescent="0.25">
      <c r="A104" s="54">
        <v>37021767</v>
      </c>
      <c r="B104" s="55" t="s">
        <v>560</v>
      </c>
      <c r="C104" s="55" t="str">
        <f>RIGHT(Tabela3[[#This Row],[MÓDULO2]],1)</f>
        <v>6</v>
      </c>
      <c r="D104" s="55" t="s">
        <v>54</v>
      </c>
      <c r="E104" s="55">
        <v>373114</v>
      </c>
      <c r="F104" s="55" t="s">
        <v>29</v>
      </c>
      <c r="G104" s="55" t="s">
        <v>30</v>
      </c>
      <c r="H104" s="55">
        <v>20090319</v>
      </c>
      <c r="I104" s="56">
        <v>45762</v>
      </c>
      <c r="J104" s="55" t="str">
        <f>Tabela3[[#This Row],[CARGO]]</f>
        <v>Oper Maqs Florestais I Grua</v>
      </c>
      <c r="K104" s="57"/>
      <c r="L104" s="56"/>
      <c r="M104" s="23" t="s">
        <v>561</v>
      </c>
    </row>
    <row r="105" spans="1:14" s="11" customFormat="1" hidden="1" x14ac:dyDescent="0.25">
      <c r="A105" s="54"/>
      <c r="B105" s="151" t="s">
        <v>72</v>
      </c>
      <c r="C105" s="151" t="str">
        <f>RIGHT(Tabela3[[#This Row],[MÓDULO2]],1)</f>
        <v>6</v>
      </c>
      <c r="D105" s="151" t="s">
        <v>54</v>
      </c>
      <c r="E105" s="55">
        <v>373114</v>
      </c>
      <c r="F105" s="151" t="s">
        <v>29</v>
      </c>
      <c r="G105" s="151" t="s">
        <v>30</v>
      </c>
      <c r="H105" s="55"/>
      <c r="I105" s="152">
        <v>45475</v>
      </c>
      <c r="J105" s="151" t="str">
        <f>Tabela3[[#This Row],[CARGO]]</f>
        <v>Oper Maqs Florestais I Grua</v>
      </c>
      <c r="K105" s="153">
        <v>45588</v>
      </c>
      <c r="L105" s="120" t="s">
        <v>358</v>
      </c>
      <c r="M105" s="23"/>
    </row>
    <row r="106" spans="1:14" x14ac:dyDescent="0.25">
      <c r="A106" s="54">
        <v>37007170</v>
      </c>
      <c r="B106" s="55" t="s">
        <v>74</v>
      </c>
      <c r="C106" s="55" t="str">
        <f>RIGHT(Tabela3[[#This Row],[MÓDULO2]],1)</f>
        <v>6</v>
      </c>
      <c r="D106" s="55" t="s">
        <v>54</v>
      </c>
      <c r="E106" s="55">
        <v>373114</v>
      </c>
      <c r="F106" s="55" t="s">
        <v>29</v>
      </c>
      <c r="G106" s="55" t="s">
        <v>30</v>
      </c>
      <c r="H106" s="55">
        <v>20022973</v>
      </c>
      <c r="I106" s="56">
        <v>44609</v>
      </c>
      <c r="J106" s="55" t="str">
        <f>Tabela3[[#This Row],[CARGO]]</f>
        <v>Oper Maqs Florestais I Grua</v>
      </c>
      <c r="K106" s="57"/>
      <c r="L106" s="56" t="s">
        <v>358</v>
      </c>
      <c r="M106" s="23" t="s">
        <v>562</v>
      </c>
      <c r="N106"/>
    </row>
    <row r="107" spans="1:14" x14ac:dyDescent="0.25">
      <c r="A107" s="54">
        <v>37011696</v>
      </c>
      <c r="B107" s="55" t="s">
        <v>77</v>
      </c>
      <c r="C107" s="55" t="str">
        <f>RIGHT(Tabela3[[#This Row],[MÓDULO2]],1)</f>
        <v>6</v>
      </c>
      <c r="D107" s="55" t="s">
        <v>54</v>
      </c>
      <c r="E107" s="55">
        <v>373114</v>
      </c>
      <c r="F107" s="55" t="s">
        <v>29</v>
      </c>
      <c r="G107" s="55" t="s">
        <v>30</v>
      </c>
      <c r="H107" s="55">
        <v>20045220</v>
      </c>
      <c r="I107" s="56">
        <v>44998</v>
      </c>
      <c r="J107" s="55" t="str">
        <f>Tabela3[[#This Row],[CARGO]]</f>
        <v>Oper Maqs Florestais I Grua</v>
      </c>
      <c r="K107" s="57"/>
      <c r="L107" s="56" t="s">
        <v>358</v>
      </c>
      <c r="M107" s="23" t="s">
        <v>562</v>
      </c>
      <c r="N107"/>
    </row>
    <row r="108" spans="1:14" x14ac:dyDescent="0.25">
      <c r="A108" s="54">
        <v>37014035</v>
      </c>
      <c r="B108" s="55" t="s">
        <v>79</v>
      </c>
      <c r="C108" s="55" t="str">
        <f>RIGHT(Tabela3[[#This Row],[MÓDULO2]],1)</f>
        <v>6</v>
      </c>
      <c r="D108" s="55" t="s">
        <v>54</v>
      </c>
      <c r="E108" s="55">
        <v>373114</v>
      </c>
      <c r="F108" s="55" t="s">
        <v>29</v>
      </c>
      <c r="G108" s="55" t="s">
        <v>30</v>
      </c>
      <c r="H108" s="55">
        <v>20057721</v>
      </c>
      <c r="I108" s="56">
        <v>45160</v>
      </c>
      <c r="J108" s="55" t="str">
        <f>Tabela3[[#This Row],[CARGO]]</f>
        <v>Oper Maqs Florestais I Grua</v>
      </c>
      <c r="K108" s="57"/>
      <c r="L108" s="56" t="s">
        <v>358</v>
      </c>
      <c r="M108" s="23" t="s">
        <v>562</v>
      </c>
      <c r="N108"/>
    </row>
    <row r="109" spans="1:14" x14ac:dyDescent="0.25">
      <c r="A109" s="54">
        <v>37006564</v>
      </c>
      <c r="B109" s="55" t="s">
        <v>28</v>
      </c>
      <c r="C109" s="55" t="str">
        <f>RIGHT(Tabela3[[#This Row],[MÓDULO2]],1)</f>
        <v>6</v>
      </c>
      <c r="D109" s="55" t="s">
        <v>12</v>
      </c>
      <c r="E109" s="55">
        <v>373114</v>
      </c>
      <c r="F109" s="55" t="s">
        <v>29</v>
      </c>
      <c r="G109" s="55" t="s">
        <v>30</v>
      </c>
      <c r="H109" s="55">
        <v>20018140</v>
      </c>
      <c r="I109" s="56">
        <v>44473</v>
      </c>
      <c r="J109" s="55" t="str">
        <f>Tabela3[[#This Row],[CARGO]]</f>
        <v>Assistente Operador Carregamento Grua</v>
      </c>
      <c r="K109" s="57"/>
      <c r="L109" s="56" t="s">
        <v>358</v>
      </c>
      <c r="M109" s="23" t="s">
        <v>562</v>
      </c>
      <c r="N109"/>
    </row>
    <row r="110" spans="1:14" hidden="1" x14ac:dyDescent="0.25">
      <c r="A110" s="54"/>
      <c r="B110" s="4" t="s">
        <v>61</v>
      </c>
      <c r="C110" s="4" t="str">
        <f>RIGHT(Tabela3[[#This Row],[MÓDULO2]],1)</f>
        <v>6</v>
      </c>
      <c r="D110" s="4" t="s">
        <v>12</v>
      </c>
      <c r="E110" s="55">
        <v>373114</v>
      </c>
      <c r="F110" s="4" t="s">
        <v>29</v>
      </c>
      <c r="G110" s="4" t="s">
        <v>30</v>
      </c>
      <c r="H110" s="55"/>
      <c r="I110" s="5">
        <v>44459</v>
      </c>
      <c r="J110" s="4" t="str">
        <f>Tabela3[[#This Row],[CARGO]]</f>
        <v>Assistente Operador Carregamento Grua</v>
      </c>
      <c r="K110" s="42">
        <v>45366</v>
      </c>
      <c r="L110" s="5"/>
      <c r="M110" s="23"/>
      <c r="N110"/>
    </row>
    <row r="111" spans="1:14" s="11" customFormat="1" hidden="1" x14ac:dyDescent="0.25">
      <c r="A111" s="54"/>
      <c r="B111" s="4" t="s">
        <v>68</v>
      </c>
      <c r="C111" s="4" t="str">
        <f>RIGHT(Tabela3[[#This Row],[MÓDULO2]],1)</f>
        <v>6</v>
      </c>
      <c r="D111" s="4" t="s">
        <v>12</v>
      </c>
      <c r="E111" s="55">
        <v>373114</v>
      </c>
      <c r="F111" s="4" t="s">
        <v>29</v>
      </c>
      <c r="G111" s="4" t="s">
        <v>30</v>
      </c>
      <c r="H111" s="55"/>
      <c r="I111" s="5">
        <v>44459</v>
      </c>
      <c r="J111" s="4" t="str">
        <f>Tabela3[[#This Row],[CARGO]]</f>
        <v>Assistente Operador Carregamento Grua</v>
      </c>
      <c r="K111" s="42">
        <v>45450</v>
      </c>
      <c r="L111" s="5"/>
      <c r="M111" s="23"/>
    </row>
    <row r="112" spans="1:14" s="11" customFormat="1" x14ac:dyDescent="0.25">
      <c r="A112" s="54">
        <v>37009555</v>
      </c>
      <c r="B112" s="55" t="s">
        <v>97</v>
      </c>
      <c r="C112" s="55" t="str">
        <f>RIGHT(Tabela3[[#This Row],[MÓDULO2]],1)</f>
        <v>6</v>
      </c>
      <c r="D112" s="55" t="s">
        <v>54</v>
      </c>
      <c r="E112" s="55">
        <v>373114</v>
      </c>
      <c r="F112" s="55" t="s">
        <v>29</v>
      </c>
      <c r="G112" s="55" t="s">
        <v>30</v>
      </c>
      <c r="H112" s="55">
        <v>20035348</v>
      </c>
      <c r="I112" s="56">
        <v>44837</v>
      </c>
      <c r="J112" s="55" t="str">
        <f>Tabela3[[#This Row],[CARGO]]</f>
        <v>Oper Maqs Florestais I Grua</v>
      </c>
      <c r="K112" s="56"/>
      <c r="L112" s="56" t="s">
        <v>358</v>
      </c>
      <c r="M112" s="23" t="s">
        <v>562</v>
      </c>
    </row>
    <row r="113" spans="1:14" s="11" customFormat="1" x14ac:dyDescent="0.25">
      <c r="A113" s="54">
        <v>37013711</v>
      </c>
      <c r="B113" s="55" t="s">
        <v>127</v>
      </c>
      <c r="C113" s="55" t="str">
        <f>RIGHT(Tabela3[[#This Row],[MÓDULO2]],1)</f>
        <v>6</v>
      </c>
      <c r="D113" s="55" t="s">
        <v>54</v>
      </c>
      <c r="E113" s="55">
        <v>373114</v>
      </c>
      <c r="F113" s="55" t="s">
        <v>29</v>
      </c>
      <c r="G113" s="55" t="s">
        <v>30</v>
      </c>
      <c r="H113" s="55">
        <v>20056306</v>
      </c>
      <c r="I113" s="56">
        <v>45153</v>
      </c>
      <c r="J113" s="55" t="str">
        <f>Tabela3[[#This Row],[CARGO]]</f>
        <v>Oper Maqs Florestais I Grua</v>
      </c>
      <c r="K113" s="57"/>
      <c r="L113" s="56" t="s">
        <v>358</v>
      </c>
      <c r="M113" s="23" t="s">
        <v>562</v>
      </c>
    </row>
    <row r="114" spans="1:14" s="11" customFormat="1" x14ac:dyDescent="0.25">
      <c r="A114" s="54">
        <v>37009283</v>
      </c>
      <c r="B114" s="55" t="s">
        <v>103</v>
      </c>
      <c r="C114" s="55" t="str">
        <f>RIGHT(Tabela3[[#This Row],[MÓDULO2]],1)</f>
        <v>6</v>
      </c>
      <c r="D114" s="55" t="s">
        <v>54</v>
      </c>
      <c r="E114" s="55">
        <v>373114</v>
      </c>
      <c r="F114" s="55" t="s">
        <v>29</v>
      </c>
      <c r="G114" s="55" t="s">
        <v>30</v>
      </c>
      <c r="H114" s="55">
        <v>20032966</v>
      </c>
      <c r="I114" s="56">
        <v>44809</v>
      </c>
      <c r="J114" s="55" t="str">
        <f>Tabela3[[#This Row],[CARGO]]</f>
        <v>Oper Maqs Florestais I Grua</v>
      </c>
      <c r="K114" s="57"/>
      <c r="L114" s="56" t="s">
        <v>358</v>
      </c>
      <c r="M114" s="23" t="s">
        <v>562</v>
      </c>
    </row>
    <row r="115" spans="1:14" s="11" customFormat="1" x14ac:dyDescent="0.25">
      <c r="A115" s="54">
        <v>37006417</v>
      </c>
      <c r="B115" s="55" t="s">
        <v>36</v>
      </c>
      <c r="C115" s="55" t="str">
        <f>RIGHT(Tabela3[[#This Row],[MÓDULO2]],1)</f>
        <v>6</v>
      </c>
      <c r="D115" s="55" t="s">
        <v>12</v>
      </c>
      <c r="E115" s="55">
        <v>373114</v>
      </c>
      <c r="F115" s="55" t="s">
        <v>29</v>
      </c>
      <c r="G115" s="55" t="s">
        <v>30</v>
      </c>
      <c r="H115" s="55">
        <v>20017829</v>
      </c>
      <c r="I115" s="56">
        <v>44459</v>
      </c>
      <c r="J115" s="55" t="str">
        <f>Tabela3[[#This Row],[CARGO]]</f>
        <v>Assistente Operador Carregamento Grua</v>
      </c>
      <c r="K115" s="56"/>
      <c r="L115" s="56" t="s">
        <v>358</v>
      </c>
      <c r="M115" s="23" t="s">
        <v>562</v>
      </c>
    </row>
    <row r="116" spans="1:14" s="11" customFormat="1" x14ac:dyDescent="0.25">
      <c r="A116" s="54">
        <v>37018778</v>
      </c>
      <c r="B116" s="55" t="s">
        <v>167</v>
      </c>
      <c r="C116" s="55" t="str">
        <f>RIGHT(Tabela3[[#This Row],[MÓDULO2]],1)</f>
        <v>6</v>
      </c>
      <c r="D116" s="55" t="s">
        <v>54</v>
      </c>
      <c r="E116" s="55">
        <v>373114</v>
      </c>
      <c r="F116" s="55" t="s">
        <v>29</v>
      </c>
      <c r="G116" s="55" t="s">
        <v>30</v>
      </c>
      <c r="H116" s="55">
        <v>20075064</v>
      </c>
      <c r="I116" s="56">
        <v>45510</v>
      </c>
      <c r="J116" s="55" t="str">
        <f>Tabela3[[#This Row],[CARGO]]</f>
        <v>Oper Maqs Florestais I Grua</v>
      </c>
      <c r="K116" s="56"/>
      <c r="L116" s="56" t="s">
        <v>358</v>
      </c>
      <c r="M116" s="23" t="s">
        <v>562</v>
      </c>
    </row>
    <row r="117" spans="1:14" s="11" customFormat="1" x14ac:dyDescent="0.25">
      <c r="A117" s="54">
        <v>37014130</v>
      </c>
      <c r="B117" s="55" t="s">
        <v>38</v>
      </c>
      <c r="C117" s="55" t="str">
        <f>RIGHT(Tabela3[[#This Row],[MÓDULO2]],1)</f>
        <v>6</v>
      </c>
      <c r="D117" s="55" t="s">
        <v>12</v>
      </c>
      <c r="E117" s="55">
        <v>373114</v>
      </c>
      <c r="F117" s="55" t="s">
        <v>29</v>
      </c>
      <c r="G117" s="55" t="s">
        <v>30</v>
      </c>
      <c r="H117" s="55">
        <v>20057894</v>
      </c>
      <c r="I117" s="56">
        <v>45160</v>
      </c>
      <c r="J117" s="55" t="str">
        <f>Tabela3[[#This Row],[CARGO]]</f>
        <v>Assistente Operador Carregamento Grua</v>
      </c>
      <c r="K117" s="57"/>
      <c r="L117" s="56" t="s">
        <v>358</v>
      </c>
      <c r="M117" s="23" t="s">
        <v>562</v>
      </c>
    </row>
    <row r="118" spans="1:14" s="11" customFormat="1" x14ac:dyDescent="0.25">
      <c r="A118" s="54">
        <v>37009586</v>
      </c>
      <c r="B118" s="55" t="s">
        <v>119</v>
      </c>
      <c r="C118" s="55" t="str">
        <f>RIGHT(Tabela3[[#This Row],[MÓDULO2]],1)</f>
        <v>6</v>
      </c>
      <c r="D118" s="55" t="s">
        <v>12</v>
      </c>
      <c r="E118" s="55">
        <v>373114</v>
      </c>
      <c r="F118" s="55" t="s">
        <v>29</v>
      </c>
      <c r="G118" s="55" t="s">
        <v>30</v>
      </c>
      <c r="H118" s="55">
        <v>20035362</v>
      </c>
      <c r="I118" s="56">
        <v>44837</v>
      </c>
      <c r="J118" s="55" t="str">
        <f>Tabela3[[#This Row],[CARGO]]</f>
        <v>Assistente Operador Carregamento Grua</v>
      </c>
      <c r="K118" s="56"/>
      <c r="L118" s="56" t="s">
        <v>358</v>
      </c>
      <c r="M118" s="23" t="s">
        <v>562</v>
      </c>
    </row>
    <row r="119" spans="1:14" s="11" customFormat="1" x14ac:dyDescent="0.25">
      <c r="A119" s="54">
        <v>37006440</v>
      </c>
      <c r="B119" s="55" t="s">
        <v>44</v>
      </c>
      <c r="C119" s="55" t="str">
        <f>RIGHT(Tabela3[[#This Row],[MÓDULO2]],1)</f>
        <v>6</v>
      </c>
      <c r="D119" s="55" t="s">
        <v>12</v>
      </c>
      <c r="E119" s="55">
        <v>373114</v>
      </c>
      <c r="F119" s="55" t="s">
        <v>29</v>
      </c>
      <c r="G119" s="55" t="s">
        <v>30</v>
      </c>
      <c r="H119" s="55">
        <v>20017842</v>
      </c>
      <c r="I119" s="56">
        <v>44459</v>
      </c>
      <c r="J119" s="55" t="str">
        <f>Tabela3[[#This Row],[CARGO]]</f>
        <v>Assistente Operador Carregamento Grua</v>
      </c>
      <c r="K119" s="56"/>
      <c r="L119" s="56" t="s">
        <v>358</v>
      </c>
      <c r="M119" s="23" t="s">
        <v>562</v>
      </c>
    </row>
    <row r="120" spans="1:14" s="11" customFormat="1" x14ac:dyDescent="0.25">
      <c r="A120" s="54">
        <v>37019910</v>
      </c>
      <c r="B120" s="55" t="s">
        <v>398</v>
      </c>
      <c r="C120" s="55" t="str">
        <f>RIGHT(Tabela3[[#This Row],[MÓDULO2]],1)</f>
        <v>6</v>
      </c>
      <c r="D120" s="55" t="s">
        <v>54</v>
      </c>
      <c r="E120" s="55">
        <v>373114</v>
      </c>
      <c r="F120" s="55" t="s">
        <v>29</v>
      </c>
      <c r="G120" s="55" t="s">
        <v>30</v>
      </c>
      <c r="H120" s="55">
        <v>20081387</v>
      </c>
      <c r="I120" s="56">
        <v>45601</v>
      </c>
      <c r="J120" s="55" t="str">
        <f>Tabela3[[#This Row],[CARGO]]</f>
        <v>Oper Maqs Florestais I Grua</v>
      </c>
      <c r="K120" s="57"/>
      <c r="L120" s="56"/>
      <c r="M120" s="23" t="s">
        <v>562</v>
      </c>
    </row>
    <row r="121" spans="1:14" s="11" customFormat="1" hidden="1" x14ac:dyDescent="0.25">
      <c r="B121" s="55" t="s">
        <v>47</v>
      </c>
      <c r="C121" s="55" t="str">
        <f>RIGHT(Tabela3[[#This Row],[MÓDULO2]],1)</f>
        <v>6</v>
      </c>
      <c r="D121" s="55" t="s">
        <v>12</v>
      </c>
      <c r="E121" s="55">
        <v>373114</v>
      </c>
      <c r="F121" s="55" t="s">
        <v>29</v>
      </c>
      <c r="G121" s="55" t="s">
        <v>30</v>
      </c>
      <c r="H121" s="55">
        <v>20017063</v>
      </c>
      <c r="I121" s="56">
        <v>44447</v>
      </c>
      <c r="J121" s="55" t="str">
        <f>Tabela3[[#This Row],[CARGO]]</f>
        <v>Assistente Operador Carregamento Grua</v>
      </c>
      <c r="K121" s="57" t="s">
        <v>568</v>
      </c>
      <c r="L121" s="56" t="s">
        <v>358</v>
      </c>
      <c r="M121" s="23" t="s">
        <v>562</v>
      </c>
    </row>
    <row r="122" spans="1:14" s="11" customFormat="1" x14ac:dyDescent="0.25">
      <c r="A122" s="54">
        <v>37009597</v>
      </c>
      <c r="B122" s="55" t="s">
        <v>56</v>
      </c>
      <c r="C122" s="55" t="str">
        <f>RIGHT(Tabela3[[#This Row],[MÓDULO2]],1)</f>
        <v>6</v>
      </c>
      <c r="D122" s="55" t="s">
        <v>12</v>
      </c>
      <c r="E122" s="55">
        <v>373114</v>
      </c>
      <c r="F122" s="55" t="s">
        <v>29</v>
      </c>
      <c r="G122" s="55" t="s">
        <v>30</v>
      </c>
      <c r="H122" s="55">
        <v>20035356</v>
      </c>
      <c r="I122" s="56">
        <v>44837</v>
      </c>
      <c r="J122" s="55" t="str">
        <f>Tabela3[[#This Row],[CARGO]]</f>
        <v>Assistente Operador Carregamento Grua</v>
      </c>
      <c r="K122" s="57"/>
      <c r="L122" s="56" t="s">
        <v>358</v>
      </c>
      <c r="M122" s="23" t="s">
        <v>562</v>
      </c>
    </row>
    <row r="123" spans="1:14" hidden="1" x14ac:dyDescent="0.25">
      <c r="A123" s="54"/>
      <c r="B123" s="4" t="s">
        <v>34</v>
      </c>
      <c r="C123" s="4" t="str">
        <f>RIGHT(Tabela3[[#This Row],[MÓDULO2]],1)</f>
        <v>7</v>
      </c>
      <c r="D123" s="4" t="s">
        <v>12</v>
      </c>
      <c r="E123" s="55">
        <v>373114</v>
      </c>
      <c r="F123" s="4" t="s">
        <v>29</v>
      </c>
      <c r="G123" s="4" t="s">
        <v>35</v>
      </c>
      <c r="H123" s="55"/>
      <c r="I123" s="5">
        <v>44777</v>
      </c>
      <c r="J123" s="4" t="str">
        <f>Tabela3[[#This Row],[CARGO]]</f>
        <v>Assistente Operador Carregamento Grua</v>
      </c>
      <c r="K123" s="42">
        <v>45490</v>
      </c>
      <c r="L123" s="5"/>
      <c r="M123" s="23"/>
      <c r="N123"/>
    </row>
    <row r="124" spans="1:14" s="11" customFormat="1" hidden="1" x14ac:dyDescent="0.25">
      <c r="A124" s="54"/>
      <c r="B124" s="4" t="s">
        <v>89</v>
      </c>
      <c r="C124" s="4" t="str">
        <f>RIGHT(Tabela3[[#This Row],[MÓDULO2]],1)</f>
        <v>7</v>
      </c>
      <c r="D124" s="4" t="s">
        <v>90</v>
      </c>
      <c r="E124" s="55">
        <v>373114</v>
      </c>
      <c r="F124" s="4" t="s">
        <v>29</v>
      </c>
      <c r="G124" s="4" t="s">
        <v>35</v>
      </c>
      <c r="H124" s="55"/>
      <c r="I124" s="5"/>
      <c r="J124" s="4" t="str">
        <f>Tabela3[[#This Row],[CARGO]]</f>
        <v>Operador Trainee Pátio</v>
      </c>
      <c r="K124" s="42">
        <v>45351</v>
      </c>
      <c r="L124" s="5"/>
      <c r="M124" s="23"/>
    </row>
    <row r="125" spans="1:14" s="11" customFormat="1" hidden="1" x14ac:dyDescent="0.25">
      <c r="A125" s="54"/>
      <c r="B125" s="4" t="s">
        <v>91</v>
      </c>
      <c r="C125" s="4" t="str">
        <f>RIGHT(Tabela3[[#This Row],[MÓDULO2]],1)</f>
        <v>7</v>
      </c>
      <c r="D125" s="4" t="s">
        <v>12</v>
      </c>
      <c r="E125" s="55">
        <v>373114</v>
      </c>
      <c r="F125" s="4" t="s">
        <v>29</v>
      </c>
      <c r="G125" s="4" t="s">
        <v>35</v>
      </c>
      <c r="H125" s="55"/>
      <c r="I125" s="5">
        <v>45251</v>
      </c>
      <c r="J125" s="4" t="str">
        <f>Tabela3[[#This Row],[CARGO]]</f>
        <v>Assistente Operador Carregamento Grua</v>
      </c>
      <c r="K125" s="65">
        <v>45541</v>
      </c>
      <c r="L125" s="5"/>
      <c r="M125" s="23"/>
    </row>
    <row r="126" spans="1:14" s="11" customFormat="1" hidden="1" x14ac:dyDescent="0.25">
      <c r="A126" s="54"/>
      <c r="B126" s="4" t="s">
        <v>67</v>
      </c>
      <c r="C126" s="4" t="str">
        <f>RIGHT(Tabela3[[#This Row],[MÓDULO2]],1)</f>
        <v>7</v>
      </c>
      <c r="D126" s="4" t="s">
        <v>12</v>
      </c>
      <c r="E126" s="55">
        <v>373114</v>
      </c>
      <c r="F126" s="4" t="s">
        <v>29</v>
      </c>
      <c r="G126" s="4" t="s">
        <v>35</v>
      </c>
      <c r="H126" s="55"/>
      <c r="I126" s="5">
        <v>45019</v>
      </c>
      <c r="J126" s="4" t="str">
        <f>Tabela3[[#This Row],[CARGO]]</f>
        <v>Assistente Operador Carregamento Grua</v>
      </c>
      <c r="K126" s="42">
        <v>45483</v>
      </c>
      <c r="L126" s="5"/>
      <c r="M126" s="23"/>
    </row>
    <row r="127" spans="1:14" s="11" customFormat="1" x14ac:dyDescent="0.25">
      <c r="A127" s="54">
        <v>37020879</v>
      </c>
      <c r="B127" s="174" t="s">
        <v>503</v>
      </c>
      <c r="C127" s="55" t="str">
        <f>RIGHT(Tabela3[[#This Row],[MÓDULO2]],1)</f>
        <v>7</v>
      </c>
      <c r="D127" s="55" t="s">
        <v>54</v>
      </c>
      <c r="E127" s="55">
        <v>373114</v>
      </c>
      <c r="F127" s="55" t="s">
        <v>29</v>
      </c>
      <c r="G127" s="55" t="s">
        <v>35</v>
      </c>
      <c r="H127" s="55">
        <v>20085297</v>
      </c>
      <c r="I127" s="56">
        <v>45706</v>
      </c>
      <c r="J127" s="4" t="str">
        <f>Tabela3[[#This Row],[CARGO]]</f>
        <v>Oper Maqs Florestais I Grua</v>
      </c>
      <c r="K127" s="42"/>
      <c r="L127" s="5"/>
      <c r="M127" s="23" t="s">
        <v>562</v>
      </c>
    </row>
    <row r="128" spans="1:14" s="11" customFormat="1" x14ac:dyDescent="0.25">
      <c r="A128" s="54">
        <v>37020190</v>
      </c>
      <c r="B128" s="55" t="s">
        <v>437</v>
      </c>
      <c r="C128" s="55" t="str">
        <f>RIGHT(Tabela3[[#This Row],[MÓDULO2]],1)</f>
        <v>7</v>
      </c>
      <c r="D128" s="55" t="s">
        <v>12</v>
      </c>
      <c r="E128" s="55">
        <v>373114</v>
      </c>
      <c r="F128" s="55" t="s">
        <v>29</v>
      </c>
      <c r="G128" s="55" t="s">
        <v>35</v>
      </c>
      <c r="H128" s="55">
        <v>20083039</v>
      </c>
      <c r="I128" s="56">
        <v>45629</v>
      </c>
      <c r="J128" s="55" t="str">
        <f>Tabela3[[#This Row],[CARGO]]</f>
        <v>Assistente Operador Carregamento Grua</v>
      </c>
      <c r="K128" s="57"/>
      <c r="L128" s="56"/>
      <c r="M128" s="23" t="s">
        <v>562</v>
      </c>
    </row>
    <row r="129" spans="1:14 16379:16380" s="11" customFormat="1" x14ac:dyDescent="0.25">
      <c r="A129" s="54">
        <v>37018974</v>
      </c>
      <c r="B129" s="55" t="s">
        <v>307</v>
      </c>
      <c r="C129" s="55" t="str">
        <f>RIGHT(Tabela3[[#This Row],[MÓDULO2]],1)</f>
        <v>7</v>
      </c>
      <c r="D129" s="55" t="s">
        <v>54</v>
      </c>
      <c r="E129" s="55">
        <v>373114</v>
      </c>
      <c r="F129" s="55" t="s">
        <v>29</v>
      </c>
      <c r="G129" s="55" t="s">
        <v>35</v>
      </c>
      <c r="H129" s="55">
        <v>20076185</v>
      </c>
      <c r="I129" s="56">
        <v>45524</v>
      </c>
      <c r="J129" s="55" t="str">
        <f>Tabela3[[#This Row],[CARGO]]</f>
        <v>Oper Maqs Florestais I Grua</v>
      </c>
      <c r="K129" s="57"/>
      <c r="L129" s="56" t="s">
        <v>359</v>
      </c>
      <c r="M129" s="23" t="s">
        <v>562</v>
      </c>
    </row>
    <row r="130" spans="1:14 16379:16380" s="11" customFormat="1" x14ac:dyDescent="0.25">
      <c r="A130" s="54">
        <v>37011465</v>
      </c>
      <c r="B130" s="55" t="s">
        <v>142</v>
      </c>
      <c r="C130" s="55" t="str">
        <f>RIGHT(Tabela3[[#This Row],[MÓDULO2]],1)</f>
        <v>7</v>
      </c>
      <c r="D130" s="55" t="s">
        <v>54</v>
      </c>
      <c r="E130" s="55">
        <v>373114</v>
      </c>
      <c r="F130" s="55" t="s">
        <v>29</v>
      </c>
      <c r="G130" s="55" t="s">
        <v>35</v>
      </c>
      <c r="H130" s="55">
        <v>20044124</v>
      </c>
      <c r="I130" s="56">
        <v>44991</v>
      </c>
      <c r="J130" s="55" t="str">
        <f>Tabela3[[#This Row],[CARGO]]</f>
        <v>Oper Maqs Florestais I Grua</v>
      </c>
      <c r="K130" s="57"/>
      <c r="L130" s="56" t="s">
        <v>359</v>
      </c>
      <c r="M130" s="23" t="s">
        <v>562</v>
      </c>
    </row>
    <row r="131" spans="1:14 16379:16380" s="11" customFormat="1" x14ac:dyDescent="0.25">
      <c r="A131" s="54">
        <v>37009884</v>
      </c>
      <c r="B131" s="55" t="s">
        <v>105</v>
      </c>
      <c r="C131" s="55" t="str">
        <f>RIGHT(Tabela3[[#This Row],[MÓDULO2]],1)</f>
        <v>7</v>
      </c>
      <c r="D131" s="55" t="s">
        <v>54</v>
      </c>
      <c r="E131" s="55">
        <v>373114</v>
      </c>
      <c r="F131" s="55" t="s">
        <v>29</v>
      </c>
      <c r="G131" s="55" t="s">
        <v>35</v>
      </c>
      <c r="H131" s="55">
        <v>20037219</v>
      </c>
      <c r="I131" s="56">
        <v>44872</v>
      </c>
      <c r="J131" s="55" t="str">
        <f>Tabela3[[#This Row],[CARGO]]</f>
        <v>Oper Maqs Florestais I Grua</v>
      </c>
      <c r="K131" s="57"/>
      <c r="L131" s="56" t="s">
        <v>359</v>
      </c>
      <c r="M131" s="23" t="s">
        <v>562</v>
      </c>
    </row>
    <row r="132" spans="1:14 16379:16380" x14ac:dyDescent="0.25">
      <c r="A132" s="54">
        <v>37018833</v>
      </c>
      <c r="B132" s="55" t="s">
        <v>472</v>
      </c>
      <c r="C132" s="55" t="str">
        <f>RIGHT(Tabela3[[#This Row],[MÓDULO2]],1)</f>
        <v>7</v>
      </c>
      <c r="D132" s="55" t="s">
        <v>54</v>
      </c>
      <c r="E132" s="55">
        <v>373114</v>
      </c>
      <c r="F132" s="55" t="s">
        <v>29</v>
      </c>
      <c r="G132" s="55" t="s">
        <v>35</v>
      </c>
      <c r="H132" s="55">
        <v>20075128</v>
      </c>
      <c r="I132" s="56">
        <v>45510</v>
      </c>
      <c r="J132" s="201" t="str">
        <f>Tabela3[[#This Row],[CARGO]]</f>
        <v>Oper Maqs Florestais I Grua</v>
      </c>
      <c r="K132" s="56"/>
      <c r="L132" s="165" t="s">
        <v>359</v>
      </c>
      <c r="M132" s="23" t="s">
        <v>562</v>
      </c>
      <c r="N132"/>
      <c r="XEY132" s="41"/>
      <c r="XEZ132" s="4"/>
    </row>
    <row r="133" spans="1:14 16379:16380" s="11" customFormat="1" hidden="1" x14ac:dyDescent="0.25">
      <c r="A133" s="54"/>
      <c r="B133" s="55" t="s">
        <v>139</v>
      </c>
      <c r="C133" s="55" t="str">
        <f>RIGHT(Tabela3[[#This Row],[MÓDULO2]],1)</f>
        <v>7</v>
      </c>
      <c r="D133" s="55" t="s">
        <v>54</v>
      </c>
      <c r="E133" s="55">
        <v>373114</v>
      </c>
      <c r="F133" s="55" t="s">
        <v>29</v>
      </c>
      <c r="G133" s="55" t="s">
        <v>35</v>
      </c>
      <c r="H133" s="55"/>
      <c r="I133" s="56">
        <v>44991</v>
      </c>
      <c r="J133" s="55" t="str">
        <f>Tabela3[[#This Row],[CARGO]]</f>
        <v>Oper Maqs Florestais I Grua</v>
      </c>
      <c r="K133" s="57">
        <v>45738</v>
      </c>
      <c r="L133" s="56" t="s">
        <v>359</v>
      </c>
      <c r="M133" s="23"/>
    </row>
    <row r="134" spans="1:14 16379:16380" s="11" customFormat="1" x14ac:dyDescent="0.25">
      <c r="A134" s="54">
        <v>37009170</v>
      </c>
      <c r="B134" s="55" t="s">
        <v>106</v>
      </c>
      <c r="C134" s="55" t="str">
        <f>RIGHT(Tabela3[[#This Row],[MÓDULO2]],1)</f>
        <v>7</v>
      </c>
      <c r="D134" s="55" t="s">
        <v>54</v>
      </c>
      <c r="E134" s="55">
        <v>373114</v>
      </c>
      <c r="F134" s="55" t="s">
        <v>29</v>
      </c>
      <c r="G134" s="55" t="s">
        <v>35</v>
      </c>
      <c r="H134" s="55">
        <v>20031924</v>
      </c>
      <c r="I134" s="56">
        <v>44795</v>
      </c>
      <c r="J134" s="55" t="str">
        <f>Tabela3[[#This Row],[CARGO]]</f>
        <v>Oper Maqs Florestais I Grua</v>
      </c>
      <c r="K134" s="57"/>
      <c r="L134" s="56" t="s">
        <v>359</v>
      </c>
      <c r="M134" s="23" t="s">
        <v>562</v>
      </c>
    </row>
    <row r="135" spans="1:14 16379:16380" hidden="1" x14ac:dyDescent="0.25">
      <c r="A135" s="54"/>
      <c r="B135" s="4" t="s">
        <v>125</v>
      </c>
      <c r="C135" s="4" t="str">
        <f>RIGHT(Tabela3[[#This Row],[MÓDULO2]],1)</f>
        <v>7</v>
      </c>
      <c r="D135" s="4" t="s">
        <v>12</v>
      </c>
      <c r="E135" s="55">
        <v>373114</v>
      </c>
      <c r="F135" s="4" t="s">
        <v>29</v>
      </c>
      <c r="G135" s="4" t="s">
        <v>35</v>
      </c>
      <c r="H135" s="55"/>
      <c r="I135" s="5">
        <v>44777</v>
      </c>
      <c r="J135" s="4" t="str">
        <f>Tabela3[[#This Row],[CARGO]]</f>
        <v>Assistente Operador Carregamento Grua</v>
      </c>
      <c r="K135" s="42">
        <v>45351</v>
      </c>
      <c r="L135" s="5"/>
      <c r="M135" s="23"/>
      <c r="N135"/>
    </row>
    <row r="136" spans="1:14 16379:16380" x14ac:dyDescent="0.25">
      <c r="A136" s="54">
        <v>37006673</v>
      </c>
      <c r="B136" s="55" t="s">
        <v>51</v>
      </c>
      <c r="C136" s="55" t="str">
        <f>RIGHT(Tabela3[[#This Row],[MÓDULO2]],1)</f>
        <v>7</v>
      </c>
      <c r="D136" s="55" t="s">
        <v>12</v>
      </c>
      <c r="E136" s="55">
        <v>373114</v>
      </c>
      <c r="F136" s="55" t="s">
        <v>29</v>
      </c>
      <c r="G136" s="55" t="s">
        <v>35</v>
      </c>
      <c r="H136" s="55">
        <v>20018751</v>
      </c>
      <c r="I136" s="56">
        <v>44503</v>
      </c>
      <c r="J136" s="55" t="str">
        <f>Tabela3[[#This Row],[CARGO]]</f>
        <v>Assistente Operador Carregamento Grua</v>
      </c>
      <c r="K136" s="57"/>
      <c r="L136" s="56" t="s">
        <v>359</v>
      </c>
      <c r="M136" s="23" t="s">
        <v>562</v>
      </c>
      <c r="N136"/>
    </row>
    <row r="137" spans="1:14 16379:16380" x14ac:dyDescent="0.25">
      <c r="A137" s="54">
        <v>37009324</v>
      </c>
      <c r="B137" s="55" t="s">
        <v>76</v>
      </c>
      <c r="C137" s="55" t="str">
        <f>RIGHT(Tabela3[[#This Row],[MÓDULO2]],1)</f>
        <v>7</v>
      </c>
      <c r="D137" s="55" t="s">
        <v>12</v>
      </c>
      <c r="E137" s="55">
        <v>373114</v>
      </c>
      <c r="F137" s="55" t="s">
        <v>29</v>
      </c>
      <c r="G137" s="55" t="s">
        <v>35</v>
      </c>
      <c r="H137" s="55">
        <v>20033025</v>
      </c>
      <c r="I137" s="56">
        <v>44809</v>
      </c>
      <c r="J137" s="55" t="str">
        <f>Tabela3[[#This Row],[CARGO]]</f>
        <v>Assistente Operador Carregamento Grua</v>
      </c>
      <c r="K137" s="57"/>
      <c r="L137" s="56" t="s">
        <v>359</v>
      </c>
      <c r="M137" s="23" t="s">
        <v>562</v>
      </c>
      <c r="N137"/>
    </row>
    <row r="138" spans="1:14 16379:16380" x14ac:dyDescent="0.25">
      <c r="A138" s="54">
        <v>37018842</v>
      </c>
      <c r="B138" s="55" t="s">
        <v>169</v>
      </c>
      <c r="C138" s="55" t="str">
        <f>RIGHT(Tabela3[[#This Row],[MÓDULO2]],1)</f>
        <v>7</v>
      </c>
      <c r="D138" s="55" t="s">
        <v>54</v>
      </c>
      <c r="E138" s="55">
        <v>373114</v>
      </c>
      <c r="F138" s="55" t="s">
        <v>29</v>
      </c>
      <c r="G138" s="55" t="s">
        <v>35</v>
      </c>
      <c r="H138" s="55">
        <v>20075137</v>
      </c>
      <c r="I138" s="56">
        <v>45510</v>
      </c>
      <c r="J138" s="55" t="str">
        <f>Tabela3[[#This Row],[CARGO]]</f>
        <v>Oper Maqs Florestais I Grua</v>
      </c>
      <c r="K138" s="57"/>
      <c r="L138" s="56" t="s">
        <v>359</v>
      </c>
      <c r="M138" s="23" t="s">
        <v>562</v>
      </c>
      <c r="N138"/>
    </row>
    <row r="139" spans="1:14 16379:16380" s="11" customFormat="1" hidden="1" x14ac:dyDescent="0.25">
      <c r="A139" s="54"/>
      <c r="B139" s="4" t="s">
        <v>135</v>
      </c>
      <c r="C139" s="4" t="str">
        <f>RIGHT(Tabela3[[#This Row],[MÓDULO2]],1)</f>
        <v>7</v>
      </c>
      <c r="D139" s="4" t="s">
        <v>54</v>
      </c>
      <c r="E139" s="55">
        <v>373114</v>
      </c>
      <c r="F139" s="4" t="s">
        <v>29</v>
      </c>
      <c r="G139" s="4" t="s">
        <v>35</v>
      </c>
      <c r="H139" s="55"/>
      <c r="I139" s="5">
        <v>44704</v>
      </c>
      <c r="J139" s="4" t="str">
        <f>Tabela3[[#This Row],[CARGO]]</f>
        <v>Oper Maqs Florestais I Grua</v>
      </c>
      <c r="K139" s="42">
        <v>45698</v>
      </c>
      <c r="L139" s="56" t="s">
        <v>359</v>
      </c>
      <c r="M139" s="23"/>
    </row>
    <row r="140" spans="1:14 16379:16380" s="11" customFormat="1" x14ac:dyDescent="0.25">
      <c r="A140" s="54">
        <v>37009877</v>
      </c>
      <c r="B140" s="55" t="s">
        <v>133</v>
      </c>
      <c r="C140" s="55" t="str">
        <f>RIGHT(Tabela3[[#This Row],[MÓDULO2]],1)</f>
        <v>7</v>
      </c>
      <c r="D140" s="55" t="s">
        <v>54</v>
      </c>
      <c r="E140" s="55">
        <v>373114</v>
      </c>
      <c r="F140" s="55" t="s">
        <v>29</v>
      </c>
      <c r="G140" s="55" t="s">
        <v>35</v>
      </c>
      <c r="H140" s="55">
        <v>20037212</v>
      </c>
      <c r="I140" s="56">
        <v>44872</v>
      </c>
      <c r="J140" s="55" t="str">
        <f>Tabela3[[#This Row],[CARGO]]</f>
        <v>Oper Maqs Florestais I Grua</v>
      </c>
      <c r="K140" s="57"/>
      <c r="L140" s="56" t="s">
        <v>359</v>
      </c>
      <c r="M140" s="23" t="s">
        <v>562</v>
      </c>
    </row>
    <row r="141" spans="1:14 16379:16380" s="11" customFormat="1" x14ac:dyDescent="0.25">
      <c r="A141" s="54">
        <v>37014204</v>
      </c>
      <c r="B141" s="55" t="s">
        <v>151</v>
      </c>
      <c r="C141" s="55" t="str">
        <f>RIGHT(Tabela3[[#This Row],[MÓDULO2]],1)</f>
        <v>7</v>
      </c>
      <c r="D141" s="55" t="s">
        <v>54</v>
      </c>
      <c r="E141" s="55">
        <v>373114</v>
      </c>
      <c r="F141" s="55" t="s">
        <v>29</v>
      </c>
      <c r="G141" s="55" t="s">
        <v>35</v>
      </c>
      <c r="H141" s="55">
        <v>20058024</v>
      </c>
      <c r="I141" s="56">
        <v>45160</v>
      </c>
      <c r="J141" s="55" t="str">
        <f>Tabela3[[#This Row],[CARGO]]</f>
        <v>Oper Maqs Florestais I Grua</v>
      </c>
      <c r="K141" s="57"/>
      <c r="L141" s="56" t="s">
        <v>359</v>
      </c>
      <c r="M141" s="23" t="s">
        <v>562</v>
      </c>
    </row>
    <row r="142" spans="1:14 16379:16380" s="11" customFormat="1" hidden="1" x14ac:dyDescent="0.25">
      <c r="A142" s="54"/>
      <c r="B142" s="4" t="s">
        <v>152</v>
      </c>
      <c r="C142" s="4" t="str">
        <f>RIGHT(Tabela3[[#This Row],[MÓDULO2]],1)</f>
        <v>7</v>
      </c>
      <c r="D142" s="4" t="s">
        <v>12</v>
      </c>
      <c r="E142" s="55">
        <v>373114</v>
      </c>
      <c r="F142" s="4" t="s">
        <v>29</v>
      </c>
      <c r="G142" s="4" t="s">
        <v>35</v>
      </c>
      <c r="H142" s="55"/>
      <c r="I142" s="5">
        <v>44690</v>
      </c>
      <c r="J142" s="4" t="str">
        <f>Tabela3[[#This Row],[CARGO]]</f>
        <v>Assistente Operador Carregamento Grua</v>
      </c>
      <c r="K142" s="42">
        <v>45310</v>
      </c>
      <c r="L142" s="5"/>
      <c r="M142" s="23"/>
    </row>
    <row r="143" spans="1:14 16379:16380" s="11" customFormat="1" x14ac:dyDescent="0.25">
      <c r="A143" s="54">
        <v>37008940</v>
      </c>
      <c r="B143" s="55" t="s">
        <v>82</v>
      </c>
      <c r="C143" s="55" t="str">
        <f>RIGHT(Tabela3[[#This Row],[MÓDULO2]],1)</f>
        <v>7</v>
      </c>
      <c r="D143" s="55" t="s">
        <v>12</v>
      </c>
      <c r="E143" s="55">
        <v>373114</v>
      </c>
      <c r="F143" s="55" t="s">
        <v>29</v>
      </c>
      <c r="G143" s="55" t="s">
        <v>35</v>
      </c>
      <c r="H143" s="55">
        <v>20034651</v>
      </c>
      <c r="I143" s="56">
        <v>44777</v>
      </c>
      <c r="J143" s="201" t="str">
        <f>Tabela3[[#This Row],[CARGO]]</f>
        <v>Assistente Operador Carregamento Grua</v>
      </c>
      <c r="K143" s="56"/>
      <c r="L143" s="56" t="s">
        <v>359</v>
      </c>
      <c r="M143" s="23" t="s">
        <v>562</v>
      </c>
    </row>
    <row r="144" spans="1:14 16379:16380" x14ac:dyDescent="0.25">
      <c r="A144" s="54">
        <v>37016528</v>
      </c>
      <c r="B144" s="55" t="s">
        <v>134</v>
      </c>
      <c r="C144" s="55" t="str">
        <f>RIGHT(Tabela3[[#This Row],[MÓDULO2]],1)</f>
        <v>7</v>
      </c>
      <c r="D144" s="55" t="s">
        <v>54</v>
      </c>
      <c r="E144" s="55">
        <v>373114</v>
      </c>
      <c r="F144" s="129" t="s">
        <v>29</v>
      </c>
      <c r="G144" s="129" t="s">
        <v>35</v>
      </c>
      <c r="H144" s="55">
        <v>20064518</v>
      </c>
      <c r="I144" s="171">
        <v>45328</v>
      </c>
      <c r="J144" s="201" t="str">
        <f>Tabela3[[#This Row],[CARGO]]</f>
        <v>Oper Maqs Florestais I Grua</v>
      </c>
      <c r="K144" s="56"/>
      <c r="L144" s="56" t="s">
        <v>359</v>
      </c>
      <c r="M144" s="23" t="s">
        <v>562</v>
      </c>
      <c r="N144"/>
    </row>
    <row r="145" spans="1:14" s="11" customFormat="1" x14ac:dyDescent="0.25">
      <c r="A145" s="54">
        <v>37011474</v>
      </c>
      <c r="B145" s="55" t="s">
        <v>147</v>
      </c>
      <c r="C145" s="55" t="str">
        <f>RIGHT(Tabela3[[#This Row],[MÓDULO2]],1)</f>
        <v>7</v>
      </c>
      <c r="D145" s="55" t="s">
        <v>12</v>
      </c>
      <c r="E145" s="55">
        <v>373114</v>
      </c>
      <c r="F145" s="55" t="s">
        <v>29</v>
      </c>
      <c r="G145" s="55" t="s">
        <v>35</v>
      </c>
      <c r="H145" s="55">
        <v>20044133</v>
      </c>
      <c r="I145" s="56">
        <v>44991</v>
      </c>
      <c r="J145" s="55" t="str">
        <f>Tabela3[[#This Row],[CARGO]]</f>
        <v>Assistente Operador Carregamento Grua</v>
      </c>
      <c r="K145" s="57"/>
      <c r="L145" s="56" t="s">
        <v>359</v>
      </c>
      <c r="M145" s="23" t="s">
        <v>562</v>
      </c>
    </row>
    <row r="146" spans="1:14" s="11" customFormat="1" x14ac:dyDescent="0.25">
      <c r="A146" s="54">
        <v>37011072</v>
      </c>
      <c r="B146" s="55" t="s">
        <v>141</v>
      </c>
      <c r="C146" s="55" t="str">
        <f>RIGHT(Tabela3[[#This Row],[MÓDULO2]],1)</f>
        <v>7</v>
      </c>
      <c r="D146" s="55" t="s">
        <v>12</v>
      </c>
      <c r="E146" s="55">
        <v>373114</v>
      </c>
      <c r="F146" s="55" t="s">
        <v>29</v>
      </c>
      <c r="G146" s="55" t="s">
        <v>35</v>
      </c>
      <c r="H146" s="55">
        <v>20042138</v>
      </c>
      <c r="I146" s="56">
        <v>44963</v>
      </c>
      <c r="J146" s="55" t="str">
        <f>Tabela3[[#This Row],[CARGO]]</f>
        <v>Assistente Operador Carregamento Grua</v>
      </c>
      <c r="K146" s="56"/>
      <c r="L146" s="56" t="s">
        <v>365</v>
      </c>
      <c r="M146" s="23" t="s">
        <v>562</v>
      </c>
    </row>
    <row r="147" spans="1:14" s="173" customFormat="1" x14ac:dyDescent="0.25">
      <c r="A147" s="54">
        <v>37006924</v>
      </c>
      <c r="B147" s="55" t="s">
        <v>57</v>
      </c>
      <c r="C147" s="55" t="str">
        <f>RIGHT(Tabela3[[#This Row],[MÓDULO2]],1)</f>
        <v>8</v>
      </c>
      <c r="D147" s="55" t="s">
        <v>54</v>
      </c>
      <c r="E147" s="55">
        <v>373114</v>
      </c>
      <c r="F147" s="55" t="s">
        <v>13</v>
      </c>
      <c r="G147" s="55" t="s">
        <v>16</v>
      </c>
      <c r="H147" s="55">
        <v>20021279</v>
      </c>
      <c r="I147" s="56">
        <v>44550</v>
      </c>
      <c r="J147" s="55" t="str">
        <f>Tabela3[[#This Row],[CARGO]]</f>
        <v>Oper Maqs Florestais I Grua</v>
      </c>
      <c r="K147" s="172"/>
      <c r="L147" s="171" t="s">
        <v>360</v>
      </c>
      <c r="M147" s="23" t="s">
        <v>562</v>
      </c>
    </row>
    <row r="148" spans="1:14" s="11" customFormat="1" x14ac:dyDescent="0.25">
      <c r="A148" s="54">
        <v>37021611</v>
      </c>
      <c r="B148" s="129" t="s">
        <v>531</v>
      </c>
      <c r="C148" s="129" t="str">
        <f>RIGHT(Tabela3[[#This Row],[MÓDULO2]],1)</f>
        <v>8</v>
      </c>
      <c r="D148" s="55" t="s">
        <v>54</v>
      </c>
      <c r="E148" s="55">
        <v>373114</v>
      </c>
      <c r="F148" s="55" t="s">
        <v>13</v>
      </c>
      <c r="G148" s="55" t="s">
        <v>16</v>
      </c>
      <c r="H148" s="55">
        <v>20059387</v>
      </c>
      <c r="I148" s="171">
        <v>45755</v>
      </c>
      <c r="J148" s="171" t="str">
        <f>Tabela3[[#This Row],[CARGO]]</f>
        <v>Oper Maqs Florestais I Grua</v>
      </c>
      <c r="K148" s="172"/>
      <c r="L148" s="171"/>
      <c r="M148" s="23" t="s">
        <v>561</v>
      </c>
    </row>
    <row r="149" spans="1:14" s="11" customFormat="1" hidden="1" x14ac:dyDescent="0.25">
      <c r="A149" s="54"/>
      <c r="B149" s="46" t="s">
        <v>22</v>
      </c>
      <c r="C149" s="46" t="str">
        <f>RIGHT(Tabela3[[#This Row],[MÓDULO2]],1)</f>
        <v>8</v>
      </c>
      <c r="D149" s="4" t="s">
        <v>12</v>
      </c>
      <c r="E149" s="55">
        <v>373114</v>
      </c>
      <c r="F149" s="46" t="s">
        <v>13</v>
      </c>
      <c r="G149" s="4" t="s">
        <v>16</v>
      </c>
      <c r="H149" s="55"/>
      <c r="I149" s="79">
        <v>45243</v>
      </c>
      <c r="J149" s="46" t="str">
        <f>Tabela3[[#This Row],[CARGO]]</f>
        <v>Assistente Operador Carregamento Grua</v>
      </c>
      <c r="K149" s="203">
        <v>45411</v>
      </c>
      <c r="L149" s="79"/>
      <c r="M149" s="23"/>
    </row>
    <row r="150" spans="1:14" s="11" customFormat="1" x14ac:dyDescent="0.25">
      <c r="A150" s="54">
        <v>37020681</v>
      </c>
      <c r="B150" s="129" t="s">
        <v>492</v>
      </c>
      <c r="C150" s="55" t="str">
        <f>RIGHT(Tabela3[[#This Row],[MÓDULO2]],1)</f>
        <v>8</v>
      </c>
      <c r="D150" s="55" t="s">
        <v>54</v>
      </c>
      <c r="E150" s="55">
        <v>373114</v>
      </c>
      <c r="F150" s="55" t="s">
        <v>13</v>
      </c>
      <c r="G150" s="55" t="s">
        <v>16</v>
      </c>
      <c r="H150" s="55">
        <v>20045910</v>
      </c>
      <c r="I150" s="171">
        <v>45692</v>
      </c>
      <c r="J150" s="129" t="str">
        <f>Tabela3[[#This Row],[CARGO]]</f>
        <v>Oper Maqs Florestais I Grua</v>
      </c>
      <c r="K150" s="172"/>
      <c r="L150" s="171"/>
      <c r="M150" s="23" t="s">
        <v>562</v>
      </c>
    </row>
    <row r="151" spans="1:14" s="11" customFormat="1" hidden="1" x14ac:dyDescent="0.25">
      <c r="A151" s="164"/>
      <c r="B151" s="204" t="s">
        <v>558</v>
      </c>
      <c r="C151" s="55" t="str">
        <f>RIGHT(Tabela3[[#This Row],[MÓDULO2]],1)</f>
        <v>8</v>
      </c>
      <c r="D151" s="55" t="s">
        <v>54</v>
      </c>
      <c r="E151" s="55">
        <v>373114</v>
      </c>
      <c r="F151" s="129" t="s">
        <v>13</v>
      </c>
      <c r="G151" s="171" t="s">
        <v>16</v>
      </c>
      <c r="H151" s="55"/>
      <c r="I151" s="171">
        <v>45538</v>
      </c>
      <c r="J151" s="171" t="str">
        <f>Tabela3[[#This Row],[CARGO]]</f>
        <v>Oper Maqs Florestais I Grua</v>
      </c>
      <c r="K151" s="172">
        <v>45784</v>
      </c>
      <c r="L151" s="171" t="s">
        <v>360</v>
      </c>
      <c r="M151" s="23" t="s">
        <v>562</v>
      </c>
    </row>
    <row r="152" spans="1:14" s="11" customFormat="1" x14ac:dyDescent="0.25">
      <c r="A152" s="164">
        <v>37009452</v>
      </c>
      <c r="B152" s="129" t="s">
        <v>98</v>
      </c>
      <c r="C152" s="55" t="str">
        <f>RIGHT(Tabela3[[#This Row],[MÓDULO2]],1)</f>
        <v>8</v>
      </c>
      <c r="D152" s="55" t="s">
        <v>12</v>
      </c>
      <c r="E152" s="55">
        <v>373114</v>
      </c>
      <c r="F152" s="55" t="s">
        <v>13</v>
      </c>
      <c r="G152" s="55" t="s">
        <v>16</v>
      </c>
      <c r="H152" s="55">
        <v>20034027</v>
      </c>
      <c r="I152" s="171">
        <v>44823</v>
      </c>
      <c r="J152" s="129" t="str">
        <f>Tabela3[[#This Row],[CARGO]]</f>
        <v>Assistente Operador Carregamento Grua</v>
      </c>
      <c r="K152" s="172"/>
      <c r="L152" s="171" t="s">
        <v>360</v>
      </c>
      <c r="M152" s="23" t="s">
        <v>562</v>
      </c>
    </row>
    <row r="153" spans="1:14" s="11" customFormat="1" x14ac:dyDescent="0.25">
      <c r="A153" s="164">
        <v>37013750</v>
      </c>
      <c r="B153" s="129" t="s">
        <v>163</v>
      </c>
      <c r="C153" s="55" t="str">
        <f>RIGHT(Tabela3[[#This Row],[MÓDULO2]],1)</f>
        <v>8</v>
      </c>
      <c r="D153" s="55" t="s">
        <v>54</v>
      </c>
      <c r="E153" s="55">
        <v>373114</v>
      </c>
      <c r="F153" s="129" t="s">
        <v>13</v>
      </c>
      <c r="G153" s="129" t="s">
        <v>16</v>
      </c>
      <c r="H153" s="55">
        <v>20056385</v>
      </c>
      <c r="I153" s="171">
        <v>45153</v>
      </c>
      <c r="J153" s="129" t="str">
        <f>Tabela3[[#This Row],[CARGO]]</f>
        <v>Oper Maqs Florestais I Grua</v>
      </c>
      <c r="K153" s="172"/>
      <c r="L153" s="171" t="s">
        <v>360</v>
      </c>
      <c r="M153" s="23" t="s">
        <v>562</v>
      </c>
    </row>
    <row r="154" spans="1:14" s="11" customFormat="1" x14ac:dyDescent="0.25">
      <c r="A154" s="164">
        <v>37013803</v>
      </c>
      <c r="B154" s="129" t="s">
        <v>109</v>
      </c>
      <c r="C154" s="55" t="str">
        <f>RIGHT(Tabela3[[#This Row],[MÓDULO2]],1)</f>
        <v>8</v>
      </c>
      <c r="D154" s="55" t="s">
        <v>12</v>
      </c>
      <c r="E154" s="55">
        <v>373114</v>
      </c>
      <c r="F154" s="55" t="s">
        <v>13</v>
      </c>
      <c r="G154" s="55" t="s">
        <v>16</v>
      </c>
      <c r="H154" s="55">
        <v>20056489</v>
      </c>
      <c r="I154" s="171">
        <v>45146</v>
      </c>
      <c r="J154" s="129" t="str">
        <f>Tabela3[[#This Row],[CARGO]]</f>
        <v>Assistente Operador Carregamento Grua</v>
      </c>
      <c r="K154" s="172"/>
      <c r="L154" s="171" t="s">
        <v>360</v>
      </c>
      <c r="M154" s="23" t="s">
        <v>562</v>
      </c>
    </row>
    <row r="155" spans="1:14" hidden="1" x14ac:dyDescent="0.25">
      <c r="A155" s="164"/>
      <c r="B155" s="46" t="s">
        <v>73</v>
      </c>
      <c r="C155" s="4" t="str">
        <f>RIGHT(Tabela3[[#This Row],[MÓDULO2]],1)</f>
        <v>8</v>
      </c>
      <c r="D155" s="4" t="s">
        <v>12</v>
      </c>
      <c r="E155" s="55">
        <v>373114</v>
      </c>
      <c r="F155" s="4" t="s">
        <v>13</v>
      </c>
      <c r="G155" s="4" t="s">
        <v>16</v>
      </c>
      <c r="H155" s="55"/>
      <c r="I155" s="79">
        <v>44539</v>
      </c>
      <c r="J155" s="46" t="str">
        <f>Tabela3[[#This Row],[CARGO]]</f>
        <v>Assistente Operador Carregamento Grua</v>
      </c>
      <c r="K155" s="203">
        <v>45441</v>
      </c>
      <c r="L155" s="79"/>
      <c r="M155" s="23"/>
      <c r="N155"/>
    </row>
    <row r="156" spans="1:14" x14ac:dyDescent="0.25">
      <c r="A156" s="164">
        <v>37019832</v>
      </c>
      <c r="B156" s="129" t="s">
        <v>73</v>
      </c>
      <c r="C156" s="55" t="str">
        <f>RIGHT(Tabela3[[#This Row],[MÓDULO2]],1)</f>
        <v>8</v>
      </c>
      <c r="D156" s="55" t="s">
        <v>12</v>
      </c>
      <c r="E156" s="55">
        <v>373114</v>
      </c>
      <c r="F156" s="55" t="s">
        <v>13</v>
      </c>
      <c r="G156" s="55" t="s">
        <v>16</v>
      </c>
      <c r="H156" s="55">
        <v>20020043</v>
      </c>
      <c r="I156" s="171">
        <v>45601</v>
      </c>
      <c r="J156" s="129" t="str">
        <f>Tabela3[[#This Row],[CARGO]]</f>
        <v>Assistente Operador Carregamento Grua</v>
      </c>
      <c r="K156" s="172"/>
      <c r="L156" s="171"/>
      <c r="M156" s="23" t="s">
        <v>562</v>
      </c>
      <c r="N156"/>
    </row>
    <row r="157" spans="1:14" hidden="1" x14ac:dyDescent="0.25">
      <c r="A157" s="164"/>
      <c r="B157" s="4" t="s">
        <v>81</v>
      </c>
      <c r="C157" s="4" t="str">
        <f>RIGHT(Tabela3[[#This Row],[MÓDULO2]],1)</f>
        <v>8</v>
      </c>
      <c r="D157" s="4" t="s">
        <v>12</v>
      </c>
      <c r="E157" s="55">
        <v>373114</v>
      </c>
      <c r="F157" s="4" t="s">
        <v>13</v>
      </c>
      <c r="G157" s="4" t="s">
        <v>16</v>
      </c>
      <c r="H157" s="55"/>
      <c r="I157" s="79">
        <v>44930</v>
      </c>
      <c r="J157" s="46" t="str">
        <f>Tabela3[[#This Row],[CARGO]]</f>
        <v>Assistente Operador Carregamento Grua</v>
      </c>
      <c r="K157" s="203">
        <v>45384</v>
      </c>
      <c r="L157" s="79"/>
      <c r="M157" s="23"/>
      <c r="N157"/>
    </row>
    <row r="158" spans="1:14" x14ac:dyDescent="0.25">
      <c r="A158" s="164">
        <v>37021778</v>
      </c>
      <c r="B158" s="129" t="s">
        <v>537</v>
      </c>
      <c r="C158" s="55" t="str">
        <f>RIGHT(Tabela3[[#This Row],[MÓDULO2]],1)</f>
        <v>8</v>
      </c>
      <c r="D158" s="55" t="s">
        <v>54</v>
      </c>
      <c r="E158" s="55">
        <v>373114</v>
      </c>
      <c r="F158" s="55" t="s">
        <v>13</v>
      </c>
      <c r="G158" s="129" t="s">
        <v>16</v>
      </c>
      <c r="H158" s="55">
        <v>20090330</v>
      </c>
      <c r="I158" s="171">
        <v>45762</v>
      </c>
      <c r="J158" s="171" t="str">
        <f>Tabela3[[#This Row],[CARGO]]</f>
        <v>Oper Maqs Florestais I Grua</v>
      </c>
      <c r="K158" s="172"/>
      <c r="L158" s="171"/>
      <c r="M158" s="23" t="s">
        <v>561</v>
      </c>
    </row>
    <row r="159" spans="1:14" x14ac:dyDescent="0.25">
      <c r="A159" s="164">
        <v>37009890</v>
      </c>
      <c r="B159" s="129" t="s">
        <v>39</v>
      </c>
      <c r="C159" s="55" t="str">
        <f>RIGHT(Tabela3[[#This Row],[MÓDULO2]],1)</f>
        <v>8</v>
      </c>
      <c r="D159" s="55" t="s">
        <v>12</v>
      </c>
      <c r="E159" s="55">
        <v>373114</v>
      </c>
      <c r="F159" s="55" t="s">
        <v>13</v>
      </c>
      <c r="G159" s="129" t="s">
        <v>16</v>
      </c>
      <c r="H159" s="55">
        <v>20037225</v>
      </c>
      <c r="I159" s="171">
        <v>44872</v>
      </c>
      <c r="J159" s="129" t="str">
        <f>Tabela3[[#This Row],[CARGO]]</f>
        <v>Assistente Operador Carregamento Grua</v>
      </c>
      <c r="K159" s="172"/>
      <c r="L159" s="171" t="s">
        <v>360</v>
      </c>
      <c r="M159" s="23" t="s">
        <v>562</v>
      </c>
    </row>
    <row r="160" spans="1:14" x14ac:dyDescent="0.25">
      <c r="A160" s="164">
        <v>37006283</v>
      </c>
      <c r="B160" s="129" t="s">
        <v>41</v>
      </c>
      <c r="C160" s="55" t="str">
        <f>RIGHT(Tabela3[[#This Row],[MÓDULO2]],1)</f>
        <v>8</v>
      </c>
      <c r="D160" s="55" t="s">
        <v>12</v>
      </c>
      <c r="E160" s="55">
        <v>373114</v>
      </c>
      <c r="F160" s="55" t="s">
        <v>13</v>
      </c>
      <c r="G160" s="55" t="s">
        <v>16</v>
      </c>
      <c r="H160" s="55">
        <v>20017015</v>
      </c>
      <c r="I160" s="171">
        <v>44431</v>
      </c>
      <c r="J160" s="129" t="str">
        <f>Tabela3[[#This Row],[CARGO]]</f>
        <v>Assistente Operador Carregamento Grua</v>
      </c>
      <c r="K160" s="172"/>
      <c r="L160" s="171" t="s">
        <v>360</v>
      </c>
      <c r="M160" s="23" t="s">
        <v>562</v>
      </c>
    </row>
    <row r="161" spans="1:13" x14ac:dyDescent="0.25">
      <c r="A161" s="164">
        <v>37010961</v>
      </c>
      <c r="B161" s="129" t="s">
        <v>117</v>
      </c>
      <c r="C161" s="55" t="str">
        <f>RIGHT(Tabela3[[#This Row],[MÓDULO2]],1)</f>
        <v>8</v>
      </c>
      <c r="D161" s="55" t="s">
        <v>12</v>
      </c>
      <c r="E161" s="55">
        <v>373114</v>
      </c>
      <c r="F161" s="55" t="s">
        <v>13</v>
      </c>
      <c r="G161" s="129" t="s">
        <v>16</v>
      </c>
      <c r="H161" s="55">
        <v>20041780</v>
      </c>
      <c r="I161" s="171">
        <v>44958</v>
      </c>
      <c r="J161" s="129" t="str">
        <f>Tabela3[[#This Row],[CARGO]]</f>
        <v>Assistente Operador Carregamento Grua</v>
      </c>
      <c r="K161" s="172"/>
      <c r="L161" s="57" t="s">
        <v>360</v>
      </c>
      <c r="M161" s="23" t="s">
        <v>562</v>
      </c>
    </row>
    <row r="162" spans="1:13" x14ac:dyDescent="0.25">
      <c r="A162" s="195">
        <v>37021777</v>
      </c>
      <c r="B162" s="129" t="s">
        <v>538</v>
      </c>
      <c r="C162" s="55" t="str">
        <f>RIGHT(Tabela3[[#This Row],[MÓDULO2]],1)</f>
        <v>8</v>
      </c>
      <c r="D162" s="55" t="s">
        <v>54</v>
      </c>
      <c r="E162" s="55">
        <v>373114</v>
      </c>
      <c r="F162" s="55" t="s">
        <v>13</v>
      </c>
      <c r="G162" s="55" t="s">
        <v>16</v>
      </c>
      <c r="H162" s="55">
        <v>20090329</v>
      </c>
      <c r="I162" s="171">
        <v>45762</v>
      </c>
      <c r="J162" s="171" t="str">
        <f>Tabela3[[#This Row],[CARGO]]</f>
        <v>Oper Maqs Florestais I Grua</v>
      </c>
      <c r="K162" s="172"/>
      <c r="L162" s="171"/>
      <c r="M162" s="23" t="s">
        <v>561</v>
      </c>
    </row>
    <row r="163" spans="1:13" x14ac:dyDescent="0.25">
      <c r="A163" s="164">
        <v>37017510</v>
      </c>
      <c r="B163" s="129" t="s">
        <v>153</v>
      </c>
      <c r="C163" s="55" t="str">
        <f>RIGHT(Tabela3[[#This Row],[MÓDULO2]],1)</f>
        <v>8</v>
      </c>
      <c r="D163" s="55" t="s">
        <v>54</v>
      </c>
      <c r="E163" s="55">
        <v>373114</v>
      </c>
      <c r="F163" s="55" t="s">
        <v>13</v>
      </c>
      <c r="G163" s="55" t="s">
        <v>16</v>
      </c>
      <c r="H163" s="55">
        <v>20069654</v>
      </c>
      <c r="I163" s="171">
        <v>45447</v>
      </c>
      <c r="J163" s="129" t="str">
        <f>Tabela3[[#This Row],[CARGO]]</f>
        <v>Oper Maqs Florestais I Grua</v>
      </c>
      <c r="K163" s="172"/>
      <c r="L163" s="171" t="s">
        <v>360</v>
      </c>
      <c r="M163" s="23" t="s">
        <v>562</v>
      </c>
    </row>
    <row r="164" spans="1:13" x14ac:dyDescent="0.25">
      <c r="A164" s="164">
        <v>37010744</v>
      </c>
      <c r="B164" s="129" t="s">
        <v>137</v>
      </c>
      <c r="C164" s="55" t="str">
        <f>RIGHT(Tabela3[[#This Row],[MÓDULO2]],1)</f>
        <v>8</v>
      </c>
      <c r="D164" s="55" t="s">
        <v>54</v>
      </c>
      <c r="E164" s="55">
        <v>373114</v>
      </c>
      <c r="F164" s="55" t="s">
        <v>13</v>
      </c>
      <c r="G164" s="55" t="s">
        <v>16</v>
      </c>
      <c r="H164" s="55">
        <v>20040954</v>
      </c>
      <c r="I164" s="171">
        <v>44935</v>
      </c>
      <c r="J164" s="129" t="str">
        <f>Tabela3[[#This Row],[CARGO]]</f>
        <v>Oper Maqs Florestais I Grua</v>
      </c>
      <c r="K164" s="172"/>
      <c r="L164" s="171" t="s">
        <v>360</v>
      </c>
      <c r="M164" s="23" t="s">
        <v>562</v>
      </c>
    </row>
    <row r="165" spans="1:13" hidden="1" x14ac:dyDescent="0.25">
      <c r="A165" s="164"/>
      <c r="B165" s="4" t="s">
        <v>158</v>
      </c>
      <c r="C165" s="4" t="str">
        <f>RIGHT(Tabela3[[#This Row],[MÓDULO2]],1)</f>
        <v>8</v>
      </c>
      <c r="D165" s="4" t="s">
        <v>12</v>
      </c>
      <c r="E165" s="55">
        <v>373114</v>
      </c>
      <c r="F165" s="4" t="s">
        <v>13</v>
      </c>
      <c r="G165" s="4" t="s">
        <v>16</v>
      </c>
      <c r="H165" s="55"/>
      <c r="I165" s="79">
        <v>45034</v>
      </c>
      <c r="J165" s="46" t="str">
        <f>Tabela3[[#This Row],[CARGO]]</f>
        <v>Assistente Operador Carregamento Grua</v>
      </c>
      <c r="K165" s="203">
        <v>45474</v>
      </c>
      <c r="L165" s="79"/>
      <c r="M165" s="23"/>
    </row>
    <row r="166" spans="1:13" x14ac:dyDescent="0.25">
      <c r="A166" s="164">
        <v>37010059</v>
      </c>
      <c r="B166" s="55" t="s">
        <v>559</v>
      </c>
      <c r="C166" s="55" t="str">
        <f>RIGHT(Tabela3[[#This Row],[MÓDULO2]],1)</f>
        <v>8</v>
      </c>
      <c r="D166" s="55" t="s">
        <v>12</v>
      </c>
      <c r="E166" s="55">
        <v>373114</v>
      </c>
      <c r="F166" s="55" t="s">
        <v>13</v>
      </c>
      <c r="G166" s="55" t="s">
        <v>16</v>
      </c>
      <c r="H166" s="55">
        <v>20038164</v>
      </c>
      <c r="I166" s="171">
        <v>44881</v>
      </c>
      <c r="J166" s="129" t="str">
        <f>Tabela3[[#This Row],[CARGO]]</f>
        <v>Assistente Operador Carregamento Grua</v>
      </c>
      <c r="K166" s="172"/>
      <c r="L166" s="171" t="s">
        <v>360</v>
      </c>
      <c r="M166" s="23" t="s">
        <v>562</v>
      </c>
    </row>
  </sheetData>
  <conditionalFormatting sqref="A2 A151:A165 A167:A1048576">
    <cfRule type="duplicateValues" dxfId="71" priority="18"/>
  </conditionalFormatting>
  <conditionalFormatting sqref="A3:A120 A122:A150">
    <cfRule type="duplicateValues" dxfId="70" priority="22"/>
  </conditionalFormatting>
  <conditionalFormatting sqref="A166">
    <cfRule type="duplicateValues" dxfId="69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C077-8B3A-44DA-A7CC-57567703FA51}">
  <sheetPr codeName="Planilha3"/>
  <dimension ref="B3:C14"/>
  <sheetViews>
    <sheetView workbookViewId="0">
      <selection activeCell="C3" sqref="B3:C14"/>
    </sheetView>
  </sheetViews>
  <sheetFormatPr defaultRowHeight="15" x14ac:dyDescent="0.25"/>
  <cols>
    <col min="2" max="2" width="25.5703125" bestFit="1" customWidth="1"/>
    <col min="3" max="3" width="38.28515625" bestFit="1" customWidth="1"/>
  </cols>
  <sheetData>
    <row r="3" spans="2:3" x14ac:dyDescent="0.25">
      <c r="B3" s="58" t="s">
        <v>315</v>
      </c>
      <c r="C3" s="58" t="s">
        <v>316</v>
      </c>
    </row>
    <row r="4" spans="2:3" x14ac:dyDescent="0.25">
      <c r="B4" s="33" t="s">
        <v>317</v>
      </c>
      <c r="C4" s="33" t="s">
        <v>164</v>
      </c>
    </row>
    <row r="5" spans="2:3" x14ac:dyDescent="0.25">
      <c r="B5" s="33" t="s">
        <v>318</v>
      </c>
      <c r="C5" s="33" t="s">
        <v>157</v>
      </c>
    </row>
    <row r="6" spans="2:3" x14ac:dyDescent="0.25">
      <c r="B6" s="33" t="s">
        <v>319</v>
      </c>
      <c r="C6" s="33" t="s">
        <v>163</v>
      </c>
    </row>
    <row r="7" spans="2:3" x14ac:dyDescent="0.25">
      <c r="B7" s="33" t="s">
        <v>320</v>
      </c>
      <c r="C7" s="33" t="s">
        <v>167</v>
      </c>
    </row>
    <row r="8" spans="2:3" x14ac:dyDescent="0.25">
      <c r="B8" s="33" t="s">
        <v>321</v>
      </c>
      <c r="C8" s="33" t="s">
        <v>72</v>
      </c>
    </row>
    <row r="9" spans="2:3" x14ac:dyDescent="0.25">
      <c r="B9" s="33" t="s">
        <v>322</v>
      </c>
      <c r="C9" s="33" t="s">
        <v>150</v>
      </c>
    </row>
    <row r="10" spans="2:3" x14ac:dyDescent="0.25">
      <c r="B10" s="33" t="s">
        <v>323</v>
      </c>
      <c r="C10" s="33" t="s">
        <v>168</v>
      </c>
    </row>
    <row r="11" spans="2:3" x14ac:dyDescent="0.25">
      <c r="B11" s="33" t="s">
        <v>324</v>
      </c>
      <c r="C11" s="33" t="s">
        <v>84</v>
      </c>
    </row>
    <row r="12" spans="2:3" x14ac:dyDescent="0.25">
      <c r="B12" s="33" t="s">
        <v>325</v>
      </c>
      <c r="C12" s="33" t="s">
        <v>166</v>
      </c>
    </row>
    <row r="13" spans="2:3" x14ac:dyDescent="0.25">
      <c r="B13" s="33" t="s">
        <v>326</v>
      </c>
      <c r="C13" s="33" t="s">
        <v>307</v>
      </c>
    </row>
    <row r="14" spans="2:3" x14ac:dyDescent="0.25">
      <c r="B14" s="33" t="s">
        <v>327</v>
      </c>
      <c r="C14" s="33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pageSetUpPr fitToPage="1"/>
  </sheetPr>
  <dimension ref="A1:XFA45"/>
  <sheetViews>
    <sheetView showGridLines="0" zoomScale="80" zoomScaleNormal="80" workbookViewId="0">
      <selection activeCell="P23" sqref="P23"/>
    </sheetView>
  </sheetViews>
  <sheetFormatPr defaultRowHeight="15" x14ac:dyDescent="0.25"/>
  <cols>
    <col min="1" max="1" width="17.42578125" style="66" bestFit="1" customWidth="1"/>
    <col min="2" max="2" width="37.7109375" customWidth="1"/>
    <col min="3" max="3" width="19.28515625" customWidth="1"/>
    <col min="4" max="4" width="42.140625" customWidth="1"/>
    <col min="5" max="5" width="16" customWidth="1"/>
    <col min="6" max="6" width="32.28515625" customWidth="1"/>
    <col min="7" max="7" width="35" customWidth="1"/>
    <col min="8" max="8" width="18.42578125" customWidth="1"/>
    <col min="9" max="9" width="46.28515625" hidden="1" customWidth="1"/>
    <col min="10" max="10" width="23.5703125" customWidth="1"/>
    <col min="11" max="11" width="22.28515625" customWidth="1"/>
    <col min="12" max="12" width="16.85546875" bestFit="1" customWidth="1"/>
    <col min="13" max="13" width="19.42578125" hidden="1" customWidth="1"/>
    <col min="14" max="15" width="22.7109375" hidden="1" customWidth="1"/>
    <col min="16" max="16" width="38.28515625" bestFit="1" customWidth="1"/>
    <col min="17" max="17" width="9.28515625" bestFit="1" customWidth="1"/>
    <col min="18" max="18" width="31" bestFit="1" customWidth="1"/>
    <col min="19" max="19" width="32.42578125" bestFit="1" customWidth="1"/>
  </cols>
  <sheetData>
    <row r="1" spans="1:19" x14ac:dyDescent="0.25">
      <c r="A1" s="98" t="s">
        <v>0</v>
      </c>
      <c r="B1" s="98" t="s">
        <v>1</v>
      </c>
      <c r="C1" s="98" t="s">
        <v>2</v>
      </c>
      <c r="D1" s="98" t="s">
        <v>3</v>
      </c>
      <c r="E1" s="98" t="s">
        <v>187</v>
      </c>
      <c r="F1" s="98" t="s">
        <v>479</v>
      </c>
      <c r="G1" s="98" t="s">
        <v>5</v>
      </c>
      <c r="H1" s="98" t="s">
        <v>188</v>
      </c>
      <c r="I1" s="99" t="s">
        <v>388</v>
      </c>
      <c r="J1" s="98" t="s">
        <v>7</v>
      </c>
      <c r="K1" s="98" t="s">
        <v>8</v>
      </c>
      <c r="L1" s="98" t="s">
        <v>189</v>
      </c>
      <c r="M1" s="98" t="s">
        <v>355</v>
      </c>
      <c r="N1" s="196" t="s">
        <v>511</v>
      </c>
      <c r="O1" s="196" t="s">
        <v>539</v>
      </c>
      <c r="P1" s="96" t="s">
        <v>171</v>
      </c>
      <c r="Q1" s="6" t="s">
        <v>172</v>
      </c>
      <c r="R1" s="6" t="s">
        <v>173</v>
      </c>
      <c r="S1" s="6" t="s">
        <v>174</v>
      </c>
    </row>
    <row r="2" spans="1:19" s="11" customFormat="1" x14ac:dyDescent="0.25">
      <c r="A2" s="64">
        <v>37009708</v>
      </c>
      <c r="B2" s="64" t="s">
        <v>175</v>
      </c>
      <c r="C2" s="100" t="s">
        <v>190</v>
      </c>
      <c r="D2" s="64" t="s">
        <v>191</v>
      </c>
      <c r="E2" s="64" t="s">
        <v>192</v>
      </c>
      <c r="F2" s="64">
        <v>373105</v>
      </c>
      <c r="G2" s="64" t="s">
        <v>502</v>
      </c>
      <c r="H2" s="64"/>
      <c r="I2" s="64" t="s">
        <v>401</v>
      </c>
      <c r="J2" s="64">
        <v>20036000</v>
      </c>
      <c r="K2" s="101">
        <v>44851</v>
      </c>
      <c r="L2" s="127"/>
      <c r="M2" s="165" t="s">
        <v>360</v>
      </c>
      <c r="N2" s="101" t="s">
        <v>512</v>
      </c>
      <c r="O2" s="101" t="s">
        <v>544</v>
      </c>
      <c r="P2" s="97" t="s">
        <v>175</v>
      </c>
      <c r="Q2" s="7"/>
      <c r="R2" s="7" t="s">
        <v>176</v>
      </c>
      <c r="S2" s="7"/>
    </row>
    <row r="3" spans="1:19" s="11" customFormat="1" x14ac:dyDescent="0.25">
      <c r="A3" s="64">
        <v>37010748</v>
      </c>
      <c r="B3" s="64" t="s">
        <v>29</v>
      </c>
      <c r="C3" s="102" t="s">
        <v>384</v>
      </c>
      <c r="D3" s="64" t="s">
        <v>193</v>
      </c>
      <c r="E3" s="64" t="s">
        <v>549</v>
      </c>
      <c r="F3" s="64">
        <v>373105</v>
      </c>
      <c r="G3" s="64" t="s">
        <v>175</v>
      </c>
      <c r="H3" s="64">
        <v>11213</v>
      </c>
      <c r="I3" s="64" t="s">
        <v>402</v>
      </c>
      <c r="J3" s="64">
        <v>20040958</v>
      </c>
      <c r="K3" s="101">
        <v>44935</v>
      </c>
      <c r="L3" s="127"/>
      <c r="M3" s="165" t="s">
        <v>360</v>
      </c>
      <c r="N3" s="101" t="s">
        <v>512</v>
      </c>
      <c r="O3" s="101" t="s">
        <v>542</v>
      </c>
      <c r="P3" s="97" t="s">
        <v>175</v>
      </c>
      <c r="Q3" s="7"/>
      <c r="R3" s="7" t="s">
        <v>177</v>
      </c>
      <c r="S3" s="7"/>
    </row>
    <row r="4" spans="1:19" s="11" customFormat="1" x14ac:dyDescent="0.25">
      <c r="A4" s="64">
        <v>37014825</v>
      </c>
      <c r="B4" s="64" t="s">
        <v>197</v>
      </c>
      <c r="C4" s="102" t="s">
        <v>301</v>
      </c>
      <c r="D4" s="64" t="s">
        <v>193</v>
      </c>
      <c r="E4" s="64" t="s">
        <v>533</v>
      </c>
      <c r="F4" s="64">
        <v>373110</v>
      </c>
      <c r="G4" s="64" t="s">
        <v>431</v>
      </c>
      <c r="H4" s="64">
        <v>11213</v>
      </c>
      <c r="I4" s="50" t="s">
        <v>478</v>
      </c>
      <c r="J4" s="50">
        <v>20060104</v>
      </c>
      <c r="K4" s="101">
        <v>45202</v>
      </c>
      <c r="L4" s="127"/>
      <c r="M4" s="198" t="s">
        <v>522</v>
      </c>
      <c r="N4" s="101" t="s">
        <v>512</v>
      </c>
      <c r="O4" s="101" t="s">
        <v>542</v>
      </c>
      <c r="P4" s="97" t="s">
        <v>175</v>
      </c>
      <c r="Q4" s="7" t="s">
        <v>19</v>
      </c>
      <c r="R4" s="7" t="s">
        <v>178</v>
      </c>
      <c r="S4" s="7" t="s">
        <v>18</v>
      </c>
    </row>
    <row r="5" spans="1:19" s="11" customFormat="1" x14ac:dyDescent="0.25">
      <c r="A5" s="64">
        <v>37005275</v>
      </c>
      <c r="B5" s="64" t="s">
        <v>24</v>
      </c>
      <c r="C5" s="102" t="s">
        <v>385</v>
      </c>
      <c r="D5" s="64" t="s">
        <v>193</v>
      </c>
      <c r="E5" s="64" t="s">
        <v>195</v>
      </c>
      <c r="F5" s="64">
        <v>373105</v>
      </c>
      <c r="G5" s="64" t="s">
        <v>175</v>
      </c>
      <c r="H5" s="64">
        <v>11213</v>
      </c>
      <c r="I5" s="50" t="s">
        <v>402</v>
      </c>
      <c r="J5" s="50">
        <v>20011084</v>
      </c>
      <c r="K5" s="101">
        <v>44152</v>
      </c>
      <c r="L5" s="127"/>
      <c r="M5" s="198" t="s">
        <v>534</v>
      </c>
      <c r="N5" s="101" t="s">
        <v>512</v>
      </c>
      <c r="O5" s="101" t="s">
        <v>542</v>
      </c>
      <c r="P5" s="97" t="s">
        <v>175</v>
      </c>
      <c r="Q5" s="7" t="s">
        <v>49</v>
      </c>
      <c r="R5" s="7" t="s">
        <v>179</v>
      </c>
      <c r="S5" s="7" t="s">
        <v>24</v>
      </c>
    </row>
    <row r="6" spans="1:19" s="11" customFormat="1" x14ac:dyDescent="0.25">
      <c r="A6" s="64">
        <v>37005502</v>
      </c>
      <c r="B6" s="64" t="s">
        <v>18</v>
      </c>
      <c r="C6" s="102" t="s">
        <v>547</v>
      </c>
      <c r="D6" s="64" t="s">
        <v>193</v>
      </c>
      <c r="E6" s="64" t="s">
        <v>194</v>
      </c>
      <c r="F6" s="64">
        <v>373105</v>
      </c>
      <c r="G6" s="64" t="s">
        <v>175</v>
      </c>
      <c r="H6" s="64">
        <v>11213</v>
      </c>
      <c r="I6" s="50" t="s">
        <v>402</v>
      </c>
      <c r="J6" s="50">
        <v>20013549</v>
      </c>
      <c r="K6" s="101">
        <v>44270</v>
      </c>
      <c r="L6" s="127"/>
      <c r="M6" s="198" t="s">
        <v>369</v>
      </c>
      <c r="N6" s="101" t="s">
        <v>512</v>
      </c>
      <c r="O6" s="101" t="s">
        <v>542</v>
      </c>
      <c r="P6" s="97" t="s">
        <v>175</v>
      </c>
      <c r="Q6" s="7" t="s">
        <v>25</v>
      </c>
      <c r="R6" s="7" t="s">
        <v>180</v>
      </c>
      <c r="S6" s="7" t="s">
        <v>24</v>
      </c>
    </row>
    <row r="7" spans="1:19" x14ac:dyDescent="0.25">
      <c r="A7" s="64">
        <v>37013157</v>
      </c>
      <c r="B7" s="64" t="s">
        <v>13</v>
      </c>
      <c r="C7" s="100" t="s">
        <v>481</v>
      </c>
      <c r="D7" s="64" t="s">
        <v>193</v>
      </c>
      <c r="E7" s="64" t="s">
        <v>196</v>
      </c>
      <c r="F7" s="64">
        <v>373105</v>
      </c>
      <c r="G7" s="64" t="s">
        <v>175</v>
      </c>
      <c r="H7" s="64">
        <v>11213</v>
      </c>
      <c r="I7" s="50" t="s">
        <v>402</v>
      </c>
      <c r="J7" s="50">
        <v>20053284</v>
      </c>
      <c r="K7" s="101">
        <v>45111</v>
      </c>
      <c r="L7" s="127"/>
      <c r="M7" s="198" t="s">
        <v>360</v>
      </c>
      <c r="N7" s="101" t="s">
        <v>512</v>
      </c>
      <c r="O7" s="101" t="s">
        <v>543</v>
      </c>
      <c r="P7" s="97" t="s">
        <v>175</v>
      </c>
      <c r="Q7" s="7" t="s">
        <v>21</v>
      </c>
      <c r="R7" s="7" t="s">
        <v>181</v>
      </c>
      <c r="S7" s="7" t="s">
        <v>18</v>
      </c>
    </row>
    <row r="8" spans="1:19" s="11" customFormat="1" x14ac:dyDescent="0.25">
      <c r="A8" s="64">
        <v>37005557</v>
      </c>
      <c r="B8" s="64" t="s">
        <v>209</v>
      </c>
      <c r="C8" s="64" t="s">
        <v>208</v>
      </c>
      <c r="D8" s="64" t="s">
        <v>193</v>
      </c>
      <c r="E8" s="64" t="s">
        <v>217</v>
      </c>
      <c r="F8" s="64">
        <v>373105</v>
      </c>
      <c r="G8" s="64" t="s">
        <v>175</v>
      </c>
      <c r="H8" s="64">
        <v>11213</v>
      </c>
      <c r="I8" s="50" t="s">
        <v>404</v>
      </c>
      <c r="J8" s="50">
        <v>20013587</v>
      </c>
      <c r="K8" s="101">
        <v>44291</v>
      </c>
      <c r="L8" s="127"/>
      <c r="M8" s="198" t="s">
        <v>375</v>
      </c>
      <c r="N8" s="101" t="s">
        <v>512</v>
      </c>
      <c r="O8" s="101" t="s">
        <v>542</v>
      </c>
      <c r="P8" s="97" t="s">
        <v>175</v>
      </c>
      <c r="Q8" s="7" t="s">
        <v>14</v>
      </c>
      <c r="R8" s="7" t="s">
        <v>182</v>
      </c>
      <c r="S8" s="7" t="s">
        <v>13</v>
      </c>
    </row>
    <row r="9" spans="1:19" s="11" customFormat="1" x14ac:dyDescent="0.25">
      <c r="A9" s="64">
        <v>37006559</v>
      </c>
      <c r="B9" s="64" t="s">
        <v>215</v>
      </c>
      <c r="C9" s="64" t="s">
        <v>21</v>
      </c>
      <c r="D9" s="64" t="s">
        <v>198</v>
      </c>
      <c r="E9" s="64" t="s">
        <v>513</v>
      </c>
      <c r="F9" s="64">
        <v>373105</v>
      </c>
      <c r="G9" s="64" t="s">
        <v>18</v>
      </c>
      <c r="H9" s="64">
        <v>4021</v>
      </c>
      <c r="I9" s="64" t="s">
        <v>407</v>
      </c>
      <c r="J9" s="50">
        <v>20018135</v>
      </c>
      <c r="K9" s="101">
        <v>44473</v>
      </c>
      <c r="L9" s="127"/>
      <c r="M9" s="165" t="s">
        <v>360</v>
      </c>
      <c r="N9" s="101" t="s">
        <v>512</v>
      </c>
      <c r="O9" s="101" t="s">
        <v>542</v>
      </c>
      <c r="P9" s="97" t="s">
        <v>175</v>
      </c>
      <c r="Q9" s="7" t="s">
        <v>30</v>
      </c>
      <c r="R9" s="7" t="s">
        <v>183</v>
      </c>
      <c r="S9" s="7" t="s">
        <v>29</v>
      </c>
    </row>
    <row r="10" spans="1:19" s="11" customFormat="1" x14ac:dyDescent="0.25">
      <c r="A10" s="64">
        <v>37008812</v>
      </c>
      <c r="B10" s="64" t="s">
        <v>226</v>
      </c>
      <c r="C10" s="64" t="s">
        <v>208</v>
      </c>
      <c r="D10" s="64" t="s">
        <v>198</v>
      </c>
      <c r="E10" s="64" t="s">
        <v>548</v>
      </c>
      <c r="F10" s="64">
        <v>373105</v>
      </c>
      <c r="G10" s="64" t="s">
        <v>209</v>
      </c>
      <c r="H10" s="64">
        <v>4021</v>
      </c>
      <c r="I10" s="64" t="s">
        <v>406</v>
      </c>
      <c r="J10" s="64">
        <v>20036622</v>
      </c>
      <c r="K10" s="101">
        <v>44777</v>
      </c>
      <c r="L10" s="127"/>
      <c r="M10" s="165" t="s">
        <v>365</v>
      </c>
      <c r="N10" s="101" t="s">
        <v>512</v>
      </c>
      <c r="O10" s="101" t="s">
        <v>542</v>
      </c>
      <c r="P10" s="97" t="s">
        <v>175</v>
      </c>
      <c r="Q10" s="7" t="s">
        <v>35</v>
      </c>
      <c r="R10" s="7" t="s">
        <v>184</v>
      </c>
      <c r="S10" s="7" t="s">
        <v>29</v>
      </c>
    </row>
    <row r="11" spans="1:19" s="11" customFormat="1" x14ac:dyDescent="0.25">
      <c r="A11" s="125">
        <v>37006317</v>
      </c>
      <c r="B11" s="64" t="s">
        <v>42</v>
      </c>
      <c r="C11" s="64" t="s">
        <v>208</v>
      </c>
      <c r="D11" s="64" t="s">
        <v>198</v>
      </c>
      <c r="E11" s="64" t="s">
        <v>553</v>
      </c>
      <c r="F11" s="64" t="s">
        <v>24</v>
      </c>
      <c r="G11" s="64" t="s">
        <v>209</v>
      </c>
      <c r="H11" s="64"/>
      <c r="I11" s="64"/>
      <c r="J11" s="64">
        <v>20017044</v>
      </c>
      <c r="K11" s="101">
        <v>44447</v>
      </c>
      <c r="L11" s="64"/>
      <c r="M11" s="64" t="s">
        <v>371</v>
      </c>
      <c r="N11" s="127" t="s">
        <v>527</v>
      </c>
      <c r="O11" s="127" t="s">
        <v>541</v>
      </c>
      <c r="P11" s="97" t="s">
        <v>175</v>
      </c>
      <c r="Q11" s="7" t="s">
        <v>16</v>
      </c>
      <c r="R11" s="7" t="s">
        <v>185</v>
      </c>
      <c r="S11" s="7" t="s">
        <v>13</v>
      </c>
    </row>
    <row r="12" spans="1:19" s="11" customFormat="1" x14ac:dyDescent="0.25">
      <c r="A12" s="125">
        <v>37014499</v>
      </c>
      <c r="B12" s="64" t="s">
        <v>554</v>
      </c>
      <c r="C12" s="64" t="s">
        <v>208</v>
      </c>
      <c r="D12" s="64" t="s">
        <v>198</v>
      </c>
      <c r="E12" s="125" t="s">
        <v>555</v>
      </c>
      <c r="F12" s="125"/>
      <c r="G12" s="64" t="s">
        <v>209</v>
      </c>
      <c r="H12" s="125"/>
      <c r="I12" s="126"/>
      <c r="J12" s="126">
        <v>20059011</v>
      </c>
      <c r="K12" s="127">
        <v>45181</v>
      </c>
      <c r="L12" s="127"/>
      <c r="M12" s="198" t="s">
        <v>360</v>
      </c>
      <c r="N12" s="127" t="s">
        <v>527</v>
      </c>
      <c r="O12" s="127" t="s">
        <v>541</v>
      </c>
      <c r="P12" s="97" t="s">
        <v>175</v>
      </c>
      <c r="Q12" s="7"/>
      <c r="R12" s="7" t="s">
        <v>186</v>
      </c>
      <c r="S12" s="7"/>
    </row>
    <row r="13" spans="1:19" s="11" customFormat="1" x14ac:dyDescent="0.25">
      <c r="A13" s="125">
        <v>37015179</v>
      </c>
      <c r="B13" s="64" t="s">
        <v>535</v>
      </c>
      <c r="C13" s="64" t="s">
        <v>208</v>
      </c>
      <c r="D13" s="64" t="s">
        <v>198</v>
      </c>
      <c r="E13" s="125" t="s">
        <v>551</v>
      </c>
      <c r="F13" s="125">
        <v>373105</v>
      </c>
      <c r="G13" s="125" t="s">
        <v>209</v>
      </c>
      <c r="H13" s="125">
        <v>4021</v>
      </c>
      <c r="I13" s="126"/>
      <c r="J13" s="126">
        <v>20061495</v>
      </c>
      <c r="K13" s="127">
        <v>45237</v>
      </c>
      <c r="L13" s="127"/>
      <c r="M13" s="198" t="s">
        <v>360</v>
      </c>
      <c r="N13" s="127" t="s">
        <v>527</v>
      </c>
      <c r="O13" s="101" t="s">
        <v>541</v>
      </c>
      <c r="P13" s="17"/>
      <c r="Q13" s="17"/>
      <c r="R13" s="17"/>
      <c r="S13" s="18"/>
    </row>
    <row r="14" spans="1:19" s="11" customFormat="1" x14ac:dyDescent="0.25">
      <c r="A14" s="64">
        <v>37013006</v>
      </c>
      <c r="B14" s="64" t="s">
        <v>305</v>
      </c>
      <c r="C14" s="64" t="s">
        <v>300</v>
      </c>
      <c r="D14" s="64" t="s">
        <v>198</v>
      </c>
      <c r="E14" s="64" t="s">
        <v>310</v>
      </c>
      <c r="F14" s="64">
        <v>373105</v>
      </c>
      <c r="G14" s="64" t="s">
        <v>431</v>
      </c>
      <c r="H14" s="64">
        <v>4021</v>
      </c>
      <c r="I14" s="50" t="s">
        <v>406</v>
      </c>
      <c r="J14" s="50">
        <v>20052425</v>
      </c>
      <c r="K14" s="101">
        <v>45083</v>
      </c>
      <c r="L14" s="127"/>
      <c r="M14" s="198" t="s">
        <v>521</v>
      </c>
      <c r="N14" s="101" t="s">
        <v>512</v>
      </c>
      <c r="O14" s="101" t="s">
        <v>542</v>
      </c>
      <c r="P14" s="17"/>
      <c r="Q14" s="17"/>
      <c r="R14" s="18"/>
    </row>
    <row r="15" spans="1:19" x14ac:dyDescent="0.25">
      <c r="A15" s="125">
        <v>37020934</v>
      </c>
      <c r="B15" s="125" t="s">
        <v>505</v>
      </c>
      <c r="C15" s="64" t="s">
        <v>208</v>
      </c>
      <c r="D15" s="64" t="s">
        <v>198</v>
      </c>
      <c r="E15" s="125" t="s">
        <v>506</v>
      </c>
      <c r="F15" s="125">
        <v>373105</v>
      </c>
      <c r="G15" s="125" t="s">
        <v>209</v>
      </c>
      <c r="H15" s="125">
        <v>4021</v>
      </c>
      <c r="I15" s="126"/>
      <c r="J15" s="126">
        <v>20085371</v>
      </c>
      <c r="K15" s="127">
        <v>45706</v>
      </c>
      <c r="L15" s="127"/>
      <c r="M15" s="198" t="s">
        <v>359</v>
      </c>
      <c r="N15" s="127" t="s">
        <v>527</v>
      </c>
      <c r="O15" s="101" t="s">
        <v>541</v>
      </c>
      <c r="P15" s="11"/>
      <c r="Q15" s="11"/>
      <c r="R15" s="11"/>
      <c r="S15" s="11"/>
    </row>
    <row r="16" spans="1:19" s="11" customFormat="1" x14ac:dyDescent="0.25">
      <c r="A16" s="64">
        <v>37005964</v>
      </c>
      <c r="B16" s="64" t="s">
        <v>216</v>
      </c>
      <c r="C16" s="64" t="s">
        <v>14</v>
      </c>
      <c r="D16" s="64" t="s">
        <v>198</v>
      </c>
      <c r="E16" s="64" t="s">
        <v>514</v>
      </c>
      <c r="F16" s="64">
        <v>373105</v>
      </c>
      <c r="G16" s="64" t="s">
        <v>13</v>
      </c>
      <c r="H16" s="64">
        <v>4021</v>
      </c>
      <c r="I16" s="50" t="s">
        <v>406</v>
      </c>
      <c r="J16" s="50">
        <v>20016767</v>
      </c>
      <c r="K16" s="101">
        <v>44382</v>
      </c>
      <c r="L16" s="127"/>
      <c r="M16" s="198" t="s">
        <v>375</v>
      </c>
      <c r="N16" s="101" t="s">
        <v>512</v>
      </c>
      <c r="O16" s="101" t="s">
        <v>542</v>
      </c>
    </row>
    <row r="17" spans="1:19 16380:16381" s="11" customFormat="1" x14ac:dyDescent="0.25">
      <c r="A17" s="64">
        <v>37010940</v>
      </c>
      <c r="B17" s="64" t="s">
        <v>229</v>
      </c>
      <c r="C17" s="64" t="s">
        <v>300</v>
      </c>
      <c r="D17" s="64" t="s">
        <v>198</v>
      </c>
      <c r="E17" s="64" t="s">
        <v>309</v>
      </c>
      <c r="F17" s="64">
        <v>373105</v>
      </c>
      <c r="G17" s="64" t="s">
        <v>431</v>
      </c>
      <c r="H17" s="64">
        <v>4021</v>
      </c>
      <c r="I17" s="50" t="s">
        <v>406</v>
      </c>
      <c r="J17" s="50">
        <v>20041612</v>
      </c>
      <c r="K17" s="101">
        <v>44949</v>
      </c>
      <c r="L17" s="127"/>
      <c r="M17" s="198" t="s">
        <v>521</v>
      </c>
      <c r="N17" s="101" t="s">
        <v>512</v>
      </c>
      <c r="O17" s="101" t="s">
        <v>544</v>
      </c>
    </row>
    <row r="18" spans="1:19 16380:16381" x14ac:dyDescent="0.25">
      <c r="A18" s="64">
        <v>37005769</v>
      </c>
      <c r="B18" s="64" t="s">
        <v>55</v>
      </c>
      <c r="C18" s="64" t="s">
        <v>25</v>
      </c>
      <c r="D18" s="64" t="s">
        <v>198</v>
      </c>
      <c r="E18" s="64" t="s">
        <v>210</v>
      </c>
      <c r="F18" s="64">
        <v>373105</v>
      </c>
      <c r="G18" s="64" t="s">
        <v>24</v>
      </c>
      <c r="H18" s="64">
        <v>4021</v>
      </c>
      <c r="I18" s="50" t="s">
        <v>407</v>
      </c>
      <c r="J18" s="50">
        <v>20016042</v>
      </c>
      <c r="K18" s="101">
        <v>44348</v>
      </c>
      <c r="L18" s="127"/>
      <c r="M18" s="198" t="s">
        <v>370</v>
      </c>
      <c r="N18" s="101" t="s">
        <v>512</v>
      </c>
      <c r="O18" s="101" t="s">
        <v>544</v>
      </c>
      <c r="P18" s="11"/>
      <c r="Q18" s="11"/>
      <c r="R18" s="11"/>
      <c r="S18" s="11"/>
    </row>
    <row r="19" spans="1:19 16380:16381" x14ac:dyDescent="0.25">
      <c r="A19" s="125">
        <v>37019476</v>
      </c>
      <c r="B19" s="128" t="s">
        <v>435</v>
      </c>
      <c r="C19" s="102" t="s">
        <v>301</v>
      </c>
      <c r="D19" s="64" t="s">
        <v>198</v>
      </c>
      <c r="E19" s="125" t="s">
        <v>523</v>
      </c>
      <c r="F19" s="64">
        <v>373105</v>
      </c>
      <c r="G19" s="64" t="s">
        <v>197</v>
      </c>
      <c r="H19" s="64">
        <v>4021</v>
      </c>
      <c r="I19" s="50" t="s">
        <v>476</v>
      </c>
      <c r="J19" s="126">
        <v>20078661</v>
      </c>
      <c r="K19" s="127">
        <v>45573</v>
      </c>
      <c r="L19" s="127"/>
      <c r="M19" s="198" t="s">
        <v>524</v>
      </c>
      <c r="N19" s="101" t="s">
        <v>512</v>
      </c>
      <c r="O19" s="101" t="s">
        <v>544</v>
      </c>
      <c r="P19" s="11"/>
      <c r="Q19" s="11"/>
      <c r="R19" s="11"/>
      <c r="S19" s="11"/>
    </row>
    <row r="20" spans="1:19 16380:16381" s="11" customFormat="1" x14ac:dyDescent="0.25">
      <c r="A20" s="125">
        <v>37021084</v>
      </c>
      <c r="B20" s="125" t="s">
        <v>510</v>
      </c>
      <c r="C20" s="102" t="s">
        <v>301</v>
      </c>
      <c r="D20" s="64" t="s">
        <v>198</v>
      </c>
      <c r="E20" s="125" t="s">
        <v>520</v>
      </c>
      <c r="F20" s="64">
        <v>373105</v>
      </c>
      <c r="G20" s="64" t="s">
        <v>197</v>
      </c>
      <c r="H20" s="64">
        <v>4021</v>
      </c>
      <c r="I20" s="126"/>
      <c r="J20" s="126">
        <v>20086575</v>
      </c>
      <c r="K20" s="127">
        <v>45727</v>
      </c>
      <c r="L20" s="127"/>
      <c r="M20" s="198" t="s">
        <v>522</v>
      </c>
      <c r="N20" s="127" t="s">
        <v>512</v>
      </c>
      <c r="O20" s="101" t="s">
        <v>542</v>
      </c>
      <c r="P20" s="19"/>
      <c r="Q20" s="19"/>
      <c r="R20" s="19"/>
      <c r="S20" s="19"/>
    </row>
    <row r="21" spans="1:19 16380:16381" s="11" customFormat="1" x14ac:dyDescent="0.25">
      <c r="A21" s="64">
        <v>37008647</v>
      </c>
      <c r="B21" s="64" t="s">
        <v>473</v>
      </c>
      <c r="C21" s="64" t="s">
        <v>30</v>
      </c>
      <c r="D21" s="64" t="s">
        <v>198</v>
      </c>
      <c r="E21" s="64" t="s">
        <v>519</v>
      </c>
      <c r="F21" s="64">
        <v>373105</v>
      </c>
      <c r="G21" s="64" t="s">
        <v>29</v>
      </c>
      <c r="H21" s="64">
        <v>4021</v>
      </c>
      <c r="I21" s="50" t="s">
        <v>407</v>
      </c>
      <c r="J21" s="50">
        <v>20028414</v>
      </c>
      <c r="K21" s="101">
        <v>44760</v>
      </c>
      <c r="L21" s="127"/>
      <c r="M21" s="198" t="s">
        <v>358</v>
      </c>
      <c r="N21" s="101" t="s">
        <v>512</v>
      </c>
      <c r="O21" s="101" t="s">
        <v>542</v>
      </c>
    </row>
    <row r="22" spans="1:19 16380:16381" s="11" customFormat="1" x14ac:dyDescent="0.25">
      <c r="A22" s="64">
        <v>37010474</v>
      </c>
      <c r="B22" s="64" t="s">
        <v>223</v>
      </c>
      <c r="C22" s="64" t="s">
        <v>208</v>
      </c>
      <c r="D22" s="64" t="s">
        <v>198</v>
      </c>
      <c r="E22" s="64" t="s">
        <v>528</v>
      </c>
      <c r="F22" s="64">
        <v>373105</v>
      </c>
      <c r="G22" s="64" t="s">
        <v>209</v>
      </c>
      <c r="H22" s="64">
        <v>4021</v>
      </c>
      <c r="I22" s="50" t="s">
        <v>406</v>
      </c>
      <c r="J22" s="50">
        <v>20040207</v>
      </c>
      <c r="K22" s="101">
        <v>44914</v>
      </c>
      <c r="L22" s="127"/>
      <c r="M22" s="198" t="s">
        <v>375</v>
      </c>
      <c r="N22" s="101" t="s">
        <v>512</v>
      </c>
      <c r="O22" s="101" t="s">
        <v>542</v>
      </c>
      <c r="XEZ22" s="12"/>
      <c r="XFA22" s="13"/>
    </row>
    <row r="23" spans="1:19 16380:16381" s="11" customFormat="1" x14ac:dyDescent="0.25">
      <c r="A23" s="64">
        <v>37006674</v>
      </c>
      <c r="B23" s="64" t="s">
        <v>211</v>
      </c>
      <c r="C23" s="64" t="s">
        <v>19</v>
      </c>
      <c r="D23" s="64" t="s">
        <v>198</v>
      </c>
      <c r="E23" s="64" t="s">
        <v>212</v>
      </c>
      <c r="F23" s="64">
        <v>373105</v>
      </c>
      <c r="G23" s="64" t="s">
        <v>18</v>
      </c>
      <c r="H23" s="64">
        <v>4021</v>
      </c>
      <c r="I23" s="50" t="s">
        <v>405</v>
      </c>
      <c r="J23" s="50">
        <v>20019979</v>
      </c>
      <c r="K23" s="101">
        <v>44503</v>
      </c>
      <c r="L23" s="127"/>
      <c r="M23" s="198" t="s">
        <v>369</v>
      </c>
      <c r="N23" s="101" t="s">
        <v>512</v>
      </c>
      <c r="O23" s="101" t="s">
        <v>550</v>
      </c>
    </row>
    <row r="24" spans="1:19 16380:16381" s="11" customFormat="1" x14ac:dyDescent="0.25">
      <c r="A24" s="64">
        <v>37001183</v>
      </c>
      <c r="B24" s="64" t="s">
        <v>224</v>
      </c>
      <c r="C24" s="64" t="s">
        <v>208</v>
      </c>
      <c r="D24" s="64" t="s">
        <v>198</v>
      </c>
      <c r="E24" s="64" t="s">
        <v>225</v>
      </c>
      <c r="F24" s="64">
        <v>373105</v>
      </c>
      <c r="G24" s="64" t="s">
        <v>209</v>
      </c>
      <c r="H24" s="64">
        <v>4021</v>
      </c>
      <c r="I24" s="50" t="s">
        <v>406</v>
      </c>
      <c r="J24" s="50">
        <v>20009437</v>
      </c>
      <c r="K24" s="101">
        <v>41386</v>
      </c>
      <c r="L24" s="127"/>
      <c r="M24" s="198" t="s">
        <v>369</v>
      </c>
      <c r="N24" s="101" t="s">
        <v>512</v>
      </c>
      <c r="O24" s="101" t="s">
        <v>544</v>
      </c>
    </row>
    <row r="25" spans="1:19 16380:16381" s="11" customFormat="1" x14ac:dyDescent="0.25">
      <c r="A25" s="64">
        <v>37009320</v>
      </c>
      <c r="B25" s="64" t="s">
        <v>221</v>
      </c>
      <c r="C25" s="64" t="s">
        <v>208</v>
      </c>
      <c r="D25" s="64" t="s">
        <v>198</v>
      </c>
      <c r="E25" s="64" t="s">
        <v>222</v>
      </c>
      <c r="F25" s="64">
        <v>373105</v>
      </c>
      <c r="G25" s="64" t="s">
        <v>209</v>
      </c>
      <c r="H25" s="64">
        <v>4021</v>
      </c>
      <c r="I25" s="50" t="s">
        <v>407</v>
      </c>
      <c r="J25" s="50">
        <v>20032608</v>
      </c>
      <c r="K25" s="101">
        <v>44809</v>
      </c>
      <c r="L25" s="127"/>
      <c r="M25" s="198" t="s">
        <v>526</v>
      </c>
      <c r="N25" s="101" t="s">
        <v>527</v>
      </c>
      <c r="O25" s="101" t="s">
        <v>540</v>
      </c>
    </row>
    <row r="26" spans="1:19 16380:16381" s="11" customFormat="1" x14ac:dyDescent="0.25">
      <c r="A26" s="64">
        <v>37005933</v>
      </c>
      <c r="B26" s="64" t="s">
        <v>199</v>
      </c>
      <c r="C26" s="102" t="s">
        <v>200</v>
      </c>
      <c r="D26" s="64" t="s">
        <v>198</v>
      </c>
      <c r="E26" s="64" t="s">
        <v>312</v>
      </c>
      <c r="F26" s="64">
        <v>373105</v>
      </c>
      <c r="G26" s="64" t="s">
        <v>29</v>
      </c>
      <c r="H26" s="64">
        <v>4021</v>
      </c>
      <c r="I26" s="50" t="s">
        <v>406</v>
      </c>
      <c r="J26" s="50">
        <v>20016748</v>
      </c>
      <c r="K26" s="101">
        <v>44382</v>
      </c>
      <c r="L26" s="127"/>
      <c r="M26" s="198" t="s">
        <v>360</v>
      </c>
      <c r="N26" s="101" t="s">
        <v>512</v>
      </c>
      <c r="O26" s="101" t="s">
        <v>542</v>
      </c>
    </row>
    <row r="27" spans="1:19 16380:16381" x14ac:dyDescent="0.25">
      <c r="A27" s="64">
        <v>37015225</v>
      </c>
      <c r="B27" s="64" t="s">
        <v>227</v>
      </c>
      <c r="C27" s="102" t="s">
        <v>385</v>
      </c>
      <c r="D27" s="64" t="s">
        <v>198</v>
      </c>
      <c r="E27" s="64" t="s">
        <v>306</v>
      </c>
      <c r="F27" s="64">
        <v>373105</v>
      </c>
      <c r="G27" s="64" t="s">
        <v>24</v>
      </c>
      <c r="H27" s="64">
        <v>4021</v>
      </c>
      <c r="I27" s="50" t="s">
        <v>406</v>
      </c>
      <c r="J27" s="50">
        <v>20061883</v>
      </c>
      <c r="K27" s="101">
        <v>45237</v>
      </c>
      <c r="L27" s="127"/>
      <c r="M27" s="198" t="s">
        <v>526</v>
      </c>
      <c r="N27" s="101" t="s">
        <v>512</v>
      </c>
      <c r="O27" s="101" t="s">
        <v>545</v>
      </c>
    </row>
    <row r="28" spans="1:19 16380:16381" s="11" customFormat="1" x14ac:dyDescent="0.25">
      <c r="A28" s="64">
        <v>37006336</v>
      </c>
      <c r="B28" s="64" t="s">
        <v>536</v>
      </c>
      <c r="C28" s="64" t="s">
        <v>208</v>
      </c>
      <c r="D28" s="64" t="s">
        <v>198</v>
      </c>
      <c r="E28" s="64" t="s">
        <v>552</v>
      </c>
      <c r="F28" s="64"/>
      <c r="G28" s="64" t="s">
        <v>209</v>
      </c>
      <c r="H28" s="64"/>
      <c r="I28" s="50"/>
      <c r="J28" s="50"/>
      <c r="K28" s="101">
        <v>44447</v>
      </c>
      <c r="L28" s="127"/>
      <c r="M28" s="198" t="s">
        <v>358</v>
      </c>
      <c r="N28" s="101" t="s">
        <v>527</v>
      </c>
      <c r="O28" s="127" t="s">
        <v>541</v>
      </c>
    </row>
    <row r="29" spans="1:19 16380:16381" s="11" customFormat="1" x14ac:dyDescent="0.25">
      <c r="A29" s="64">
        <v>37020294</v>
      </c>
      <c r="B29" s="64" t="s">
        <v>482</v>
      </c>
      <c r="C29" s="64" t="s">
        <v>481</v>
      </c>
      <c r="D29" s="104" t="s">
        <v>198</v>
      </c>
      <c r="E29" s="64" t="s">
        <v>525</v>
      </c>
      <c r="F29" s="104">
        <v>373105</v>
      </c>
      <c r="G29" s="104" t="s">
        <v>13</v>
      </c>
      <c r="H29" s="104">
        <v>4021</v>
      </c>
      <c r="I29" s="106" t="s">
        <v>406</v>
      </c>
      <c r="J29" s="50">
        <v>20083253</v>
      </c>
      <c r="K29" s="101">
        <v>45636</v>
      </c>
      <c r="L29" s="127"/>
      <c r="M29" s="198" t="s">
        <v>360</v>
      </c>
      <c r="N29" s="101" t="s">
        <v>527</v>
      </c>
      <c r="O29" s="101" t="s">
        <v>541</v>
      </c>
    </row>
    <row r="30" spans="1:19 16380:16381" s="11" customFormat="1" x14ac:dyDescent="0.25">
      <c r="A30" s="64">
        <v>37011935</v>
      </c>
      <c r="B30" s="64" t="s">
        <v>202</v>
      </c>
      <c r="C30" s="102" t="s">
        <v>301</v>
      </c>
      <c r="D30" s="64" t="s">
        <v>198</v>
      </c>
      <c r="E30" s="64" t="s">
        <v>203</v>
      </c>
      <c r="F30" s="64">
        <v>373105</v>
      </c>
      <c r="G30" s="64" t="s">
        <v>197</v>
      </c>
      <c r="H30" s="64">
        <v>4021</v>
      </c>
      <c r="I30" s="50" t="s">
        <v>476</v>
      </c>
      <c r="J30" s="50">
        <v>20046764</v>
      </c>
      <c r="K30" s="101">
        <v>45019</v>
      </c>
      <c r="L30" s="127"/>
      <c r="M30" s="198" t="s">
        <v>522</v>
      </c>
      <c r="N30" s="101" t="s">
        <v>512</v>
      </c>
      <c r="O30" s="101" t="s">
        <v>542</v>
      </c>
    </row>
    <row r="31" spans="1:19 16380:16381" s="11" customFormat="1" hidden="1" x14ac:dyDescent="0.25">
      <c r="A31" s="64"/>
      <c r="B31" s="64" t="s">
        <v>302</v>
      </c>
      <c r="C31" s="64" t="s">
        <v>300</v>
      </c>
      <c r="D31" s="64" t="s">
        <v>193</v>
      </c>
      <c r="E31" s="64" t="s">
        <v>303</v>
      </c>
      <c r="F31" s="64">
        <v>373105</v>
      </c>
      <c r="G31" s="64" t="s">
        <v>431</v>
      </c>
      <c r="H31" s="64">
        <v>11213</v>
      </c>
      <c r="I31" s="50" t="s">
        <v>403</v>
      </c>
      <c r="J31" s="50">
        <v>20018176</v>
      </c>
      <c r="K31" s="101">
        <v>44816</v>
      </c>
      <c r="L31" s="101" t="s">
        <v>490</v>
      </c>
      <c r="M31" s="198"/>
      <c r="N31" s="127" t="s">
        <v>190</v>
      </c>
      <c r="O31" s="101" t="s">
        <v>190</v>
      </c>
    </row>
    <row r="32" spans="1:19 16380:16381" s="11" customFormat="1" hidden="1" x14ac:dyDescent="0.25">
      <c r="A32" s="64"/>
      <c r="B32" s="64" t="s">
        <v>207</v>
      </c>
      <c r="C32" s="102" t="s">
        <v>208</v>
      </c>
      <c r="D32" s="64" t="s">
        <v>198</v>
      </c>
      <c r="E32" s="64" t="s">
        <v>311</v>
      </c>
      <c r="F32" s="64">
        <v>373105</v>
      </c>
      <c r="G32" s="64" t="s">
        <v>209</v>
      </c>
      <c r="H32" s="64">
        <v>4021</v>
      </c>
      <c r="I32" s="50" t="s">
        <v>407</v>
      </c>
      <c r="J32" s="50">
        <v>20064721</v>
      </c>
      <c r="K32" s="101">
        <v>45706</v>
      </c>
      <c r="L32" s="101">
        <v>45719</v>
      </c>
      <c r="M32" s="198"/>
      <c r="N32" s="101" t="s">
        <v>190</v>
      </c>
      <c r="O32" s="101" t="s">
        <v>190</v>
      </c>
    </row>
    <row r="33" spans="1:15" s="11" customFormat="1" hidden="1" x14ac:dyDescent="0.25">
      <c r="A33" s="64"/>
      <c r="B33" s="64" t="s">
        <v>125</v>
      </c>
      <c r="C33" s="102" t="s">
        <v>35</v>
      </c>
      <c r="D33" s="64" t="s">
        <v>198</v>
      </c>
      <c r="E33" s="64" t="s">
        <v>201</v>
      </c>
      <c r="F33" s="64">
        <v>373105</v>
      </c>
      <c r="G33" s="64" t="s">
        <v>29</v>
      </c>
      <c r="H33" s="64">
        <v>4021</v>
      </c>
      <c r="I33" s="50"/>
      <c r="J33" s="50">
        <v>20032967</v>
      </c>
      <c r="K33" s="101">
        <v>45111</v>
      </c>
      <c r="L33" s="105">
        <v>45541</v>
      </c>
      <c r="M33" s="198"/>
      <c r="N33" s="101" t="s">
        <v>190</v>
      </c>
      <c r="O33" s="127" t="s">
        <v>190</v>
      </c>
    </row>
    <row r="34" spans="1:15" s="11" customFormat="1" hidden="1" x14ac:dyDescent="0.25">
      <c r="A34" s="64"/>
      <c r="B34" s="64" t="s">
        <v>204</v>
      </c>
      <c r="C34" s="102" t="s">
        <v>301</v>
      </c>
      <c r="D34" s="64" t="s">
        <v>198</v>
      </c>
      <c r="E34" s="64"/>
      <c r="F34" s="64">
        <v>373105</v>
      </c>
      <c r="G34" s="64" t="s">
        <v>197</v>
      </c>
      <c r="H34" s="64">
        <v>4021</v>
      </c>
      <c r="I34" s="50"/>
      <c r="J34" s="50">
        <v>20069979</v>
      </c>
      <c r="K34" s="101">
        <v>44291</v>
      </c>
      <c r="L34" s="101">
        <v>45504</v>
      </c>
      <c r="M34" s="198"/>
      <c r="N34" s="101" t="s">
        <v>190</v>
      </c>
      <c r="O34" s="127" t="s">
        <v>190</v>
      </c>
    </row>
    <row r="35" spans="1:15" hidden="1" x14ac:dyDescent="0.25">
      <c r="A35" s="64"/>
      <c r="B35" s="64" t="s">
        <v>228</v>
      </c>
      <c r="C35" s="64" t="s">
        <v>301</v>
      </c>
      <c r="D35" s="64" t="s">
        <v>198</v>
      </c>
      <c r="E35" s="64"/>
      <c r="F35" s="64">
        <v>373105</v>
      </c>
      <c r="G35" s="64" t="s">
        <v>197</v>
      </c>
      <c r="H35" s="64">
        <v>4021</v>
      </c>
      <c r="I35" s="50"/>
      <c r="J35" s="50">
        <v>20062772</v>
      </c>
      <c r="K35" s="101">
        <v>40763</v>
      </c>
      <c r="L35" s="101">
        <v>45548</v>
      </c>
      <c r="M35" s="198"/>
      <c r="N35" s="101" t="s">
        <v>190</v>
      </c>
      <c r="O35" s="127" t="s">
        <v>190</v>
      </c>
    </row>
    <row r="36" spans="1:15" s="11" customFormat="1" hidden="1" x14ac:dyDescent="0.25">
      <c r="A36" s="64"/>
      <c r="B36" s="64" t="s">
        <v>480</v>
      </c>
      <c r="C36" s="102" t="s">
        <v>301</v>
      </c>
      <c r="D36" s="64" t="s">
        <v>198</v>
      </c>
      <c r="E36" s="64" t="s">
        <v>373</v>
      </c>
      <c r="F36" s="64">
        <v>373105</v>
      </c>
      <c r="G36" s="64" t="s">
        <v>197</v>
      </c>
      <c r="H36" s="64">
        <v>4021</v>
      </c>
      <c r="I36" s="50" t="s">
        <v>477</v>
      </c>
      <c r="J36" s="50">
        <v>20065472</v>
      </c>
      <c r="K36" s="101">
        <v>44333</v>
      </c>
      <c r="L36" s="101">
        <v>45692</v>
      </c>
      <c r="M36" s="198"/>
      <c r="N36" s="101" t="s">
        <v>190</v>
      </c>
      <c r="O36" s="127" t="s">
        <v>190</v>
      </c>
    </row>
    <row r="37" spans="1:15" x14ac:dyDescent="0.25">
      <c r="A37" s="64">
        <v>37015337</v>
      </c>
      <c r="B37" s="64" t="s">
        <v>387</v>
      </c>
      <c r="C37" s="64" t="s">
        <v>35</v>
      </c>
      <c r="D37" s="101" t="s">
        <v>198</v>
      </c>
      <c r="E37" s="101" t="s">
        <v>201</v>
      </c>
      <c r="F37" s="64">
        <v>373105</v>
      </c>
      <c r="G37" s="50" t="s">
        <v>29</v>
      </c>
      <c r="H37" s="50">
        <v>4021</v>
      </c>
      <c r="I37" s="50" t="s">
        <v>408</v>
      </c>
      <c r="J37" s="50">
        <v>20062321</v>
      </c>
      <c r="K37" s="101">
        <v>45251</v>
      </c>
      <c r="L37" s="127"/>
      <c r="M37" s="198" t="s">
        <v>359</v>
      </c>
      <c r="N37" s="101" t="s">
        <v>512</v>
      </c>
      <c r="O37" s="101" t="s">
        <v>542</v>
      </c>
    </row>
    <row r="38" spans="1:15" hidden="1" x14ac:dyDescent="0.25">
      <c r="A38" s="125"/>
      <c r="B38" s="128" t="s">
        <v>436</v>
      </c>
      <c r="C38" s="102" t="s">
        <v>301</v>
      </c>
      <c r="D38" s="64" t="s">
        <v>466</v>
      </c>
      <c r="E38" s="125"/>
      <c r="F38" s="125">
        <v>373110</v>
      </c>
      <c r="G38" s="64" t="s">
        <v>197</v>
      </c>
      <c r="H38" s="64">
        <v>4021</v>
      </c>
      <c r="I38" s="50" t="s">
        <v>475</v>
      </c>
      <c r="J38" s="126">
        <v>20080109</v>
      </c>
      <c r="K38" s="127">
        <v>45580</v>
      </c>
      <c r="L38" s="127">
        <v>45652</v>
      </c>
      <c r="M38" s="198"/>
      <c r="N38" s="127" t="s">
        <v>190</v>
      </c>
      <c r="O38" s="127" t="s">
        <v>190</v>
      </c>
    </row>
    <row r="39" spans="1:15" x14ac:dyDescent="0.25">
      <c r="A39" s="64">
        <v>37000921</v>
      </c>
      <c r="B39" s="64" t="s">
        <v>213</v>
      </c>
      <c r="C39" s="102" t="s">
        <v>386</v>
      </c>
      <c r="D39" s="64" t="s">
        <v>198</v>
      </c>
      <c r="E39" s="64" t="s">
        <v>214</v>
      </c>
      <c r="F39" s="64">
        <v>373105</v>
      </c>
      <c r="G39" s="64" t="s">
        <v>18</v>
      </c>
      <c r="H39" s="64">
        <v>4021</v>
      </c>
      <c r="I39" s="50" t="s">
        <v>406</v>
      </c>
      <c r="J39" s="50">
        <v>20010019</v>
      </c>
      <c r="K39" s="101">
        <v>40763</v>
      </c>
      <c r="L39" s="127"/>
      <c r="M39" s="198" t="s">
        <v>369</v>
      </c>
      <c r="N39" s="101" t="s">
        <v>512</v>
      </c>
      <c r="O39" s="101" t="s">
        <v>546</v>
      </c>
    </row>
    <row r="40" spans="1:15" x14ac:dyDescent="0.25">
      <c r="A40" s="64">
        <v>37005690</v>
      </c>
      <c r="B40" s="64" t="s">
        <v>205</v>
      </c>
      <c r="C40" s="64" t="s">
        <v>49</v>
      </c>
      <c r="D40" s="64" t="s">
        <v>198</v>
      </c>
      <c r="E40" s="64" t="s">
        <v>206</v>
      </c>
      <c r="F40" s="64">
        <v>373105</v>
      </c>
      <c r="G40" s="64" t="s">
        <v>24</v>
      </c>
      <c r="H40" s="64">
        <v>4021</v>
      </c>
      <c r="I40" s="50" t="s">
        <v>407</v>
      </c>
      <c r="J40" s="50">
        <v>20014475</v>
      </c>
      <c r="K40" s="101">
        <v>44333</v>
      </c>
      <c r="L40" s="127"/>
      <c r="M40" s="198" t="s">
        <v>526</v>
      </c>
      <c r="N40" s="101" t="s">
        <v>512</v>
      </c>
      <c r="O40" s="101" t="s">
        <v>546</v>
      </c>
    </row>
    <row r="41" spans="1:15" x14ac:dyDescent="0.25">
      <c r="A41" s="64">
        <v>37012197</v>
      </c>
      <c r="B41" s="64" t="s">
        <v>158</v>
      </c>
      <c r="C41" s="104" t="s">
        <v>16</v>
      </c>
      <c r="D41" s="104" t="s">
        <v>198</v>
      </c>
      <c r="E41" s="104" t="s">
        <v>311</v>
      </c>
      <c r="F41" s="104">
        <v>373105</v>
      </c>
      <c r="G41" s="104" t="s">
        <v>13</v>
      </c>
      <c r="H41" s="104">
        <v>4021</v>
      </c>
      <c r="I41" s="106" t="s">
        <v>406</v>
      </c>
      <c r="J41" s="106">
        <v>20048548</v>
      </c>
      <c r="K41" s="105">
        <v>45034</v>
      </c>
      <c r="L41" s="127"/>
      <c r="M41" s="198" t="s">
        <v>526</v>
      </c>
      <c r="N41" s="101" t="s">
        <v>512</v>
      </c>
      <c r="O41" s="101" t="s">
        <v>542</v>
      </c>
    </row>
    <row r="42" spans="1:15" x14ac:dyDescent="0.25">
      <c r="A42" s="64">
        <v>37009387</v>
      </c>
      <c r="B42" s="64" t="s">
        <v>304</v>
      </c>
      <c r="C42" s="64" t="s">
        <v>300</v>
      </c>
      <c r="D42" s="64" t="s">
        <v>466</v>
      </c>
      <c r="E42" s="64" t="s">
        <v>308</v>
      </c>
      <c r="F42" s="64"/>
      <c r="G42" s="64" t="s">
        <v>431</v>
      </c>
      <c r="H42" s="64">
        <v>4021</v>
      </c>
      <c r="I42" s="50" t="s">
        <v>407</v>
      </c>
      <c r="J42" s="50">
        <v>20033693</v>
      </c>
      <c r="K42" s="101">
        <v>44816</v>
      </c>
      <c r="L42" s="127"/>
      <c r="M42" s="198" t="s">
        <v>261</v>
      </c>
      <c r="N42" s="127" t="s">
        <v>190</v>
      </c>
      <c r="O42" s="127" t="s">
        <v>190</v>
      </c>
    </row>
    <row r="43" spans="1:15" x14ac:dyDescent="0.25">
      <c r="A43" s="125">
        <v>37020896</v>
      </c>
      <c r="B43" s="128" t="s">
        <v>507</v>
      </c>
      <c r="C43" s="102" t="s">
        <v>301</v>
      </c>
      <c r="D43" s="64" t="s">
        <v>466</v>
      </c>
      <c r="E43" s="125"/>
      <c r="F43" s="64">
        <v>373110</v>
      </c>
      <c r="G43" s="64" t="s">
        <v>197</v>
      </c>
      <c r="H43" s="64">
        <v>4021</v>
      </c>
      <c r="I43" s="126"/>
      <c r="J43" s="126">
        <v>20085314</v>
      </c>
      <c r="K43" s="127">
        <v>45706</v>
      </c>
      <c r="L43" s="127"/>
      <c r="M43" s="198" t="s">
        <v>261</v>
      </c>
      <c r="N43" s="127" t="s">
        <v>190</v>
      </c>
      <c r="O43" s="127" t="s">
        <v>190</v>
      </c>
    </row>
    <row r="44" spans="1:15" x14ac:dyDescent="0.25">
      <c r="A44" s="64">
        <v>37003203</v>
      </c>
      <c r="B44" s="64" t="s">
        <v>218</v>
      </c>
      <c r="C44" s="64" t="s">
        <v>383</v>
      </c>
      <c r="D44" s="64" t="s">
        <v>219</v>
      </c>
      <c r="E44" s="64" t="s">
        <v>220</v>
      </c>
      <c r="F44" s="64">
        <v>373105</v>
      </c>
      <c r="G44" s="64" t="s">
        <v>18</v>
      </c>
      <c r="H44" s="64">
        <v>4022</v>
      </c>
      <c r="I44" s="50" t="s">
        <v>409</v>
      </c>
      <c r="J44" s="50">
        <v>20009839</v>
      </c>
      <c r="K44" s="101">
        <v>43605</v>
      </c>
      <c r="L44" s="127"/>
      <c r="M44" s="198" t="s">
        <v>369</v>
      </c>
      <c r="N44" s="127" t="s">
        <v>512</v>
      </c>
      <c r="O44" s="101" t="s">
        <v>544</v>
      </c>
    </row>
    <row r="45" spans="1:15" x14ac:dyDescent="0.25">
      <c r="A45" s="64"/>
      <c r="B45" s="64" t="s">
        <v>83</v>
      </c>
      <c r="C45" s="64"/>
      <c r="D45" s="64" t="s">
        <v>219</v>
      </c>
      <c r="E45" s="64"/>
      <c r="F45" s="64"/>
      <c r="G45" s="64"/>
      <c r="H45" s="64"/>
      <c r="I45" s="50"/>
      <c r="J45" s="50"/>
      <c r="K45" s="101">
        <v>45809</v>
      </c>
      <c r="L45" s="101"/>
      <c r="M45" s="101"/>
      <c r="N45" s="101"/>
      <c r="O45" s="101"/>
    </row>
  </sheetData>
  <hyperlinks>
    <hyperlink ref="M21" r:id="rId1" display="https://pt.wikipedia.org/wiki/Jo%C3%A3o_Pinheiro" xr:uid="{D749840E-D1A6-4272-B4CB-867E508C45F2}"/>
  </hyperlinks>
  <pageMargins left="0.511811024" right="0.511811024" top="0.78740157499999996" bottom="0.78740157499999996" header="0.31496062000000002" footer="0.31496062000000002"/>
  <pageSetup paperSize="9" scale="27" fitToHeight="0" orientation="landscape"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A1:XFD80"/>
  <sheetViews>
    <sheetView showGridLines="0" zoomScaleNormal="100" workbookViewId="0">
      <selection activeCell="A4" sqref="A4"/>
    </sheetView>
  </sheetViews>
  <sheetFormatPr defaultRowHeight="15" x14ac:dyDescent="0.25"/>
  <cols>
    <col min="1" max="1" width="14" bestFit="1" customWidth="1"/>
    <col min="2" max="2" width="40.42578125" customWidth="1"/>
    <col min="3" max="3" width="17.85546875" customWidth="1"/>
    <col min="4" max="4" width="27.85546875" customWidth="1"/>
    <col min="5" max="5" width="18" customWidth="1"/>
    <col min="6" max="6" width="35" customWidth="1"/>
    <col min="7" max="7" width="18.85546875" customWidth="1"/>
    <col min="8" max="8" width="26.7109375" customWidth="1"/>
    <col min="9" max="9" width="21.5703125" bestFit="1" customWidth="1"/>
    <col min="10" max="10" width="36" hidden="1" customWidth="1"/>
    <col min="11" max="11" width="15.28515625" customWidth="1"/>
    <col min="12" max="12" width="24" hidden="1" customWidth="1"/>
    <col min="13" max="13" width="54.28515625" hidden="1" customWidth="1"/>
    <col min="14" max="14" width="61.42578125" hidden="1" customWidth="1"/>
    <col min="15" max="15" width="14.140625" hidden="1" customWidth="1"/>
    <col min="16" max="17" width="38.28515625" customWidth="1"/>
    <col min="18" max="18" width="38.28515625" bestFit="1" customWidth="1"/>
    <col min="19" max="19" width="9.28515625" bestFit="1" customWidth="1"/>
    <col min="20" max="20" width="31" bestFit="1" customWidth="1"/>
    <col min="21" max="21" width="32.42578125" bestFit="1" customWidth="1"/>
  </cols>
  <sheetData>
    <row r="1" spans="1:2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8</v>
      </c>
      <c r="F1" s="21" t="s">
        <v>5</v>
      </c>
      <c r="G1" s="21" t="s">
        <v>7</v>
      </c>
      <c r="H1" s="160" t="s">
        <v>388</v>
      </c>
      <c r="I1" s="21" t="s">
        <v>356</v>
      </c>
      <c r="J1" s="21" t="s">
        <v>563</v>
      </c>
      <c r="K1" s="161" t="s">
        <v>10</v>
      </c>
      <c r="L1" s="22" t="s">
        <v>355</v>
      </c>
      <c r="M1" s="22" t="s">
        <v>434</v>
      </c>
      <c r="N1" s="123" t="s">
        <v>333</v>
      </c>
      <c r="O1" s="123" t="s">
        <v>352</v>
      </c>
      <c r="R1" s="6" t="s">
        <v>171</v>
      </c>
      <c r="S1" s="6" t="s">
        <v>172</v>
      </c>
      <c r="T1" s="6" t="s">
        <v>173</v>
      </c>
      <c r="U1" s="6" t="s">
        <v>174</v>
      </c>
    </row>
    <row r="2" spans="1:21" s="11" customFormat="1" ht="18" customHeight="1" x14ac:dyDescent="0.25">
      <c r="A2" s="205">
        <v>37016887</v>
      </c>
      <c r="B2" s="89" t="s">
        <v>245</v>
      </c>
      <c r="C2" s="93" t="s">
        <v>25</v>
      </c>
      <c r="D2" s="89" t="s">
        <v>236</v>
      </c>
      <c r="E2" s="24">
        <v>45363</v>
      </c>
      <c r="F2" s="23" t="s">
        <v>24</v>
      </c>
      <c r="G2" s="23">
        <v>20065483</v>
      </c>
      <c r="H2" s="87"/>
      <c r="I2" s="23">
        <v>373114</v>
      </c>
      <c r="J2" s="23" t="s">
        <v>565</v>
      </c>
      <c r="K2" s="24"/>
      <c r="L2" s="29" t="s">
        <v>372</v>
      </c>
      <c r="M2" s="13" t="s">
        <v>291</v>
      </c>
      <c r="N2" s="23" t="s">
        <v>291</v>
      </c>
      <c r="O2" s="26"/>
      <c r="P2"/>
      <c r="Q2"/>
      <c r="R2" s="7" t="s">
        <v>175</v>
      </c>
      <c r="S2" s="7"/>
      <c r="T2" s="7" t="s">
        <v>176</v>
      </c>
      <c r="U2" s="7"/>
    </row>
    <row r="3" spans="1:21" hidden="1" x14ac:dyDescent="0.25">
      <c r="A3" s="205"/>
      <c r="B3" s="89" t="s">
        <v>280</v>
      </c>
      <c r="C3" s="93" t="s">
        <v>19</v>
      </c>
      <c r="D3" s="89" t="s">
        <v>236</v>
      </c>
      <c r="E3" s="32">
        <v>45461</v>
      </c>
      <c r="F3" s="23" t="s">
        <v>18</v>
      </c>
      <c r="G3" s="23">
        <v>20072331</v>
      </c>
      <c r="H3" s="87" t="e">
        <f>VLOOKUP(Apoio_Transp[[#This Row],[MATRÍCULA]],[2]!Tabela1[[#All],[ID SAP]:[NOMENCLATURA DA POSIÇÃO]],6,0)</f>
        <v>#REF!</v>
      </c>
      <c r="I3" s="23">
        <v>373116</v>
      </c>
      <c r="J3" s="23"/>
      <c r="K3" s="24">
        <v>45522</v>
      </c>
      <c r="L3" s="78"/>
      <c r="M3" s="36"/>
      <c r="N3" s="23"/>
      <c r="O3" s="26"/>
      <c r="R3" s="7" t="s">
        <v>175</v>
      </c>
      <c r="S3" s="7"/>
      <c r="T3" s="7" t="s">
        <v>177</v>
      </c>
      <c r="U3" s="7"/>
    </row>
    <row r="4" spans="1:21" s="11" customFormat="1" x14ac:dyDescent="0.25">
      <c r="A4" s="205">
        <v>37018023</v>
      </c>
      <c r="B4" s="89" t="s">
        <v>233</v>
      </c>
      <c r="C4" s="89" t="s">
        <v>49</v>
      </c>
      <c r="D4" s="89" t="s">
        <v>231</v>
      </c>
      <c r="E4" s="24">
        <v>45454</v>
      </c>
      <c r="F4" s="23" t="s">
        <v>24</v>
      </c>
      <c r="G4" s="23">
        <v>20071382</v>
      </c>
      <c r="H4" s="87"/>
      <c r="I4" s="23">
        <v>373114</v>
      </c>
      <c r="J4" s="23" t="s">
        <v>565</v>
      </c>
      <c r="K4" s="24"/>
      <c r="L4" s="35" t="s">
        <v>357</v>
      </c>
      <c r="M4" s="13" t="s">
        <v>291</v>
      </c>
      <c r="N4" s="23" t="s">
        <v>291</v>
      </c>
      <c r="O4" s="26"/>
      <c r="P4"/>
      <c r="Q4"/>
      <c r="R4" s="7"/>
      <c r="S4" s="7"/>
      <c r="T4" s="7"/>
      <c r="U4" s="7"/>
    </row>
    <row r="5" spans="1:21" s="11" customFormat="1" x14ac:dyDescent="0.25">
      <c r="A5" s="205">
        <v>37018978</v>
      </c>
      <c r="B5" s="89" t="s">
        <v>314</v>
      </c>
      <c r="C5" s="89" t="s">
        <v>21</v>
      </c>
      <c r="D5" s="89" t="s">
        <v>231</v>
      </c>
      <c r="E5" s="87">
        <v>45538</v>
      </c>
      <c r="F5" s="23" t="s">
        <v>18</v>
      </c>
      <c r="G5" s="23">
        <v>20076197</v>
      </c>
      <c r="H5" s="87"/>
      <c r="I5" s="23">
        <v>373114</v>
      </c>
      <c r="J5" s="23" t="s">
        <v>565</v>
      </c>
      <c r="K5" s="24"/>
      <c r="L5" s="35" t="s">
        <v>361</v>
      </c>
      <c r="M5" s="13" t="s">
        <v>291</v>
      </c>
      <c r="N5" s="23" t="s">
        <v>299</v>
      </c>
      <c r="O5" s="26"/>
      <c r="P5"/>
      <c r="Q5"/>
      <c r="R5" s="7" t="s">
        <v>175</v>
      </c>
      <c r="S5" s="7" t="s">
        <v>19</v>
      </c>
      <c r="T5" s="7" t="s">
        <v>178</v>
      </c>
      <c r="U5" s="7" t="s">
        <v>18</v>
      </c>
    </row>
    <row r="6" spans="1:21" s="11" customFormat="1" x14ac:dyDescent="0.25">
      <c r="A6" s="205">
        <v>37016809</v>
      </c>
      <c r="B6" s="89" t="s">
        <v>251</v>
      </c>
      <c r="C6" s="206" t="s">
        <v>21</v>
      </c>
      <c r="D6" s="89" t="s">
        <v>236</v>
      </c>
      <c r="E6" s="87">
        <v>45356</v>
      </c>
      <c r="F6" s="23" t="s">
        <v>18</v>
      </c>
      <c r="G6" s="23">
        <v>20065308</v>
      </c>
      <c r="H6" s="87"/>
      <c r="I6" s="23">
        <v>373114</v>
      </c>
      <c r="J6" s="23" t="s">
        <v>565</v>
      </c>
      <c r="K6" s="24"/>
      <c r="L6" s="35" t="s">
        <v>361</v>
      </c>
      <c r="M6" s="13" t="s">
        <v>291</v>
      </c>
      <c r="N6" s="26" t="s">
        <v>291</v>
      </c>
      <c r="O6" s="26"/>
      <c r="P6"/>
      <c r="Q6"/>
      <c r="R6" s="7" t="s">
        <v>175</v>
      </c>
      <c r="S6" s="7" t="s">
        <v>25</v>
      </c>
      <c r="T6" s="7" t="s">
        <v>180</v>
      </c>
      <c r="U6" s="7" t="s">
        <v>24</v>
      </c>
    </row>
    <row r="7" spans="1:21" s="11" customFormat="1" x14ac:dyDescent="0.25">
      <c r="A7" s="88">
        <v>37017571</v>
      </c>
      <c r="B7" s="89" t="s">
        <v>270</v>
      </c>
      <c r="C7" s="93" t="s">
        <v>19</v>
      </c>
      <c r="D7" s="89" t="s">
        <v>231</v>
      </c>
      <c r="E7" s="87">
        <v>45426</v>
      </c>
      <c r="F7" s="23" t="s">
        <v>18</v>
      </c>
      <c r="G7" s="23">
        <v>20069950</v>
      </c>
      <c r="H7" s="87"/>
      <c r="I7" s="23">
        <v>373114</v>
      </c>
      <c r="J7" s="23" t="s">
        <v>565</v>
      </c>
      <c r="K7" s="24"/>
      <c r="L7" s="35" t="s">
        <v>362</v>
      </c>
      <c r="M7" s="13" t="s">
        <v>389</v>
      </c>
      <c r="N7" s="23" t="s">
        <v>291</v>
      </c>
      <c r="O7" s="26"/>
      <c r="P7"/>
      <c r="Q7"/>
      <c r="R7" s="7" t="s">
        <v>175</v>
      </c>
      <c r="S7" s="7" t="s">
        <v>21</v>
      </c>
      <c r="T7" s="7" t="s">
        <v>181</v>
      </c>
      <c r="U7" s="7" t="s">
        <v>18</v>
      </c>
    </row>
    <row r="8" spans="1:21" s="11" customFormat="1" x14ac:dyDescent="0.25">
      <c r="A8" s="205">
        <v>37016808</v>
      </c>
      <c r="B8" s="89" t="s">
        <v>234</v>
      </c>
      <c r="C8" s="89" t="s">
        <v>49</v>
      </c>
      <c r="D8" s="89" t="s">
        <v>231</v>
      </c>
      <c r="E8" s="24">
        <v>45356</v>
      </c>
      <c r="F8" s="23" t="s">
        <v>24</v>
      </c>
      <c r="G8" s="23">
        <v>20065307</v>
      </c>
      <c r="H8" s="87"/>
      <c r="I8" s="23">
        <v>373114</v>
      </c>
      <c r="J8" s="23" t="s">
        <v>565</v>
      </c>
      <c r="K8" s="24"/>
      <c r="L8" s="35" t="s">
        <v>357</v>
      </c>
      <c r="M8" s="13" t="s">
        <v>291</v>
      </c>
      <c r="N8" s="38" t="s">
        <v>297</v>
      </c>
      <c r="O8" s="26"/>
      <c r="P8"/>
      <c r="Q8"/>
      <c r="R8" s="7" t="s">
        <v>175</v>
      </c>
      <c r="S8" s="7" t="s">
        <v>14</v>
      </c>
      <c r="T8" s="7" t="s">
        <v>182</v>
      </c>
      <c r="U8" s="7" t="s">
        <v>13</v>
      </c>
    </row>
    <row r="9" spans="1:21" hidden="1" x14ac:dyDescent="0.25">
      <c r="A9" s="205"/>
      <c r="B9" s="89" t="s">
        <v>232</v>
      </c>
      <c r="C9" s="89" t="s">
        <v>49</v>
      </c>
      <c r="D9" s="89" t="s">
        <v>231</v>
      </c>
      <c r="E9" s="24">
        <v>45356</v>
      </c>
      <c r="F9" s="23" t="s">
        <v>24</v>
      </c>
      <c r="G9" s="23"/>
      <c r="H9" s="87" t="e">
        <f>VLOOKUP(Apoio_Transp[[#This Row],[MATRÍCULA]],[2]!Tabela1[[#All],[ID SAP]:[NOMENCLATURA DA POSIÇÃO]],6,0)</f>
        <v>#REF!</v>
      </c>
      <c r="I9" s="23">
        <v>373116</v>
      </c>
      <c r="J9" s="23"/>
      <c r="K9" s="24">
        <v>45534</v>
      </c>
      <c r="L9" s="82"/>
      <c r="M9" s="81"/>
      <c r="N9" s="38" t="s">
        <v>293</v>
      </c>
      <c r="O9" s="26"/>
      <c r="R9" s="7" t="s">
        <v>175</v>
      </c>
      <c r="S9" s="7" t="s">
        <v>30</v>
      </c>
      <c r="T9" s="7" t="s">
        <v>183</v>
      </c>
      <c r="U9" s="7" t="s">
        <v>29</v>
      </c>
    </row>
    <row r="10" spans="1:21" s="11" customFormat="1" x14ac:dyDescent="0.25">
      <c r="A10" s="205">
        <v>37013693</v>
      </c>
      <c r="B10" s="89" t="s">
        <v>243</v>
      </c>
      <c r="C10" s="93" t="s">
        <v>25</v>
      </c>
      <c r="D10" s="89" t="s">
        <v>236</v>
      </c>
      <c r="E10" s="24">
        <v>45139</v>
      </c>
      <c r="F10" s="23" t="s">
        <v>24</v>
      </c>
      <c r="G10" s="23">
        <v>20056256</v>
      </c>
      <c r="H10" s="87"/>
      <c r="I10" s="23">
        <v>373114</v>
      </c>
      <c r="J10" s="23" t="s">
        <v>565</v>
      </c>
      <c r="K10" s="24"/>
      <c r="L10" s="29" t="s">
        <v>370</v>
      </c>
      <c r="M10" s="13" t="s">
        <v>291</v>
      </c>
      <c r="N10" s="23" t="s">
        <v>291</v>
      </c>
      <c r="O10" s="26"/>
      <c r="P10"/>
      <c r="Q10"/>
      <c r="R10" s="7" t="s">
        <v>175</v>
      </c>
      <c r="S10" s="7" t="s">
        <v>35</v>
      </c>
      <c r="T10" s="7" t="s">
        <v>184</v>
      </c>
      <c r="U10" s="7" t="s">
        <v>29</v>
      </c>
    </row>
    <row r="11" spans="1:21" hidden="1" x14ac:dyDescent="0.25">
      <c r="A11" s="205"/>
      <c r="B11" s="89" t="s">
        <v>230</v>
      </c>
      <c r="C11" s="89" t="s">
        <v>49</v>
      </c>
      <c r="D11" s="89" t="s">
        <v>231</v>
      </c>
      <c r="E11" s="24"/>
      <c r="F11" s="23" t="s">
        <v>24</v>
      </c>
      <c r="G11" s="23"/>
      <c r="H11" s="87" t="e">
        <f>VLOOKUP(Apoio_Transp[[#This Row],[MATRÍCULA]],[2]!Tabela1[[#All],[ID SAP]:[NOMENCLATURA DA POSIÇÃO]],6,0)</f>
        <v>#REF!</v>
      </c>
      <c r="I11" s="23"/>
      <c r="J11" s="23"/>
      <c r="K11" s="24">
        <v>45369</v>
      </c>
      <c r="L11" s="82"/>
      <c r="M11" s="28"/>
      <c r="N11" s="24" t="s">
        <v>291</v>
      </c>
      <c r="O11" s="26"/>
      <c r="R11" s="7" t="s">
        <v>175</v>
      </c>
      <c r="S11" s="7" t="s">
        <v>16</v>
      </c>
      <c r="T11" s="7" t="s">
        <v>185</v>
      </c>
      <c r="U11" s="7" t="s">
        <v>13</v>
      </c>
    </row>
    <row r="12" spans="1:21" s="11" customFormat="1" hidden="1" x14ac:dyDescent="0.25">
      <c r="A12" s="205">
        <v>37017119</v>
      </c>
      <c r="B12" s="89" t="s">
        <v>246</v>
      </c>
      <c r="C12" s="93" t="s">
        <v>25</v>
      </c>
      <c r="D12" s="89" t="s">
        <v>236</v>
      </c>
      <c r="E12" s="24">
        <v>45384</v>
      </c>
      <c r="F12" s="23" t="s">
        <v>24</v>
      </c>
      <c r="G12" s="23">
        <v>20067433</v>
      </c>
      <c r="H12" s="87" t="e">
        <f>VLOOKUP(Apoio_Transp[[#This Row],[MATRÍCULA]],[2]!Tabela1[[#All],[ID SAP]:[NOMENCLATURA DA POSIÇÃO]],6,0)</f>
        <v>#REF!</v>
      </c>
      <c r="I12" s="23">
        <v>373114</v>
      </c>
      <c r="J12" s="23"/>
      <c r="K12" s="24">
        <v>45734</v>
      </c>
      <c r="L12" s="29" t="s">
        <v>370</v>
      </c>
      <c r="M12" s="13" t="s">
        <v>291</v>
      </c>
      <c r="N12" s="26" t="s">
        <v>291</v>
      </c>
      <c r="O12" s="26"/>
      <c r="P12"/>
      <c r="Q12"/>
      <c r="R12" s="7" t="s">
        <v>175</v>
      </c>
      <c r="S12" s="7"/>
      <c r="T12" s="7" t="s">
        <v>186</v>
      </c>
      <c r="U12" s="7"/>
    </row>
    <row r="13" spans="1:21" s="11" customFormat="1" x14ac:dyDescent="0.25">
      <c r="A13" s="205">
        <v>37013054</v>
      </c>
      <c r="B13" s="89" t="s">
        <v>239</v>
      </c>
      <c r="C13" s="89" t="s">
        <v>49</v>
      </c>
      <c r="D13" s="89" t="s">
        <v>236</v>
      </c>
      <c r="E13" s="24">
        <v>45097</v>
      </c>
      <c r="F13" s="23" t="s">
        <v>24</v>
      </c>
      <c r="G13" s="23">
        <v>20052406</v>
      </c>
      <c r="H13" s="87"/>
      <c r="I13" s="23">
        <v>373114</v>
      </c>
      <c r="J13" s="23" t="s">
        <v>565</v>
      </c>
      <c r="K13" s="24"/>
      <c r="L13" s="35" t="s">
        <v>357</v>
      </c>
      <c r="M13" s="13" t="s">
        <v>291</v>
      </c>
      <c r="N13" s="23" t="s">
        <v>291</v>
      </c>
      <c r="O13" s="26"/>
      <c r="P13"/>
      <c r="Q13"/>
      <c r="R13" s="8"/>
      <c r="S13" s="9"/>
      <c r="T13" s="9"/>
      <c r="U13" s="10"/>
    </row>
    <row r="14" spans="1:21" s="11" customFormat="1" x14ac:dyDescent="0.25">
      <c r="A14" s="205">
        <v>37016936</v>
      </c>
      <c r="B14" s="89" t="s">
        <v>249</v>
      </c>
      <c r="C14" s="89" t="s">
        <v>21</v>
      </c>
      <c r="D14" s="89" t="s">
        <v>248</v>
      </c>
      <c r="E14" s="87">
        <v>45370</v>
      </c>
      <c r="F14" s="23" t="s">
        <v>18</v>
      </c>
      <c r="G14" s="23">
        <v>20065887</v>
      </c>
      <c r="H14" s="87"/>
      <c r="I14" s="23">
        <v>373114</v>
      </c>
      <c r="J14" s="23" t="s">
        <v>565</v>
      </c>
      <c r="K14" s="24"/>
      <c r="L14" s="35" t="s">
        <v>361</v>
      </c>
      <c r="M14" s="13" t="s">
        <v>291</v>
      </c>
      <c r="N14" s="23" t="s">
        <v>291</v>
      </c>
      <c r="O14" s="26"/>
      <c r="P14"/>
      <c r="Q14"/>
      <c r="R14"/>
      <c r="S14"/>
    </row>
    <row r="15" spans="1:21" s="11" customFormat="1" hidden="1" x14ac:dyDescent="0.25">
      <c r="A15" s="205"/>
      <c r="B15" s="89" t="s">
        <v>257</v>
      </c>
      <c r="C15" s="93" t="s">
        <v>14</v>
      </c>
      <c r="D15" s="89" t="s">
        <v>231</v>
      </c>
      <c r="E15" s="32">
        <v>45370</v>
      </c>
      <c r="F15" s="23" t="s">
        <v>13</v>
      </c>
      <c r="G15" s="23"/>
      <c r="H15" s="87" t="e">
        <f>VLOOKUP(Apoio_Transp[[#This Row],[MATRÍCULA]],[2]!Tabela1[[#All],[ID SAP]:[NOMENCLATURA DA POSIÇÃO]],6,0)</f>
        <v>#REF!</v>
      </c>
      <c r="I15" s="23"/>
      <c r="J15" s="23"/>
      <c r="K15" s="24">
        <v>45477</v>
      </c>
      <c r="L15" s="25"/>
      <c r="M15" s="14"/>
      <c r="N15" s="23" t="s">
        <v>298</v>
      </c>
      <c r="O15" s="26"/>
      <c r="P15"/>
      <c r="Q15"/>
      <c r="R15"/>
      <c r="S15"/>
    </row>
    <row r="16" spans="1:21" s="11" customFormat="1" x14ac:dyDescent="0.25">
      <c r="A16" s="205">
        <v>37016767</v>
      </c>
      <c r="B16" s="89" t="s">
        <v>237</v>
      </c>
      <c r="C16" s="89" t="s">
        <v>49</v>
      </c>
      <c r="D16" s="89" t="s">
        <v>236</v>
      </c>
      <c r="E16" s="24">
        <v>45356</v>
      </c>
      <c r="F16" s="23" t="s">
        <v>24</v>
      </c>
      <c r="G16" s="23">
        <v>20065261</v>
      </c>
      <c r="H16" s="87"/>
      <c r="I16" s="23">
        <v>373114</v>
      </c>
      <c r="J16" s="23" t="s">
        <v>565</v>
      </c>
      <c r="K16" s="24"/>
      <c r="L16" s="35" t="s">
        <v>357</v>
      </c>
      <c r="M16" s="13" t="s">
        <v>291</v>
      </c>
      <c r="N16" s="26" t="s">
        <v>291</v>
      </c>
      <c r="O16" s="26"/>
      <c r="P16"/>
      <c r="Q16"/>
      <c r="R16"/>
      <c r="S16"/>
    </row>
    <row r="17" spans="1:19" s="11" customFormat="1" x14ac:dyDescent="0.25">
      <c r="A17" s="205">
        <v>37016873</v>
      </c>
      <c r="B17" s="89" t="s">
        <v>244</v>
      </c>
      <c r="C17" s="93" t="s">
        <v>25</v>
      </c>
      <c r="D17" s="89" t="s">
        <v>236</v>
      </c>
      <c r="E17" s="24">
        <v>45363</v>
      </c>
      <c r="F17" s="23" t="s">
        <v>24</v>
      </c>
      <c r="G17" s="23">
        <v>20065469</v>
      </c>
      <c r="H17" s="87"/>
      <c r="I17" s="23">
        <v>373114</v>
      </c>
      <c r="J17" s="23" t="s">
        <v>565</v>
      </c>
      <c r="K17" s="24"/>
      <c r="L17" s="29" t="s">
        <v>370</v>
      </c>
      <c r="M17" s="13" t="s">
        <v>291</v>
      </c>
      <c r="N17" s="23" t="s">
        <v>291</v>
      </c>
      <c r="O17" s="26"/>
      <c r="P17"/>
      <c r="Q17"/>
      <c r="R17"/>
      <c r="S17"/>
    </row>
    <row r="18" spans="1:19" s="11" customFormat="1" x14ac:dyDescent="0.25">
      <c r="A18" s="205">
        <v>37016812</v>
      </c>
      <c r="B18" s="89" t="s">
        <v>238</v>
      </c>
      <c r="C18" s="89" t="s">
        <v>49</v>
      </c>
      <c r="D18" s="89" t="s">
        <v>236</v>
      </c>
      <c r="E18" s="24">
        <v>45356</v>
      </c>
      <c r="F18" s="23" t="s">
        <v>24</v>
      </c>
      <c r="G18" s="23">
        <v>20065311</v>
      </c>
      <c r="H18" s="87"/>
      <c r="I18" s="23">
        <v>373114</v>
      </c>
      <c r="J18" s="23" t="s">
        <v>565</v>
      </c>
      <c r="K18" s="24"/>
      <c r="L18" s="35" t="s">
        <v>357</v>
      </c>
      <c r="M18" s="13" t="s">
        <v>291</v>
      </c>
      <c r="N18" s="23" t="s">
        <v>291</v>
      </c>
      <c r="O18" s="26"/>
      <c r="P18"/>
      <c r="Q18"/>
      <c r="R18"/>
      <c r="S18"/>
    </row>
    <row r="19" spans="1:19" s="11" customFormat="1" x14ac:dyDescent="0.25">
      <c r="A19" s="205">
        <v>37016671</v>
      </c>
      <c r="B19" s="89" t="s">
        <v>235</v>
      </c>
      <c r="C19" s="89" t="s">
        <v>49</v>
      </c>
      <c r="D19" s="89" t="s">
        <v>236</v>
      </c>
      <c r="E19" s="24">
        <v>45342</v>
      </c>
      <c r="F19" s="23" t="s">
        <v>24</v>
      </c>
      <c r="G19" s="23">
        <v>20064772</v>
      </c>
      <c r="H19" s="87"/>
      <c r="I19" s="23">
        <v>373114</v>
      </c>
      <c r="J19" s="23" t="s">
        <v>565</v>
      </c>
      <c r="K19" s="24"/>
      <c r="L19" s="35" t="s">
        <v>357</v>
      </c>
      <c r="M19" s="13" t="s">
        <v>291</v>
      </c>
      <c r="N19" s="26" t="s">
        <v>291</v>
      </c>
      <c r="O19" s="26"/>
      <c r="P19"/>
      <c r="Q19"/>
      <c r="R19"/>
      <c r="S19"/>
    </row>
    <row r="20" spans="1:19" s="11" customFormat="1" x14ac:dyDescent="0.25">
      <c r="A20" s="205">
        <v>37018016</v>
      </c>
      <c r="B20" s="89" t="s">
        <v>271</v>
      </c>
      <c r="C20" s="93" t="s">
        <v>19</v>
      </c>
      <c r="D20" s="89" t="s">
        <v>231</v>
      </c>
      <c r="E20" s="87">
        <v>45447</v>
      </c>
      <c r="F20" s="23" t="s">
        <v>18</v>
      </c>
      <c r="G20" s="23">
        <v>20071375</v>
      </c>
      <c r="H20" s="87"/>
      <c r="I20" s="23">
        <v>373114</v>
      </c>
      <c r="J20" s="23" t="s">
        <v>565</v>
      </c>
      <c r="K20" s="24"/>
      <c r="L20" s="35" t="s">
        <v>362</v>
      </c>
      <c r="M20" s="36" t="s">
        <v>261</v>
      </c>
      <c r="N20" s="26" t="s">
        <v>291</v>
      </c>
      <c r="O20" s="26"/>
      <c r="P20"/>
      <c r="Q20"/>
      <c r="R20"/>
      <c r="S20"/>
    </row>
    <row r="21" spans="1:19" s="11" customFormat="1" x14ac:dyDescent="0.25">
      <c r="A21" s="88">
        <v>37017036</v>
      </c>
      <c r="B21" s="89" t="s">
        <v>266</v>
      </c>
      <c r="C21" s="93" t="s">
        <v>16</v>
      </c>
      <c r="D21" s="89" t="s">
        <v>259</v>
      </c>
      <c r="E21" s="87">
        <v>45384</v>
      </c>
      <c r="F21" s="23" t="s">
        <v>13</v>
      </c>
      <c r="G21" s="23">
        <v>20066635</v>
      </c>
      <c r="H21" s="87"/>
      <c r="I21" s="23">
        <v>373114</v>
      </c>
      <c r="J21" s="23" t="s">
        <v>565</v>
      </c>
      <c r="K21" s="24"/>
      <c r="L21" s="95" t="s">
        <v>360</v>
      </c>
      <c r="M21" s="28" t="s">
        <v>465</v>
      </c>
      <c r="N21" s="33"/>
      <c r="O21" s="26" t="s">
        <v>353</v>
      </c>
      <c r="P21"/>
      <c r="Q21"/>
      <c r="R21"/>
      <c r="S21"/>
    </row>
    <row r="22" spans="1:19" s="11" customFormat="1" x14ac:dyDescent="0.25">
      <c r="A22" s="88">
        <v>37017084</v>
      </c>
      <c r="B22" s="89" t="s">
        <v>260</v>
      </c>
      <c r="C22" s="93" t="s">
        <v>16</v>
      </c>
      <c r="D22" s="89" t="s">
        <v>259</v>
      </c>
      <c r="E22" s="87">
        <v>45384</v>
      </c>
      <c r="F22" s="23" t="s">
        <v>13</v>
      </c>
      <c r="G22" s="23">
        <v>20067078</v>
      </c>
      <c r="H22" s="87"/>
      <c r="I22" s="23">
        <v>373114</v>
      </c>
      <c r="J22" s="23" t="s">
        <v>565</v>
      </c>
      <c r="K22" s="24"/>
      <c r="L22" s="29" t="s">
        <v>360</v>
      </c>
      <c r="M22" s="28" t="s">
        <v>465</v>
      </c>
      <c r="N22" s="23"/>
      <c r="O22" s="26"/>
      <c r="P22"/>
      <c r="Q22"/>
      <c r="R22"/>
      <c r="S22"/>
    </row>
    <row r="23" spans="1:19" s="11" customFormat="1" hidden="1" x14ac:dyDescent="0.25">
      <c r="A23" s="205">
        <v>37016917</v>
      </c>
      <c r="B23" s="89" t="s">
        <v>264</v>
      </c>
      <c r="C23" s="93" t="s">
        <v>14</v>
      </c>
      <c r="D23" s="89" t="s">
        <v>231</v>
      </c>
      <c r="E23" s="87">
        <v>45370</v>
      </c>
      <c r="F23" s="23" t="s">
        <v>13</v>
      </c>
      <c r="G23" s="23">
        <v>20065867</v>
      </c>
      <c r="H23" s="87" t="e">
        <f>VLOOKUP(Apoio_Transp[[#This Row],[MATRÍCULA]],[2]!Tabela1[[#All],[ID SAP]:[NOMENCLATURA DA POSIÇÃO]],6,0)</f>
        <v>#REF!</v>
      </c>
      <c r="I23" s="23">
        <v>373114</v>
      </c>
      <c r="J23" s="23"/>
      <c r="K23" s="24">
        <v>45729</v>
      </c>
      <c r="L23" s="95" t="s">
        <v>360</v>
      </c>
      <c r="M23" s="28" t="s">
        <v>291</v>
      </c>
      <c r="N23" s="38" t="s">
        <v>294</v>
      </c>
      <c r="O23" s="26"/>
      <c r="P23"/>
      <c r="Q23"/>
      <c r="R23"/>
      <c r="S23"/>
    </row>
    <row r="24" spans="1:19" s="11" customFormat="1" x14ac:dyDescent="0.25">
      <c r="A24" s="205">
        <v>37016864</v>
      </c>
      <c r="B24" s="89" t="s">
        <v>241</v>
      </c>
      <c r="C24" s="206" t="s">
        <v>25</v>
      </c>
      <c r="D24" s="89" t="s">
        <v>231</v>
      </c>
      <c r="E24" s="24">
        <v>45363</v>
      </c>
      <c r="F24" s="23" t="s">
        <v>24</v>
      </c>
      <c r="G24" s="23">
        <v>20065443</v>
      </c>
      <c r="H24" s="87"/>
      <c r="I24" s="23">
        <v>373114</v>
      </c>
      <c r="J24" s="23" t="s">
        <v>565</v>
      </c>
      <c r="K24" s="24"/>
      <c r="L24" s="29" t="s">
        <v>370</v>
      </c>
      <c r="M24" s="13" t="s">
        <v>291</v>
      </c>
      <c r="N24" s="23" t="s">
        <v>291</v>
      </c>
      <c r="O24" s="26"/>
      <c r="P24"/>
      <c r="Q24"/>
      <c r="R24"/>
      <c r="S24"/>
    </row>
    <row r="25" spans="1:19" hidden="1" x14ac:dyDescent="0.25">
      <c r="A25" s="205"/>
      <c r="B25" s="89" t="s">
        <v>247</v>
      </c>
      <c r="C25" s="89" t="s">
        <v>21</v>
      </c>
      <c r="D25" s="89" t="s">
        <v>248</v>
      </c>
      <c r="E25" s="27">
        <v>45370</v>
      </c>
      <c r="F25" s="23" t="s">
        <v>18</v>
      </c>
      <c r="G25" s="23"/>
      <c r="H25" s="87" t="e">
        <f>VLOOKUP(Apoio_Transp[[#This Row],[MATRÍCULA]],[2]!Tabela1[[#All],[ID SAP]:[NOMENCLATURA DA POSIÇÃO]],6,0)</f>
        <v>#REF!</v>
      </c>
      <c r="I25" s="23"/>
      <c r="J25" s="23"/>
      <c r="K25" s="24">
        <v>45490</v>
      </c>
      <c r="L25" s="31"/>
      <c r="M25" s="28"/>
      <c r="N25" s="23" t="s">
        <v>291</v>
      </c>
      <c r="O25" s="26"/>
    </row>
    <row r="26" spans="1:19" hidden="1" x14ac:dyDescent="0.25">
      <c r="A26" s="205"/>
      <c r="B26" s="89" t="s">
        <v>254</v>
      </c>
      <c r="C26" s="89" t="s">
        <v>21</v>
      </c>
      <c r="D26" s="89" t="s">
        <v>236</v>
      </c>
      <c r="E26" s="32">
        <v>45356</v>
      </c>
      <c r="F26" s="23" t="s">
        <v>18</v>
      </c>
      <c r="G26" s="23">
        <v>20065257</v>
      </c>
      <c r="H26" s="87" t="e">
        <f>VLOOKUP(Apoio_Transp[[#This Row],[MATRÍCULA]],[2]!Tabela1[[#All],[ID SAP]:[NOMENCLATURA DA POSIÇÃO]],6,0)</f>
        <v>#REF!</v>
      </c>
      <c r="I26" s="23">
        <v>373116</v>
      </c>
      <c r="J26" s="23"/>
      <c r="K26" s="24">
        <v>45534</v>
      </c>
      <c r="L26" s="31"/>
      <c r="M26" s="28"/>
      <c r="N26" s="23" t="s">
        <v>298</v>
      </c>
      <c r="O26" s="26"/>
    </row>
    <row r="27" spans="1:19" s="11" customFormat="1" hidden="1" x14ac:dyDescent="0.25">
      <c r="A27" s="205"/>
      <c r="B27" s="89" t="s">
        <v>255</v>
      </c>
      <c r="C27" s="93" t="s">
        <v>14</v>
      </c>
      <c r="D27" s="89" t="s">
        <v>231</v>
      </c>
      <c r="E27" s="32">
        <v>45398</v>
      </c>
      <c r="F27" s="23" t="s">
        <v>13</v>
      </c>
      <c r="G27" s="23"/>
      <c r="H27" s="87" t="e">
        <f>VLOOKUP(Apoio_Transp[[#This Row],[MATRÍCULA]],[2]!Tabela1[[#All],[ID SAP]:[NOMENCLATURA DA POSIÇÃO]],6,0)</f>
        <v>#REF!</v>
      </c>
      <c r="I27" s="23">
        <v>373116</v>
      </c>
      <c r="J27" s="23"/>
      <c r="K27" s="24">
        <v>45463</v>
      </c>
      <c r="L27" s="31"/>
      <c r="M27" s="34"/>
      <c r="N27" s="38" t="s">
        <v>294</v>
      </c>
      <c r="O27" s="26"/>
      <c r="P27"/>
      <c r="Q27"/>
      <c r="R27"/>
      <c r="S27"/>
    </row>
    <row r="28" spans="1:19" s="11" customFormat="1" x14ac:dyDescent="0.25">
      <c r="A28" s="205">
        <v>37017042</v>
      </c>
      <c r="B28" s="89" t="s">
        <v>256</v>
      </c>
      <c r="C28" s="93" t="s">
        <v>14</v>
      </c>
      <c r="D28" s="89" t="s">
        <v>231</v>
      </c>
      <c r="E28" s="87">
        <v>45384</v>
      </c>
      <c r="F28" s="23" t="s">
        <v>13</v>
      </c>
      <c r="G28" s="23">
        <v>20066642</v>
      </c>
      <c r="H28" s="87"/>
      <c r="I28" s="23">
        <v>373114</v>
      </c>
      <c r="J28" s="23" t="s">
        <v>565</v>
      </c>
      <c r="K28" s="24"/>
      <c r="L28" s="95" t="s">
        <v>360</v>
      </c>
      <c r="M28" s="28" t="s">
        <v>291</v>
      </c>
      <c r="N28" s="23" t="s">
        <v>291</v>
      </c>
      <c r="O28" s="26" t="s">
        <v>353</v>
      </c>
      <c r="P28"/>
      <c r="Q28"/>
      <c r="R28"/>
      <c r="S28"/>
    </row>
    <row r="29" spans="1:19" s="11" customFormat="1" x14ac:dyDescent="0.25">
      <c r="A29" s="205">
        <v>37021547</v>
      </c>
      <c r="B29" s="89" t="s">
        <v>532</v>
      </c>
      <c r="C29" s="93" t="s">
        <v>16</v>
      </c>
      <c r="D29" s="89" t="s">
        <v>231</v>
      </c>
      <c r="E29" s="87">
        <v>45755</v>
      </c>
      <c r="F29" s="23" t="s">
        <v>13</v>
      </c>
      <c r="G29" s="23">
        <v>20089413</v>
      </c>
      <c r="H29" s="87"/>
      <c r="I29" s="23">
        <v>373114</v>
      </c>
      <c r="J29" s="23" t="s">
        <v>561</v>
      </c>
      <c r="K29" s="24"/>
      <c r="L29" s="29"/>
      <c r="M29" s="33"/>
      <c r="N29" s="33"/>
      <c r="O29" s="33"/>
      <c r="P29"/>
      <c r="Q29"/>
      <c r="R29"/>
      <c r="S29"/>
    </row>
    <row r="30" spans="1:19" s="11" customFormat="1" x14ac:dyDescent="0.25">
      <c r="A30" s="205">
        <v>37017104</v>
      </c>
      <c r="B30" s="89" t="s">
        <v>262</v>
      </c>
      <c r="C30" s="93" t="s">
        <v>14</v>
      </c>
      <c r="D30" s="89" t="s">
        <v>236</v>
      </c>
      <c r="E30" s="87">
        <v>45384</v>
      </c>
      <c r="F30" s="23" t="s">
        <v>13</v>
      </c>
      <c r="G30" s="23">
        <v>20067418</v>
      </c>
      <c r="H30" s="87"/>
      <c r="I30" s="23">
        <v>373114</v>
      </c>
      <c r="J30" s="23" t="s">
        <v>565</v>
      </c>
      <c r="K30" s="24"/>
      <c r="L30" s="95" t="s">
        <v>360</v>
      </c>
      <c r="M30" s="28" t="s">
        <v>291</v>
      </c>
      <c r="N30" s="23" t="s">
        <v>291</v>
      </c>
      <c r="O30" s="26"/>
      <c r="P30"/>
      <c r="Q30"/>
      <c r="R30"/>
      <c r="S30"/>
    </row>
    <row r="31" spans="1:19" s="11" customFormat="1" x14ac:dyDescent="0.25">
      <c r="A31" s="205">
        <v>37017097</v>
      </c>
      <c r="B31" s="89" t="s">
        <v>258</v>
      </c>
      <c r="C31" s="93" t="s">
        <v>14</v>
      </c>
      <c r="D31" s="89" t="s">
        <v>259</v>
      </c>
      <c r="E31" s="87">
        <v>45384</v>
      </c>
      <c r="F31" s="23" t="s">
        <v>13</v>
      </c>
      <c r="G31" s="23">
        <v>20067411</v>
      </c>
      <c r="H31" s="87"/>
      <c r="I31" s="23">
        <v>373114</v>
      </c>
      <c r="J31" s="23" t="s">
        <v>565</v>
      </c>
      <c r="K31" s="24"/>
      <c r="L31" s="29" t="s">
        <v>360</v>
      </c>
      <c r="M31" s="28" t="s">
        <v>291</v>
      </c>
      <c r="N31" s="23"/>
      <c r="O31" s="26"/>
      <c r="P31"/>
      <c r="Q31"/>
      <c r="R31"/>
      <c r="S31"/>
    </row>
    <row r="32" spans="1:19" x14ac:dyDescent="0.25">
      <c r="A32" s="205">
        <v>37016772</v>
      </c>
      <c r="B32" s="89" t="s">
        <v>267</v>
      </c>
      <c r="C32" s="93" t="s">
        <v>14</v>
      </c>
      <c r="D32" s="89" t="s">
        <v>236</v>
      </c>
      <c r="E32" s="87">
        <v>45356</v>
      </c>
      <c r="F32" s="23" t="s">
        <v>13</v>
      </c>
      <c r="G32" s="23">
        <v>20060083</v>
      </c>
      <c r="H32" s="87"/>
      <c r="I32" s="23">
        <v>373114</v>
      </c>
      <c r="J32" s="23" t="s">
        <v>565</v>
      </c>
      <c r="K32" s="24"/>
      <c r="L32" s="95" t="s">
        <v>360</v>
      </c>
      <c r="M32" s="28" t="s">
        <v>291</v>
      </c>
      <c r="N32" s="26" t="s">
        <v>291</v>
      </c>
      <c r="O32" s="26"/>
    </row>
    <row r="33" spans="1:19" s="11" customFormat="1" x14ac:dyDescent="0.25">
      <c r="A33" s="205">
        <v>37016869</v>
      </c>
      <c r="B33" s="89" t="s">
        <v>240</v>
      </c>
      <c r="C33" s="206" t="s">
        <v>25</v>
      </c>
      <c r="D33" s="89" t="s">
        <v>231</v>
      </c>
      <c r="E33" s="24">
        <v>45363</v>
      </c>
      <c r="F33" s="23" t="s">
        <v>24</v>
      </c>
      <c r="G33" s="23">
        <v>20065465</v>
      </c>
      <c r="H33" s="87"/>
      <c r="I33" s="23">
        <v>373114</v>
      </c>
      <c r="J33" s="23" t="s">
        <v>565</v>
      </c>
      <c r="K33" s="24"/>
      <c r="L33" s="29" t="s">
        <v>370</v>
      </c>
      <c r="M33" s="13" t="s">
        <v>291</v>
      </c>
      <c r="N33" s="26" t="s">
        <v>291</v>
      </c>
      <c r="O33" s="26"/>
      <c r="P33"/>
      <c r="Q33"/>
      <c r="R33"/>
      <c r="S33"/>
    </row>
    <row r="34" spans="1:19" x14ac:dyDescent="0.25">
      <c r="A34" s="205">
        <v>37016956</v>
      </c>
      <c r="B34" s="89" t="s">
        <v>268</v>
      </c>
      <c r="C34" s="93" t="s">
        <v>14</v>
      </c>
      <c r="D34" s="89" t="s">
        <v>236</v>
      </c>
      <c r="E34" s="87">
        <v>45370</v>
      </c>
      <c r="F34" s="23" t="s">
        <v>13</v>
      </c>
      <c r="G34" s="23">
        <v>20065907</v>
      </c>
      <c r="H34" s="87"/>
      <c r="I34" s="23">
        <v>373114</v>
      </c>
      <c r="J34" s="23" t="s">
        <v>565</v>
      </c>
      <c r="K34" s="24"/>
      <c r="L34" s="95" t="s">
        <v>360</v>
      </c>
      <c r="M34" s="28" t="s">
        <v>291</v>
      </c>
      <c r="N34" s="26" t="s">
        <v>291</v>
      </c>
      <c r="O34" s="26" t="s">
        <v>354</v>
      </c>
    </row>
    <row r="35" spans="1:19" s="11" customFormat="1" x14ac:dyDescent="0.25">
      <c r="A35" s="205">
        <v>37021417</v>
      </c>
      <c r="B35" s="89" t="s">
        <v>515</v>
      </c>
      <c r="C35" s="93" t="s">
        <v>14</v>
      </c>
      <c r="D35" s="89" t="s">
        <v>231</v>
      </c>
      <c r="E35" s="27">
        <v>45748</v>
      </c>
      <c r="F35" s="23" t="s">
        <v>13</v>
      </c>
      <c r="G35" s="23">
        <v>20088837</v>
      </c>
      <c r="H35" s="87"/>
      <c r="I35" s="23">
        <v>373114</v>
      </c>
      <c r="J35" s="23" t="s">
        <v>561</v>
      </c>
      <c r="K35" s="24"/>
      <c r="L35" s="29"/>
      <c r="M35" s="33"/>
      <c r="N35" s="33"/>
      <c r="O35" s="33"/>
      <c r="P35"/>
      <c r="Q35"/>
      <c r="R35"/>
      <c r="S35"/>
    </row>
    <row r="36" spans="1:19" s="11" customFormat="1" x14ac:dyDescent="0.25">
      <c r="A36" s="205">
        <v>37020099</v>
      </c>
      <c r="B36" s="92" t="s">
        <v>469</v>
      </c>
      <c r="C36" s="89" t="s">
        <v>21</v>
      </c>
      <c r="D36" s="89" t="s">
        <v>236</v>
      </c>
      <c r="E36" s="87">
        <v>45629</v>
      </c>
      <c r="F36" s="23" t="s">
        <v>18</v>
      </c>
      <c r="G36" s="23">
        <v>20062977</v>
      </c>
      <c r="H36" s="87"/>
      <c r="I36" s="23">
        <v>373114</v>
      </c>
      <c r="J36" s="23" t="s">
        <v>565</v>
      </c>
      <c r="K36" s="24"/>
      <c r="L36" s="29"/>
      <c r="M36" s="13"/>
      <c r="N36" s="13"/>
      <c r="O36" s="13"/>
      <c r="P36"/>
      <c r="Q36"/>
      <c r="R36"/>
      <c r="S36"/>
    </row>
    <row r="37" spans="1:19" s="11" customFormat="1" x14ac:dyDescent="0.25">
      <c r="A37" s="205">
        <v>37017990</v>
      </c>
      <c r="B37" s="89" t="s">
        <v>279</v>
      </c>
      <c r="C37" s="93" t="s">
        <v>19</v>
      </c>
      <c r="D37" s="89" t="s">
        <v>236</v>
      </c>
      <c r="E37" s="87">
        <v>45447</v>
      </c>
      <c r="F37" s="23" t="s">
        <v>18</v>
      </c>
      <c r="G37" s="23">
        <v>20071349</v>
      </c>
      <c r="H37" s="87"/>
      <c r="I37" s="23">
        <v>373114</v>
      </c>
      <c r="J37" s="23" t="s">
        <v>565</v>
      </c>
      <c r="K37" s="24"/>
      <c r="L37" s="35" t="s">
        <v>362</v>
      </c>
      <c r="M37" s="13" t="s">
        <v>389</v>
      </c>
      <c r="N37" s="23" t="s">
        <v>291</v>
      </c>
      <c r="O37" s="26"/>
      <c r="P37"/>
      <c r="Q37"/>
      <c r="R37"/>
      <c r="S37"/>
    </row>
    <row r="38" spans="1:19" s="11" customFormat="1" x14ac:dyDescent="0.25">
      <c r="A38" s="205">
        <v>37020198</v>
      </c>
      <c r="B38" s="92" t="s">
        <v>468</v>
      </c>
      <c r="C38" s="89" t="s">
        <v>19</v>
      </c>
      <c r="D38" s="89" t="s">
        <v>236</v>
      </c>
      <c r="E38" s="87">
        <v>45629</v>
      </c>
      <c r="F38" s="23" t="s">
        <v>18</v>
      </c>
      <c r="G38" s="23">
        <v>20083048</v>
      </c>
      <c r="H38" s="87"/>
      <c r="I38" s="23">
        <v>373114</v>
      </c>
      <c r="J38" s="23" t="s">
        <v>565</v>
      </c>
      <c r="K38" s="24"/>
      <c r="L38" s="29"/>
      <c r="M38" s="33"/>
      <c r="N38" s="33"/>
      <c r="O38" s="33"/>
      <c r="P38"/>
      <c r="Q38"/>
      <c r="R38"/>
      <c r="S38"/>
    </row>
    <row r="39" spans="1:19" s="11" customFormat="1" x14ac:dyDescent="0.25">
      <c r="A39" s="205">
        <v>37014355</v>
      </c>
      <c r="B39" s="89" t="s">
        <v>83</v>
      </c>
      <c r="C39" s="89" t="s">
        <v>19</v>
      </c>
      <c r="D39" s="89" t="s">
        <v>236</v>
      </c>
      <c r="E39" s="87">
        <v>45174</v>
      </c>
      <c r="F39" s="23" t="s">
        <v>18</v>
      </c>
      <c r="G39" s="23">
        <v>20058490</v>
      </c>
      <c r="H39" s="87"/>
      <c r="I39" s="23">
        <v>373114</v>
      </c>
      <c r="J39" s="23" t="s">
        <v>565</v>
      </c>
      <c r="K39" s="24"/>
      <c r="L39" s="15" t="s">
        <v>362</v>
      </c>
      <c r="M39" s="13" t="s">
        <v>389</v>
      </c>
      <c r="N39" s="23" t="s">
        <v>298</v>
      </c>
      <c r="O39" s="26"/>
      <c r="P39"/>
      <c r="Q39"/>
    </row>
    <row r="40" spans="1:19" s="11" customFormat="1" x14ac:dyDescent="0.25">
      <c r="A40" s="205">
        <v>37013705</v>
      </c>
      <c r="B40" s="89" t="s">
        <v>252</v>
      </c>
      <c r="C40" s="89" t="s">
        <v>21</v>
      </c>
      <c r="D40" s="89" t="s">
        <v>236</v>
      </c>
      <c r="E40" s="87">
        <v>45139</v>
      </c>
      <c r="F40" s="23" t="s">
        <v>18</v>
      </c>
      <c r="G40" s="23">
        <v>20056287</v>
      </c>
      <c r="H40" s="87"/>
      <c r="I40" s="23">
        <v>373114</v>
      </c>
      <c r="J40" s="23" t="s">
        <v>565</v>
      </c>
      <c r="K40" s="24"/>
      <c r="L40" s="15" t="s">
        <v>361</v>
      </c>
      <c r="M40" s="13" t="s">
        <v>291</v>
      </c>
      <c r="N40" s="23" t="s">
        <v>291</v>
      </c>
      <c r="O40" s="26"/>
      <c r="P40"/>
      <c r="Q40"/>
    </row>
    <row r="41" spans="1:19" s="11" customFormat="1" x14ac:dyDescent="0.25">
      <c r="A41" s="205">
        <v>37018148</v>
      </c>
      <c r="B41" s="89" t="s">
        <v>281</v>
      </c>
      <c r="C41" s="93" t="s">
        <v>35</v>
      </c>
      <c r="D41" s="89" t="s">
        <v>248</v>
      </c>
      <c r="E41" s="90">
        <v>45461</v>
      </c>
      <c r="F41" s="23" t="s">
        <v>29</v>
      </c>
      <c r="G41" s="23">
        <v>20072296</v>
      </c>
      <c r="H41" s="87"/>
      <c r="I41" s="23">
        <v>373114</v>
      </c>
      <c r="J41" s="23" t="s">
        <v>565</v>
      </c>
      <c r="K41" s="24"/>
      <c r="L41" s="94" t="s">
        <v>380</v>
      </c>
      <c r="M41" s="124" t="s">
        <v>291</v>
      </c>
      <c r="N41" s="168" t="s">
        <v>291</v>
      </c>
      <c r="O41" s="121"/>
      <c r="P41"/>
      <c r="Q41"/>
    </row>
    <row r="42" spans="1:19" s="11" customFormat="1" x14ac:dyDescent="0.25">
      <c r="A42" s="88">
        <v>37017985</v>
      </c>
      <c r="B42" s="89" t="s">
        <v>263</v>
      </c>
      <c r="C42" s="93" t="s">
        <v>16</v>
      </c>
      <c r="D42" s="89" t="s">
        <v>236</v>
      </c>
      <c r="E42" s="87">
        <v>45447</v>
      </c>
      <c r="F42" s="23" t="s">
        <v>13</v>
      </c>
      <c r="G42" s="23">
        <v>20056390</v>
      </c>
      <c r="H42" s="87"/>
      <c r="I42" s="23">
        <v>373114</v>
      </c>
      <c r="J42" s="23" t="s">
        <v>565</v>
      </c>
      <c r="K42" s="24"/>
      <c r="L42" s="28" t="s">
        <v>360</v>
      </c>
      <c r="M42" s="37" t="s">
        <v>291</v>
      </c>
      <c r="N42" s="38" t="s">
        <v>295</v>
      </c>
      <c r="O42" s="26" t="s">
        <v>353</v>
      </c>
      <c r="P42"/>
      <c r="Q42"/>
    </row>
    <row r="43" spans="1:19" s="11" customFormat="1" x14ac:dyDescent="0.25">
      <c r="A43" s="205">
        <v>37014643</v>
      </c>
      <c r="B43" s="89" t="s">
        <v>253</v>
      </c>
      <c r="C43" s="89" t="s">
        <v>21</v>
      </c>
      <c r="D43" s="89" t="s">
        <v>569</v>
      </c>
      <c r="E43" s="87">
        <v>45188</v>
      </c>
      <c r="F43" s="23" t="s">
        <v>18</v>
      </c>
      <c r="G43" s="23">
        <v>20059382</v>
      </c>
      <c r="H43" s="87"/>
      <c r="I43" s="23">
        <v>373114</v>
      </c>
      <c r="J43" s="23" t="s">
        <v>565</v>
      </c>
      <c r="K43" s="24"/>
      <c r="L43" s="15" t="s">
        <v>361</v>
      </c>
      <c r="M43" s="16" t="s">
        <v>291</v>
      </c>
      <c r="N43" s="23" t="s">
        <v>394</v>
      </c>
      <c r="O43" s="26"/>
      <c r="P43"/>
      <c r="Q43"/>
    </row>
    <row r="44" spans="1:19" s="11" customFormat="1" x14ac:dyDescent="0.25">
      <c r="A44" s="205">
        <v>37019592</v>
      </c>
      <c r="B44" s="89" t="s">
        <v>470</v>
      </c>
      <c r="C44" s="89" t="s">
        <v>49</v>
      </c>
      <c r="D44" s="89" t="s">
        <v>231</v>
      </c>
      <c r="E44" s="24">
        <v>45580</v>
      </c>
      <c r="F44" s="23" t="s">
        <v>24</v>
      </c>
      <c r="G44" s="23">
        <v>20079974</v>
      </c>
      <c r="H44" s="87"/>
      <c r="I44" s="23">
        <v>373114</v>
      </c>
      <c r="J44" s="23" t="s">
        <v>565</v>
      </c>
      <c r="K44" s="24"/>
      <c r="L44" s="13" t="s">
        <v>365</v>
      </c>
      <c r="M44" s="13" t="s">
        <v>291</v>
      </c>
      <c r="N44" s="26"/>
      <c r="O44" s="60"/>
      <c r="P44"/>
      <c r="Q44"/>
      <c r="R44"/>
      <c r="S44"/>
    </row>
    <row r="45" spans="1:19" s="11" customFormat="1" x14ac:dyDescent="0.25">
      <c r="A45" s="205">
        <v>37018282</v>
      </c>
      <c r="B45" s="92" t="s">
        <v>276</v>
      </c>
      <c r="C45" s="89" t="s">
        <v>30</v>
      </c>
      <c r="D45" s="89" t="s">
        <v>236</v>
      </c>
      <c r="E45" s="166">
        <v>45475</v>
      </c>
      <c r="F45" s="23" t="s">
        <v>29</v>
      </c>
      <c r="G45" s="23">
        <v>20072833</v>
      </c>
      <c r="H45" s="87"/>
      <c r="I45" s="23">
        <v>373114</v>
      </c>
      <c r="J45" s="23" t="s">
        <v>565</v>
      </c>
      <c r="K45" s="24"/>
      <c r="L45" s="94" t="s">
        <v>377</v>
      </c>
      <c r="M45" s="63" t="s">
        <v>291</v>
      </c>
      <c r="N45" s="26" t="s">
        <v>291</v>
      </c>
      <c r="O45" s="26" t="s">
        <v>353</v>
      </c>
      <c r="P45"/>
      <c r="Q45"/>
    </row>
    <row r="46" spans="1:19" s="11" customFormat="1" x14ac:dyDescent="0.25">
      <c r="A46" s="205">
        <v>37017957</v>
      </c>
      <c r="B46" s="92" t="s">
        <v>275</v>
      </c>
      <c r="C46" s="93" t="s">
        <v>30</v>
      </c>
      <c r="D46" s="166" t="str">
        <f>VLOOKUP(Apoio_Transp[[#This Row],[COLABORADOR]],[1]ATIVOS!$B$4:$J$216,4,)</f>
        <v>OPERADOR DE ESTRADAS III</v>
      </c>
      <c r="E46" s="166">
        <v>45447</v>
      </c>
      <c r="F46" s="23" t="s">
        <v>29</v>
      </c>
      <c r="G46" s="23">
        <v>20071225</v>
      </c>
      <c r="H46" s="87"/>
      <c r="I46" s="23">
        <v>373114</v>
      </c>
      <c r="J46" s="23" t="s">
        <v>565</v>
      </c>
      <c r="K46" s="24"/>
      <c r="L46" s="94" t="s">
        <v>378</v>
      </c>
      <c r="M46" s="63" t="s">
        <v>291</v>
      </c>
      <c r="N46" s="30" t="s">
        <v>291</v>
      </c>
      <c r="O46" s="26"/>
      <c r="P46"/>
      <c r="Q46"/>
      <c r="R46"/>
      <c r="S46"/>
    </row>
    <row r="47" spans="1:19" hidden="1" x14ac:dyDescent="0.25">
      <c r="A47" s="205"/>
      <c r="B47" s="89" t="s">
        <v>283</v>
      </c>
      <c r="C47" s="93" t="s">
        <v>35</v>
      </c>
      <c r="D47" s="89" t="s">
        <v>236</v>
      </c>
      <c r="E47" s="90">
        <v>45461</v>
      </c>
      <c r="F47" s="23" t="s">
        <v>29</v>
      </c>
      <c r="G47" s="23">
        <v>20072298</v>
      </c>
      <c r="H47" s="87" t="e">
        <f>VLOOKUP(Apoio_Transp[[#This Row],[MATRÍCULA]],[2]!Tabela1[[#All],[ID SAP]:[NOMENCLATURA DA POSIÇÃO]],6,0)</f>
        <v>#REF!</v>
      </c>
      <c r="I47" s="23">
        <v>373116</v>
      </c>
      <c r="J47" s="23"/>
      <c r="K47" s="24">
        <v>45573</v>
      </c>
      <c r="L47" s="94" t="s">
        <v>378</v>
      </c>
      <c r="M47" s="63" t="s">
        <v>390</v>
      </c>
      <c r="N47" s="23" t="s">
        <v>291</v>
      </c>
      <c r="O47" s="26"/>
    </row>
    <row r="48" spans="1:19" s="11" customFormat="1" x14ac:dyDescent="0.25">
      <c r="A48" s="205">
        <v>37018408</v>
      </c>
      <c r="B48" s="90" t="s">
        <v>274</v>
      </c>
      <c r="C48" s="90" t="s">
        <v>30</v>
      </c>
      <c r="D48" s="90" t="s">
        <v>231</v>
      </c>
      <c r="E48" s="90">
        <v>45483</v>
      </c>
      <c r="F48" s="23" t="s">
        <v>29</v>
      </c>
      <c r="G48" s="23">
        <v>20073600</v>
      </c>
      <c r="H48" s="87"/>
      <c r="I48" s="23">
        <v>373114</v>
      </c>
      <c r="J48" s="23" t="s">
        <v>565</v>
      </c>
      <c r="K48" s="24"/>
      <c r="L48" s="94" t="s">
        <v>377</v>
      </c>
      <c r="M48" s="63" t="s">
        <v>291</v>
      </c>
      <c r="N48" s="23" t="s">
        <v>291</v>
      </c>
      <c r="O48" s="26"/>
      <c r="P48"/>
      <c r="Q48"/>
    </row>
    <row r="49" spans="1:16384" s="11" customFormat="1" x14ac:dyDescent="0.25">
      <c r="A49" s="205">
        <v>37020620</v>
      </c>
      <c r="B49" s="89" t="s">
        <v>474</v>
      </c>
      <c r="C49" s="89" t="s">
        <v>30</v>
      </c>
      <c r="D49" s="89" t="s">
        <v>259</v>
      </c>
      <c r="E49" s="90">
        <v>45678</v>
      </c>
      <c r="F49" s="23" t="s">
        <v>29</v>
      </c>
      <c r="G49" s="23">
        <v>20084374</v>
      </c>
      <c r="H49" s="87"/>
      <c r="I49" s="23">
        <v>373114</v>
      </c>
      <c r="J49" s="23" t="s">
        <v>565</v>
      </c>
      <c r="K49" s="24"/>
      <c r="L49" s="29"/>
      <c r="M49" s="33"/>
      <c r="N49" s="33"/>
      <c r="O49" s="33"/>
      <c r="P49"/>
      <c r="Q49"/>
    </row>
    <row r="50" spans="1:16384" s="11" customFormat="1" x14ac:dyDescent="0.25">
      <c r="A50" s="205">
        <v>37019064</v>
      </c>
      <c r="B50" s="89" t="s">
        <v>284</v>
      </c>
      <c r="C50" s="89" t="s">
        <v>35</v>
      </c>
      <c r="D50" s="89" t="s">
        <v>231</v>
      </c>
      <c r="E50" s="90">
        <v>45538</v>
      </c>
      <c r="F50" s="23" t="s">
        <v>29</v>
      </c>
      <c r="G50" s="23">
        <v>20076917</v>
      </c>
      <c r="H50" s="87"/>
      <c r="I50" s="23">
        <v>373114</v>
      </c>
      <c r="J50" s="23" t="s">
        <v>565</v>
      </c>
      <c r="K50" s="24"/>
      <c r="L50" s="94" t="s">
        <v>376</v>
      </c>
      <c r="M50" s="63" t="s">
        <v>291</v>
      </c>
      <c r="N50" s="23" t="s">
        <v>291</v>
      </c>
      <c r="O50" s="139" t="s">
        <v>353</v>
      </c>
      <c r="P50"/>
      <c r="Q50"/>
      <c r="R50"/>
      <c r="S50"/>
    </row>
    <row r="51" spans="1:16384" s="11" customFormat="1" x14ac:dyDescent="0.25">
      <c r="A51" s="205">
        <v>37017525</v>
      </c>
      <c r="B51" s="144" t="s">
        <v>278</v>
      </c>
      <c r="C51" s="144" t="s">
        <v>19</v>
      </c>
      <c r="D51" s="144" t="s">
        <v>236</v>
      </c>
      <c r="E51" s="178">
        <v>45419</v>
      </c>
      <c r="F51" s="23" t="s">
        <v>18</v>
      </c>
      <c r="G51" s="23">
        <v>20069674</v>
      </c>
      <c r="H51" s="87"/>
      <c r="I51" s="23">
        <v>373114</v>
      </c>
      <c r="J51" s="23" t="s">
        <v>565</v>
      </c>
      <c r="K51" s="24"/>
      <c r="L51" s="35" t="s">
        <v>362</v>
      </c>
      <c r="M51" s="193" t="s">
        <v>261</v>
      </c>
      <c r="N51" s="168" t="s">
        <v>291</v>
      </c>
      <c r="O51" s="26"/>
      <c r="P51"/>
      <c r="Q51"/>
      <c r="R51"/>
      <c r="S51"/>
    </row>
    <row r="52" spans="1:16384" s="11" customFormat="1" x14ac:dyDescent="0.25">
      <c r="A52" s="205">
        <v>37018146</v>
      </c>
      <c r="B52" s="144" t="s">
        <v>273</v>
      </c>
      <c r="C52" s="184" t="s">
        <v>30</v>
      </c>
      <c r="D52" s="144" t="s">
        <v>231</v>
      </c>
      <c r="E52" s="185">
        <v>45461</v>
      </c>
      <c r="F52" s="23" t="s">
        <v>29</v>
      </c>
      <c r="G52" s="23">
        <v>20072294</v>
      </c>
      <c r="H52" s="87"/>
      <c r="I52" s="23">
        <v>373114</v>
      </c>
      <c r="J52" s="23" t="s">
        <v>565</v>
      </c>
      <c r="K52" s="24"/>
      <c r="L52" s="137" t="s">
        <v>377</v>
      </c>
      <c r="M52" s="124" t="s">
        <v>291</v>
      </c>
      <c r="N52" s="138" t="s">
        <v>291</v>
      </c>
      <c r="O52" s="26"/>
      <c r="P52"/>
      <c r="Q52"/>
      <c r="R52"/>
      <c r="S52"/>
    </row>
    <row r="53" spans="1:16384" s="11" customFormat="1" x14ac:dyDescent="0.25">
      <c r="A53" s="205">
        <v>37017272</v>
      </c>
      <c r="B53" s="92" t="s">
        <v>242</v>
      </c>
      <c r="C53" s="206" t="s">
        <v>25</v>
      </c>
      <c r="D53" s="89" t="s">
        <v>231</v>
      </c>
      <c r="E53" s="24">
        <v>45398</v>
      </c>
      <c r="F53" s="23" t="s">
        <v>24</v>
      </c>
      <c r="G53" s="23">
        <v>20068585</v>
      </c>
      <c r="H53" s="87"/>
      <c r="I53" s="23">
        <v>373114</v>
      </c>
      <c r="J53" s="23" t="s">
        <v>565</v>
      </c>
      <c r="K53" s="24"/>
      <c r="L53" s="29" t="s">
        <v>370</v>
      </c>
      <c r="M53" s="13" t="s">
        <v>291</v>
      </c>
      <c r="N53" s="23"/>
      <c r="O53" s="26"/>
      <c r="P53"/>
      <c r="Q53"/>
    </row>
    <row r="54" spans="1:16384" s="11" customFormat="1" x14ac:dyDescent="0.25">
      <c r="A54" s="205">
        <v>37017497</v>
      </c>
      <c r="B54" s="92" t="s">
        <v>250</v>
      </c>
      <c r="C54" s="89" t="s">
        <v>21</v>
      </c>
      <c r="D54" s="89" t="s">
        <v>231</v>
      </c>
      <c r="E54" s="87">
        <v>45419</v>
      </c>
      <c r="F54" s="23" t="s">
        <v>18</v>
      </c>
      <c r="G54" s="23">
        <v>20069641</v>
      </c>
      <c r="H54" s="87"/>
      <c r="I54" s="23">
        <v>373114</v>
      </c>
      <c r="J54" s="23" t="s">
        <v>565</v>
      </c>
      <c r="K54" s="24"/>
      <c r="L54" s="35" t="s">
        <v>361</v>
      </c>
      <c r="M54" s="13" t="s">
        <v>291</v>
      </c>
      <c r="N54" s="26" t="s">
        <v>291</v>
      </c>
      <c r="O54" s="26"/>
      <c r="P54"/>
      <c r="Q54"/>
    </row>
    <row r="55" spans="1:16384" s="11" customFormat="1" x14ac:dyDescent="0.25">
      <c r="A55" s="205">
        <v>37018099</v>
      </c>
      <c r="B55" s="89" t="s">
        <v>277</v>
      </c>
      <c r="C55" s="93" t="s">
        <v>19</v>
      </c>
      <c r="D55" s="89" t="s">
        <v>231</v>
      </c>
      <c r="E55" s="87">
        <v>45454</v>
      </c>
      <c r="F55" s="23" t="s">
        <v>18</v>
      </c>
      <c r="G55" s="23">
        <v>20071778</v>
      </c>
      <c r="H55" s="87"/>
      <c r="I55" s="23">
        <v>373114</v>
      </c>
      <c r="J55" s="23" t="s">
        <v>565</v>
      </c>
      <c r="K55" s="24"/>
      <c r="L55" s="15" t="s">
        <v>362</v>
      </c>
      <c r="M55" s="13" t="s">
        <v>389</v>
      </c>
      <c r="N55" s="23" t="s">
        <v>296</v>
      </c>
      <c r="O55" s="139"/>
      <c r="P55"/>
      <c r="Q55"/>
      <c r="R55"/>
      <c r="S55"/>
    </row>
    <row r="56" spans="1:16384" s="134" customFormat="1" hidden="1" x14ac:dyDescent="0.25">
      <c r="A56" s="205"/>
      <c r="B56" s="89" t="s">
        <v>285</v>
      </c>
      <c r="C56" s="93" t="s">
        <v>35</v>
      </c>
      <c r="D56" s="89" t="s">
        <v>259</v>
      </c>
      <c r="E56" s="90">
        <f>VLOOKUP(Apoio_Transp[[#This Row],[COLABORADOR]],[3]ATIVOS!$A:$D,4,FALSE)</f>
        <v>45545</v>
      </c>
      <c r="F56" s="23" t="s">
        <v>29</v>
      </c>
      <c r="G56" s="23">
        <v>20076937</v>
      </c>
      <c r="H56" s="87" t="e">
        <f>VLOOKUP(Apoio_Transp[[#This Row],[MATRÍCULA]],[2]!Tabela1[[#All],[ID SAP]:[NOMENCLATURA DA POSIÇÃO]],6,0)</f>
        <v>#REF!</v>
      </c>
      <c r="I56" s="23"/>
      <c r="J56" s="23"/>
      <c r="K56" s="24">
        <v>45695</v>
      </c>
      <c r="L56" s="137" t="s">
        <v>381</v>
      </c>
      <c r="M56" s="63" t="s">
        <v>291</v>
      </c>
      <c r="N56" s="23" t="s">
        <v>291</v>
      </c>
      <c r="O56" s="26" t="s">
        <v>353</v>
      </c>
      <c r="P56"/>
      <c r="Q56"/>
      <c r="R56" s="11"/>
      <c r="S56" s="11"/>
    </row>
    <row r="57" spans="1:16384" s="11" customFormat="1" x14ac:dyDescent="0.25">
      <c r="A57" s="205">
        <v>37020393</v>
      </c>
      <c r="B57" s="89" t="s">
        <v>433</v>
      </c>
      <c r="C57" s="89" t="s">
        <v>35</v>
      </c>
      <c r="D57" s="89" t="s">
        <v>236</v>
      </c>
      <c r="E57" s="90">
        <v>45664</v>
      </c>
      <c r="F57" s="23" t="s">
        <v>29</v>
      </c>
      <c r="G57" s="23">
        <v>20083834</v>
      </c>
      <c r="H57" s="87"/>
      <c r="I57" s="23">
        <v>373114</v>
      </c>
      <c r="J57" s="23" t="s">
        <v>565</v>
      </c>
      <c r="K57" s="24"/>
      <c r="L57" s="142"/>
      <c r="M57" s="145"/>
      <c r="N57" s="192"/>
      <c r="O57" s="192"/>
      <c r="P57"/>
      <c r="Q57"/>
      <c r="R57"/>
      <c r="S57"/>
    </row>
    <row r="58" spans="1:16384" s="122" customFormat="1" hidden="1" x14ac:dyDescent="0.25">
      <c r="A58" s="88"/>
      <c r="B58" s="89" t="s">
        <v>272</v>
      </c>
      <c r="C58" s="93" t="s">
        <v>35</v>
      </c>
      <c r="D58" s="89" t="s">
        <v>231</v>
      </c>
      <c r="E58" s="91">
        <v>45461</v>
      </c>
      <c r="F58" s="23" t="s">
        <v>29</v>
      </c>
      <c r="G58" s="23">
        <v>20072290</v>
      </c>
      <c r="H58" s="87" t="e">
        <f>VLOOKUP(Apoio_Transp[[#This Row],[MATRÍCULA]],[2]!Tabela1[[#All],[ID SAP]:[NOMENCLATURA DA POSIÇÃO]],6,0)</f>
        <v>#REF!</v>
      </c>
      <c r="I58" s="23" t="s">
        <v>292</v>
      </c>
      <c r="J58" s="23"/>
      <c r="K58" s="24" t="s">
        <v>438</v>
      </c>
      <c r="L58" s="94" t="s">
        <v>377</v>
      </c>
      <c r="M58" s="63" t="s">
        <v>291</v>
      </c>
      <c r="N58" s="23" t="s">
        <v>291</v>
      </c>
      <c r="O58" s="26" t="s">
        <v>353</v>
      </c>
      <c r="P58"/>
      <c r="Q58"/>
      <c r="R58"/>
      <c r="S58"/>
    </row>
    <row r="59" spans="1:16384" s="11" customFormat="1" x14ac:dyDescent="0.25">
      <c r="A59" s="205">
        <v>37020160</v>
      </c>
      <c r="B59" s="89" t="s">
        <v>395</v>
      </c>
      <c r="C59" s="89" t="s">
        <v>30</v>
      </c>
      <c r="D59" s="89" t="s">
        <v>231</v>
      </c>
      <c r="E59" s="90">
        <v>45629</v>
      </c>
      <c r="F59" s="23" t="s">
        <v>29</v>
      </c>
      <c r="G59" s="23">
        <v>20083008</v>
      </c>
      <c r="H59" s="87"/>
      <c r="I59" s="23">
        <v>373114</v>
      </c>
      <c r="J59" s="23" t="s">
        <v>565</v>
      </c>
      <c r="K59" s="24"/>
      <c r="L59" s="135"/>
      <c r="M59" s="15"/>
      <c r="N59" s="23"/>
      <c r="O59" s="13"/>
      <c r="P59"/>
      <c r="Q59"/>
      <c r="R59"/>
      <c r="S59"/>
    </row>
    <row r="60" spans="1:16384" s="11" customFormat="1" x14ac:dyDescent="0.25">
      <c r="A60" s="205">
        <v>37020158</v>
      </c>
      <c r="B60" s="89" t="s">
        <v>432</v>
      </c>
      <c r="C60" s="89" t="s">
        <v>35</v>
      </c>
      <c r="D60" s="89" t="s">
        <v>236</v>
      </c>
      <c r="E60" s="90">
        <v>45629</v>
      </c>
      <c r="F60" s="23" t="s">
        <v>29</v>
      </c>
      <c r="G60" s="23">
        <v>20083005</v>
      </c>
      <c r="H60" s="87"/>
      <c r="I60" s="23">
        <v>373114</v>
      </c>
      <c r="J60" s="23" t="s">
        <v>565</v>
      </c>
      <c r="K60" s="24"/>
      <c r="L60" s="179"/>
      <c r="M60" s="180"/>
      <c r="N60" s="140"/>
      <c r="O60" s="140"/>
      <c r="P60"/>
      <c r="Q60"/>
      <c r="R60"/>
      <c r="S60"/>
    </row>
    <row r="61" spans="1:16384" s="11" customFormat="1" x14ac:dyDescent="0.25">
      <c r="A61" s="205">
        <v>37021730</v>
      </c>
      <c r="B61" s="89" t="s">
        <v>556</v>
      </c>
      <c r="C61" s="207" t="s">
        <v>486</v>
      </c>
      <c r="D61" s="207" t="s">
        <v>236</v>
      </c>
      <c r="E61" s="87">
        <v>45762</v>
      </c>
      <c r="F61" s="167" t="s">
        <v>487</v>
      </c>
      <c r="G61" s="23">
        <v>20090084</v>
      </c>
      <c r="H61" s="87"/>
      <c r="I61" s="155">
        <v>373114</v>
      </c>
      <c r="J61" s="155" t="s">
        <v>564</v>
      </c>
      <c r="K61" s="24"/>
      <c r="L61" s="141"/>
      <c r="M61" s="156"/>
      <c r="N61" s="159"/>
      <c r="O61" s="159"/>
      <c r="P61"/>
      <c r="Q61"/>
      <c r="R61"/>
      <c r="S61"/>
    </row>
    <row r="62" spans="1:16384" s="11" customFormat="1" x14ac:dyDescent="0.25">
      <c r="A62" s="205">
        <v>37021085</v>
      </c>
      <c r="B62" s="89" t="s">
        <v>516</v>
      </c>
      <c r="C62" s="207" t="s">
        <v>486</v>
      </c>
      <c r="D62" s="89" t="s">
        <v>231</v>
      </c>
      <c r="E62" s="87">
        <v>45727</v>
      </c>
      <c r="F62" s="167" t="s">
        <v>487</v>
      </c>
      <c r="G62" s="23">
        <v>20086582</v>
      </c>
      <c r="H62" s="87"/>
      <c r="I62" s="155">
        <v>373114</v>
      </c>
      <c r="J62" s="155" t="s">
        <v>565</v>
      </c>
      <c r="K62" s="24"/>
      <c r="L62" s="141"/>
      <c r="M62" s="156"/>
      <c r="N62" s="159"/>
      <c r="O62" s="159"/>
      <c r="P62"/>
      <c r="Q62"/>
      <c r="R62"/>
      <c r="S62"/>
      <c r="T62"/>
      <c r="U62"/>
    </row>
    <row r="63" spans="1:16384" s="103" customFormat="1" x14ac:dyDescent="0.25">
      <c r="A63" s="205">
        <v>37020297</v>
      </c>
      <c r="B63" s="89" t="s">
        <v>485</v>
      </c>
      <c r="C63" s="207" t="s">
        <v>486</v>
      </c>
      <c r="D63" s="207" t="s">
        <v>259</v>
      </c>
      <c r="E63" s="87">
        <v>45636</v>
      </c>
      <c r="F63" s="167" t="s">
        <v>487</v>
      </c>
      <c r="G63" s="167">
        <v>20083256</v>
      </c>
      <c r="H63" s="87"/>
      <c r="I63" s="155">
        <v>373114</v>
      </c>
      <c r="J63" s="155" t="s">
        <v>565</v>
      </c>
      <c r="K63" s="24"/>
      <c r="L63" s="28"/>
      <c r="M63" s="33"/>
      <c r="N63" s="33"/>
      <c r="O63" s="183"/>
      <c r="P63"/>
      <c r="Q63"/>
      <c r="R63"/>
      <c r="S63"/>
      <c r="T63"/>
      <c r="U63"/>
      <c r="V63" s="175"/>
      <c r="W63" s="175"/>
      <c r="X63" s="175"/>
      <c r="Y63" s="175"/>
      <c r="Z63" s="176"/>
      <c r="AA63" s="104"/>
      <c r="AB63" s="106"/>
      <c r="AC63" s="175"/>
      <c r="AD63" s="175"/>
      <c r="AE63" s="175"/>
      <c r="AF63" s="175"/>
      <c r="AG63" s="176"/>
      <c r="AH63" s="104"/>
      <c r="AI63" s="106"/>
      <c r="AJ63" s="175"/>
      <c r="AK63" s="175"/>
      <c r="AL63" s="175"/>
      <c r="AM63" s="175"/>
      <c r="AN63" s="176"/>
      <c r="AO63" s="104"/>
      <c r="AP63" s="106"/>
      <c r="AQ63" s="175"/>
      <c r="AR63" s="175"/>
      <c r="AS63" s="175"/>
      <c r="AT63" s="175"/>
      <c r="AU63" s="176"/>
      <c r="AV63" s="104"/>
      <c r="AW63" s="106"/>
      <c r="AX63" s="175"/>
      <c r="AY63" s="175"/>
      <c r="AZ63" s="175"/>
      <c r="BA63" s="175"/>
      <c r="BB63" s="176"/>
      <c r="BC63" s="104"/>
      <c r="BD63" s="106"/>
      <c r="BE63" s="175"/>
      <c r="BF63" s="175"/>
      <c r="BG63" s="175"/>
      <c r="BH63" s="175"/>
      <c r="BI63" s="176"/>
      <c r="BJ63" s="104"/>
      <c r="BK63" s="106"/>
      <c r="BL63" s="175"/>
      <c r="BM63" s="175"/>
      <c r="BN63" s="175"/>
      <c r="BO63" s="175"/>
      <c r="BP63" s="176"/>
      <c r="BQ63" s="104"/>
      <c r="BR63" s="106"/>
      <c r="BS63" s="175"/>
      <c r="BT63" s="175"/>
      <c r="BU63" s="175"/>
      <c r="BV63" s="175"/>
      <c r="BW63" s="176"/>
      <c r="BX63" s="104"/>
      <c r="BY63" s="106"/>
      <c r="BZ63" s="175"/>
      <c r="CA63" s="175"/>
      <c r="CB63" s="175"/>
      <c r="CC63" s="175"/>
      <c r="CD63" s="176"/>
      <c r="CE63" s="104"/>
      <c r="CF63" s="106"/>
      <c r="CG63" s="175"/>
      <c r="CH63" s="175"/>
      <c r="CI63" s="175"/>
      <c r="CJ63" s="175"/>
      <c r="CK63" s="176"/>
      <c r="CL63" s="104"/>
      <c r="CM63" s="106"/>
      <c r="CN63" s="175"/>
      <c r="CO63" s="175"/>
      <c r="CP63" s="175"/>
      <c r="CQ63" s="175"/>
      <c r="CR63" s="176"/>
      <c r="CS63" s="104"/>
      <c r="CT63" s="106"/>
      <c r="CU63" s="175"/>
      <c r="CV63" s="175"/>
      <c r="CW63" s="175"/>
      <c r="CX63" s="175"/>
      <c r="CY63" s="176"/>
      <c r="CZ63" s="104"/>
      <c r="DA63" s="106"/>
      <c r="DB63" s="175"/>
      <c r="DC63" s="175"/>
      <c r="DD63" s="175"/>
      <c r="DE63" s="175"/>
      <c r="DF63" s="176"/>
      <c r="DG63" s="104"/>
      <c r="DH63" s="106"/>
      <c r="DI63" s="175"/>
      <c r="DJ63" s="175"/>
      <c r="DK63" s="175"/>
      <c r="DL63" s="175"/>
      <c r="DM63" s="176"/>
      <c r="DN63" s="104"/>
      <c r="DO63" s="106"/>
      <c r="DP63" s="175"/>
      <c r="DQ63" s="175"/>
      <c r="DR63" s="175"/>
      <c r="DS63" s="175"/>
      <c r="DT63" s="176"/>
      <c r="DU63" s="104"/>
      <c r="DV63" s="106"/>
      <c r="DW63" s="175"/>
      <c r="DX63" s="175"/>
      <c r="DY63" s="175"/>
      <c r="DZ63" s="175"/>
      <c r="EA63" s="176"/>
      <c r="EB63" s="104"/>
      <c r="EC63" s="106"/>
      <c r="ED63" s="175"/>
      <c r="EE63" s="175"/>
      <c r="EF63" s="175"/>
      <c r="EG63" s="175"/>
      <c r="EH63" s="176"/>
      <c r="EI63" s="104"/>
      <c r="EJ63" s="106"/>
      <c r="EK63" s="175"/>
      <c r="EL63" s="175"/>
      <c r="EM63" s="175"/>
      <c r="EN63" s="175"/>
      <c r="EO63" s="176"/>
      <c r="EP63" s="104"/>
      <c r="EQ63" s="106"/>
      <c r="ER63" s="175"/>
      <c r="ES63" s="175"/>
      <c r="ET63" s="175"/>
      <c r="EU63" s="175"/>
      <c r="EV63" s="176"/>
      <c r="EW63" s="104"/>
      <c r="EX63" s="106"/>
      <c r="EY63" s="175"/>
      <c r="EZ63" s="175"/>
      <c r="FA63" s="175"/>
      <c r="FB63" s="175"/>
      <c r="FC63" s="176"/>
      <c r="FD63" s="104"/>
      <c r="FE63" s="106"/>
      <c r="FF63" s="175"/>
      <c r="FG63" s="175"/>
      <c r="FH63" s="175"/>
      <c r="FI63" s="175"/>
      <c r="FJ63" s="176"/>
      <c r="FK63" s="104"/>
      <c r="FL63" s="106"/>
      <c r="FM63" s="175"/>
      <c r="FN63" s="175"/>
      <c r="FO63" s="175"/>
      <c r="FP63" s="175"/>
      <c r="FQ63" s="176"/>
      <c r="FR63" s="104"/>
      <c r="FS63" s="106"/>
      <c r="FT63" s="175"/>
      <c r="FU63" s="175"/>
      <c r="FV63" s="175"/>
      <c r="FW63" s="175"/>
      <c r="FX63" s="176"/>
      <c r="FY63" s="104"/>
      <c r="FZ63" s="106"/>
      <c r="GA63" s="175"/>
      <c r="GB63" s="175"/>
      <c r="GC63" s="175"/>
      <c r="GD63" s="175"/>
      <c r="GE63" s="176"/>
      <c r="GF63" s="104"/>
      <c r="GG63" s="106"/>
      <c r="GH63" s="175"/>
      <c r="GI63" s="175"/>
      <c r="GJ63" s="175"/>
      <c r="GK63" s="175"/>
      <c r="GL63" s="176"/>
      <c r="GM63" s="104"/>
      <c r="GN63" s="106"/>
      <c r="GO63" s="175"/>
      <c r="GP63" s="175"/>
      <c r="GQ63" s="175"/>
      <c r="GR63" s="175"/>
      <c r="GS63" s="176"/>
      <c r="GT63" s="104"/>
      <c r="GU63" s="106"/>
      <c r="GV63" s="175"/>
      <c r="GW63" s="175"/>
      <c r="GX63" s="175"/>
      <c r="GY63" s="175"/>
      <c r="GZ63" s="176"/>
      <c r="HA63" s="104"/>
      <c r="HB63" s="106"/>
      <c r="HC63" s="175"/>
      <c r="HD63" s="175"/>
      <c r="HE63" s="175"/>
      <c r="HF63" s="175"/>
      <c r="HG63" s="176"/>
      <c r="HH63" s="104"/>
      <c r="HI63" s="106"/>
      <c r="HJ63" s="175"/>
      <c r="HK63" s="175"/>
      <c r="HL63" s="175"/>
      <c r="HM63" s="175"/>
      <c r="HN63" s="176"/>
      <c r="HO63" s="104"/>
      <c r="HP63" s="106"/>
      <c r="HQ63" s="175"/>
      <c r="HR63" s="175"/>
      <c r="HS63" s="175"/>
      <c r="HT63" s="175"/>
      <c r="HU63" s="176"/>
      <c r="HV63" s="104"/>
      <c r="HW63" s="106"/>
      <c r="HX63" s="175"/>
      <c r="HY63" s="175"/>
      <c r="HZ63" s="175"/>
      <c r="IA63" s="175"/>
      <c r="IB63" s="176"/>
      <c r="IC63" s="104"/>
      <c r="ID63" s="106"/>
      <c r="IE63" s="175"/>
      <c r="IF63" s="175"/>
      <c r="IG63" s="175"/>
      <c r="IH63" s="175"/>
      <c r="II63" s="176"/>
      <c r="IJ63" s="104"/>
      <c r="IK63" s="106"/>
      <c r="IL63" s="175"/>
      <c r="IM63" s="175"/>
      <c r="IN63" s="175"/>
      <c r="IO63" s="175"/>
      <c r="IP63" s="176"/>
      <c r="IQ63" s="104"/>
      <c r="IR63" s="106"/>
      <c r="IS63" s="175"/>
      <c r="IT63" s="175"/>
      <c r="IU63" s="175"/>
      <c r="IV63" s="175"/>
      <c r="IW63" s="176"/>
      <c r="IX63" s="104"/>
      <c r="IY63" s="106"/>
      <c r="IZ63" s="175"/>
      <c r="JA63" s="175"/>
      <c r="JB63" s="175"/>
      <c r="JC63" s="175"/>
      <c r="JD63" s="176"/>
      <c r="JE63" s="104"/>
      <c r="JF63" s="106"/>
      <c r="JG63" s="175"/>
      <c r="JH63" s="175"/>
      <c r="JI63" s="175"/>
      <c r="JJ63" s="175"/>
      <c r="JK63" s="176"/>
      <c r="JL63" s="104"/>
      <c r="JM63" s="106"/>
      <c r="JN63" s="175"/>
      <c r="JO63" s="175"/>
      <c r="JP63" s="175"/>
      <c r="JQ63" s="175"/>
      <c r="JR63" s="176"/>
      <c r="JS63" s="104"/>
      <c r="JT63" s="106"/>
      <c r="JU63" s="175"/>
      <c r="JV63" s="175"/>
      <c r="JW63" s="175"/>
      <c r="JX63" s="175"/>
      <c r="JY63" s="176"/>
      <c r="JZ63" s="104"/>
      <c r="KA63" s="106"/>
      <c r="KB63" s="175"/>
      <c r="KC63" s="175"/>
      <c r="KD63" s="175"/>
      <c r="KE63" s="175"/>
      <c r="KF63" s="176"/>
      <c r="KG63" s="104"/>
      <c r="KH63" s="106"/>
      <c r="KI63" s="175"/>
      <c r="KJ63" s="175"/>
      <c r="KK63" s="175"/>
      <c r="KL63" s="175"/>
      <c r="KM63" s="176"/>
      <c r="KN63" s="104"/>
      <c r="KO63" s="106"/>
      <c r="KP63" s="175"/>
      <c r="KQ63" s="175"/>
      <c r="KR63" s="175"/>
      <c r="KS63" s="175"/>
      <c r="KT63" s="176"/>
      <c r="KU63" s="104"/>
      <c r="KV63" s="106"/>
      <c r="KW63" s="175"/>
      <c r="KX63" s="175"/>
      <c r="KY63" s="175"/>
      <c r="KZ63" s="175"/>
      <c r="LA63" s="176"/>
      <c r="LB63" s="104"/>
      <c r="LC63" s="106"/>
      <c r="LD63" s="175"/>
      <c r="LE63" s="175"/>
      <c r="LF63" s="175"/>
      <c r="LG63" s="175"/>
      <c r="LH63" s="176"/>
      <c r="LI63" s="104"/>
      <c r="LJ63" s="106"/>
      <c r="LK63" s="175"/>
      <c r="LL63" s="175"/>
      <c r="LM63" s="175"/>
      <c r="LN63" s="175"/>
      <c r="LO63" s="176"/>
      <c r="LP63" s="104"/>
      <c r="LQ63" s="106"/>
      <c r="LR63" s="175"/>
      <c r="LS63" s="175"/>
      <c r="LT63" s="175"/>
      <c r="LU63" s="175"/>
      <c r="LV63" s="176"/>
      <c r="LW63" s="104"/>
      <c r="LX63" s="106"/>
      <c r="LY63" s="175"/>
      <c r="LZ63" s="175"/>
      <c r="MA63" s="175"/>
      <c r="MB63" s="175"/>
      <c r="MC63" s="176"/>
      <c r="MD63" s="104"/>
      <c r="ME63" s="106"/>
      <c r="MF63" s="175"/>
      <c r="MG63" s="175"/>
      <c r="MH63" s="175"/>
      <c r="MI63" s="175"/>
      <c r="MJ63" s="176"/>
      <c r="MK63" s="104"/>
      <c r="ML63" s="106"/>
      <c r="MM63" s="175"/>
      <c r="MN63" s="175"/>
      <c r="MO63" s="175"/>
      <c r="MP63" s="175"/>
      <c r="MQ63" s="176"/>
      <c r="MR63" s="104"/>
      <c r="MS63" s="106"/>
      <c r="MT63" s="175"/>
      <c r="MU63" s="175"/>
      <c r="MV63" s="175"/>
      <c r="MW63" s="175"/>
      <c r="MX63" s="176"/>
      <c r="MY63" s="104"/>
      <c r="MZ63" s="106"/>
      <c r="NA63" s="175"/>
      <c r="NB63" s="175"/>
      <c r="NC63" s="175"/>
      <c r="ND63" s="175"/>
      <c r="NE63" s="176"/>
      <c r="NF63" s="104"/>
      <c r="NG63" s="106"/>
      <c r="NH63" s="175"/>
      <c r="NI63" s="175"/>
      <c r="NJ63" s="175"/>
      <c r="NK63" s="175"/>
      <c r="NL63" s="176"/>
      <c r="NM63" s="104"/>
      <c r="NN63" s="106"/>
      <c r="NO63" s="175"/>
      <c r="NP63" s="175"/>
      <c r="NQ63" s="175"/>
      <c r="NR63" s="175"/>
      <c r="NS63" s="176"/>
      <c r="NT63" s="104"/>
      <c r="NU63" s="106"/>
      <c r="NV63" s="175"/>
      <c r="NW63" s="175"/>
      <c r="NX63" s="175"/>
      <c r="NY63" s="175"/>
      <c r="NZ63" s="176"/>
      <c r="OA63" s="104"/>
      <c r="OB63" s="106"/>
      <c r="OC63" s="175"/>
      <c r="OD63" s="175"/>
      <c r="OE63" s="175"/>
      <c r="OF63" s="175"/>
      <c r="OG63" s="176"/>
      <c r="OH63" s="104"/>
      <c r="OI63" s="106"/>
      <c r="OJ63" s="175"/>
      <c r="OK63" s="175"/>
      <c r="OL63" s="175"/>
      <c r="OM63" s="175"/>
      <c r="ON63" s="176"/>
      <c r="OO63" s="104"/>
      <c r="OP63" s="106"/>
      <c r="OQ63" s="175"/>
      <c r="OR63" s="175"/>
      <c r="OS63" s="175"/>
      <c r="OT63" s="175"/>
      <c r="OU63" s="176"/>
      <c r="OV63" s="104"/>
      <c r="OW63" s="106"/>
      <c r="OX63" s="175"/>
      <c r="OY63" s="175"/>
      <c r="OZ63" s="175"/>
      <c r="PA63" s="175"/>
      <c r="PB63" s="176"/>
      <c r="PC63" s="104"/>
      <c r="PD63" s="106"/>
      <c r="PE63" s="175"/>
      <c r="PF63" s="175"/>
      <c r="PG63" s="175"/>
      <c r="PH63" s="175"/>
      <c r="PI63" s="176"/>
      <c r="PJ63" s="104"/>
      <c r="PK63" s="106"/>
      <c r="PL63" s="175"/>
      <c r="PM63" s="175"/>
      <c r="PN63" s="175"/>
      <c r="PO63" s="175"/>
      <c r="PP63" s="176"/>
      <c r="PQ63" s="104"/>
      <c r="PR63" s="106"/>
      <c r="PS63" s="175"/>
      <c r="PT63" s="175"/>
      <c r="PU63" s="175"/>
      <c r="PV63" s="175"/>
      <c r="PW63" s="176"/>
      <c r="PX63" s="104"/>
      <c r="PY63" s="106"/>
      <c r="PZ63" s="175"/>
      <c r="QA63" s="175"/>
      <c r="QB63" s="175"/>
      <c r="QC63" s="175"/>
      <c r="QD63" s="176"/>
      <c r="QE63" s="104"/>
      <c r="QF63" s="106"/>
      <c r="QG63" s="175"/>
      <c r="QH63" s="175"/>
      <c r="QI63" s="175"/>
      <c r="QJ63" s="175"/>
      <c r="QK63" s="176"/>
      <c r="QL63" s="104"/>
      <c r="QM63" s="106"/>
      <c r="QN63" s="175"/>
      <c r="QO63" s="175"/>
      <c r="QP63" s="175"/>
      <c r="QQ63" s="175"/>
      <c r="QR63" s="176"/>
      <c r="QS63" s="104"/>
      <c r="QT63" s="106"/>
      <c r="QU63" s="175"/>
      <c r="QV63" s="175"/>
      <c r="QW63" s="175"/>
      <c r="QX63" s="175"/>
      <c r="QY63" s="176"/>
      <c r="QZ63" s="104"/>
      <c r="RA63" s="106"/>
      <c r="RB63" s="175"/>
      <c r="RC63" s="175"/>
      <c r="RD63" s="175"/>
      <c r="RE63" s="175"/>
      <c r="RF63" s="176"/>
      <c r="RG63" s="104"/>
      <c r="RH63" s="106"/>
      <c r="RI63" s="175"/>
      <c r="RJ63" s="175"/>
      <c r="RK63" s="175"/>
      <c r="RL63" s="175"/>
      <c r="RM63" s="176"/>
      <c r="RN63" s="104"/>
      <c r="RO63" s="106"/>
      <c r="RP63" s="175"/>
      <c r="RQ63" s="175"/>
      <c r="RR63" s="175"/>
      <c r="RS63" s="175"/>
      <c r="RT63" s="176"/>
      <c r="RU63" s="104"/>
      <c r="RV63" s="106"/>
      <c r="RW63" s="175"/>
      <c r="RX63" s="175"/>
      <c r="RY63" s="175"/>
      <c r="RZ63" s="175"/>
      <c r="SA63" s="176"/>
      <c r="SB63" s="104"/>
      <c r="SC63" s="106"/>
      <c r="SD63" s="175"/>
      <c r="SE63" s="175"/>
      <c r="SF63" s="175"/>
      <c r="SG63" s="175"/>
      <c r="SH63" s="176"/>
      <c r="SI63" s="104"/>
      <c r="SJ63" s="106"/>
      <c r="SK63" s="175"/>
      <c r="SL63" s="175"/>
      <c r="SM63" s="175"/>
      <c r="SN63" s="175"/>
      <c r="SO63" s="176"/>
      <c r="SP63" s="104"/>
      <c r="SQ63" s="106"/>
      <c r="SR63" s="175"/>
      <c r="SS63" s="175"/>
      <c r="ST63" s="175"/>
      <c r="SU63" s="175"/>
      <c r="SV63" s="176"/>
      <c r="SW63" s="104"/>
      <c r="SX63" s="106"/>
      <c r="SY63" s="175"/>
      <c r="SZ63" s="175"/>
      <c r="TA63" s="175"/>
      <c r="TB63" s="175"/>
      <c r="TC63" s="176"/>
      <c r="TD63" s="104"/>
      <c r="TE63" s="106"/>
      <c r="TF63" s="175"/>
      <c r="TG63" s="175"/>
      <c r="TH63" s="175"/>
      <c r="TI63" s="175"/>
      <c r="TJ63" s="176"/>
      <c r="TK63" s="104"/>
      <c r="TL63" s="106"/>
      <c r="TM63" s="175"/>
      <c r="TN63" s="175"/>
      <c r="TO63" s="175"/>
      <c r="TP63" s="175"/>
      <c r="TQ63" s="176"/>
      <c r="TR63" s="104"/>
      <c r="TS63" s="106"/>
      <c r="TT63" s="175"/>
      <c r="TU63" s="175"/>
      <c r="TV63" s="175"/>
      <c r="TW63" s="175"/>
      <c r="TX63" s="176"/>
      <c r="TY63" s="104"/>
      <c r="TZ63" s="106"/>
      <c r="UA63" s="175"/>
      <c r="UB63" s="175"/>
      <c r="UC63" s="175"/>
      <c r="UD63" s="175"/>
      <c r="UE63" s="176"/>
      <c r="UF63" s="104"/>
      <c r="UG63" s="106"/>
      <c r="UH63" s="175"/>
      <c r="UI63" s="175"/>
      <c r="UJ63" s="175"/>
      <c r="UK63" s="175"/>
      <c r="UL63" s="176"/>
      <c r="UM63" s="104"/>
      <c r="UN63" s="106"/>
      <c r="UO63" s="175"/>
      <c r="UP63" s="175"/>
      <c r="UQ63" s="175"/>
      <c r="UR63" s="175"/>
      <c r="US63" s="176"/>
      <c r="UT63" s="104"/>
      <c r="UU63" s="106"/>
      <c r="UV63" s="175"/>
      <c r="UW63" s="175"/>
      <c r="UX63" s="175"/>
      <c r="UY63" s="175"/>
      <c r="UZ63" s="176"/>
      <c r="VA63" s="104"/>
      <c r="VB63" s="106"/>
      <c r="VC63" s="175"/>
      <c r="VD63" s="175"/>
      <c r="VE63" s="175"/>
      <c r="VF63" s="175"/>
      <c r="VG63" s="176"/>
      <c r="VH63" s="104"/>
      <c r="VI63" s="106"/>
      <c r="VJ63" s="175"/>
      <c r="VK63" s="175"/>
      <c r="VL63" s="175"/>
      <c r="VM63" s="175"/>
      <c r="VN63" s="176"/>
      <c r="VO63" s="104"/>
      <c r="VP63" s="106"/>
      <c r="VQ63" s="175"/>
      <c r="VR63" s="175"/>
      <c r="VS63" s="175"/>
      <c r="VT63" s="175"/>
      <c r="VU63" s="176"/>
      <c r="VV63" s="104"/>
      <c r="VW63" s="106"/>
      <c r="VX63" s="175"/>
      <c r="VY63" s="175"/>
      <c r="VZ63" s="175"/>
      <c r="WA63" s="175"/>
      <c r="WB63" s="176"/>
      <c r="WC63" s="104"/>
      <c r="WD63" s="106"/>
      <c r="WE63" s="175"/>
      <c r="WF63" s="175"/>
      <c r="WG63" s="175"/>
      <c r="WH63" s="175"/>
      <c r="WI63" s="176"/>
      <c r="WJ63" s="104"/>
      <c r="WK63" s="106"/>
      <c r="WL63" s="175"/>
      <c r="WM63" s="175"/>
      <c r="WN63" s="175"/>
      <c r="WO63" s="175"/>
      <c r="WP63" s="176"/>
      <c r="WQ63" s="104"/>
      <c r="WR63" s="106"/>
      <c r="WS63" s="175"/>
      <c r="WT63" s="175"/>
      <c r="WU63" s="175"/>
      <c r="WV63" s="175"/>
      <c r="WW63" s="176"/>
      <c r="WX63" s="104"/>
      <c r="WY63" s="106"/>
      <c r="WZ63" s="175"/>
      <c r="XA63" s="175"/>
      <c r="XB63" s="175"/>
      <c r="XC63" s="175"/>
      <c r="XD63" s="176"/>
      <c r="XE63" s="104"/>
      <c r="XF63" s="106"/>
      <c r="XG63" s="175"/>
      <c r="XH63" s="175"/>
      <c r="XI63" s="175"/>
      <c r="XJ63" s="175"/>
      <c r="XK63" s="176"/>
      <c r="XL63" s="104"/>
      <c r="XM63" s="106"/>
      <c r="XN63" s="175"/>
      <c r="XO63" s="175"/>
      <c r="XP63" s="175"/>
      <c r="XQ63" s="175"/>
      <c r="XR63" s="176"/>
      <c r="XS63" s="104"/>
      <c r="XT63" s="106"/>
      <c r="XU63" s="175"/>
      <c r="XV63" s="175"/>
      <c r="XW63" s="175"/>
      <c r="XX63" s="175"/>
      <c r="XY63" s="176"/>
      <c r="XZ63" s="104"/>
      <c r="YA63" s="106"/>
      <c r="YB63" s="175"/>
      <c r="YC63" s="175"/>
      <c r="YD63" s="175"/>
      <c r="YE63" s="175"/>
      <c r="YF63" s="176"/>
      <c r="YG63" s="104"/>
      <c r="YH63" s="106"/>
      <c r="YI63" s="175"/>
      <c r="YJ63" s="175"/>
      <c r="YK63" s="175"/>
      <c r="YL63" s="175"/>
      <c r="YM63" s="176"/>
      <c r="YN63" s="104"/>
      <c r="YO63" s="106"/>
      <c r="YP63" s="175"/>
      <c r="YQ63" s="175"/>
      <c r="YR63" s="175"/>
      <c r="YS63" s="175"/>
      <c r="YT63" s="176"/>
      <c r="YU63" s="104"/>
      <c r="YV63" s="106"/>
      <c r="YW63" s="175"/>
      <c r="YX63" s="175"/>
      <c r="YY63" s="175"/>
      <c r="YZ63" s="175"/>
      <c r="ZA63" s="176"/>
      <c r="ZB63" s="104"/>
      <c r="ZC63" s="106"/>
      <c r="ZD63" s="175"/>
      <c r="ZE63" s="175"/>
      <c r="ZF63" s="175"/>
      <c r="ZG63" s="175"/>
      <c r="ZH63" s="176"/>
      <c r="ZI63" s="104"/>
      <c r="ZJ63" s="106"/>
      <c r="ZK63" s="175"/>
      <c r="ZL63" s="175"/>
      <c r="ZM63" s="175"/>
      <c r="ZN63" s="175"/>
      <c r="ZO63" s="176"/>
      <c r="ZP63" s="104"/>
      <c r="ZQ63" s="106"/>
      <c r="ZR63" s="175"/>
      <c r="ZS63" s="175"/>
      <c r="ZT63" s="175"/>
      <c r="ZU63" s="175"/>
      <c r="ZV63" s="176"/>
      <c r="ZW63" s="104"/>
      <c r="ZX63" s="106"/>
      <c r="ZY63" s="175"/>
      <c r="ZZ63" s="175"/>
      <c r="AAA63" s="175"/>
      <c r="AAB63" s="175"/>
      <c r="AAC63" s="176"/>
      <c r="AAD63" s="104"/>
      <c r="AAE63" s="106"/>
      <c r="AAF63" s="175"/>
      <c r="AAG63" s="175"/>
      <c r="AAH63" s="175"/>
      <c r="AAI63" s="175"/>
      <c r="AAJ63" s="176"/>
      <c r="AAK63" s="104"/>
      <c r="AAL63" s="106"/>
      <c r="AAM63" s="175"/>
      <c r="AAN63" s="175"/>
      <c r="AAO63" s="175"/>
      <c r="AAP63" s="175"/>
      <c r="AAQ63" s="176"/>
      <c r="AAR63" s="104"/>
      <c r="AAS63" s="106"/>
      <c r="AAT63" s="175"/>
      <c r="AAU63" s="175"/>
      <c r="AAV63" s="175"/>
      <c r="AAW63" s="175"/>
      <c r="AAX63" s="176"/>
      <c r="AAY63" s="104"/>
      <c r="AAZ63" s="106"/>
      <c r="ABA63" s="175"/>
      <c r="ABB63" s="175"/>
      <c r="ABC63" s="175"/>
      <c r="ABD63" s="175"/>
      <c r="ABE63" s="176"/>
      <c r="ABF63" s="104"/>
      <c r="ABG63" s="106"/>
      <c r="ABH63" s="175"/>
      <c r="ABI63" s="175"/>
      <c r="ABJ63" s="175"/>
      <c r="ABK63" s="175"/>
      <c r="ABL63" s="176"/>
      <c r="ABM63" s="104"/>
      <c r="ABN63" s="106"/>
      <c r="ABO63" s="175"/>
      <c r="ABP63" s="175"/>
      <c r="ABQ63" s="175"/>
      <c r="ABR63" s="175"/>
      <c r="ABS63" s="176"/>
      <c r="ABT63" s="104"/>
      <c r="ABU63" s="106"/>
      <c r="ABV63" s="175"/>
      <c r="ABW63" s="175"/>
      <c r="ABX63" s="175"/>
      <c r="ABY63" s="175"/>
      <c r="ABZ63" s="176"/>
      <c r="ACA63" s="104"/>
      <c r="ACB63" s="106"/>
      <c r="ACC63" s="175"/>
      <c r="ACD63" s="175"/>
      <c r="ACE63" s="175"/>
      <c r="ACF63" s="175"/>
      <c r="ACG63" s="176"/>
      <c r="ACH63" s="104"/>
      <c r="ACI63" s="106"/>
      <c r="ACJ63" s="175"/>
      <c r="ACK63" s="175"/>
      <c r="ACL63" s="175"/>
      <c r="ACM63" s="175"/>
      <c r="ACN63" s="176"/>
      <c r="ACO63" s="104"/>
      <c r="ACP63" s="106"/>
      <c r="ACQ63" s="175"/>
      <c r="ACR63" s="175"/>
      <c r="ACS63" s="175"/>
      <c r="ACT63" s="175"/>
      <c r="ACU63" s="176"/>
      <c r="ACV63" s="104"/>
      <c r="ACW63" s="106"/>
      <c r="ACX63" s="175"/>
      <c r="ACY63" s="175"/>
      <c r="ACZ63" s="175"/>
      <c r="ADA63" s="175"/>
      <c r="ADB63" s="176"/>
      <c r="ADC63" s="104"/>
      <c r="ADD63" s="106"/>
      <c r="ADE63" s="175"/>
      <c r="ADF63" s="175"/>
      <c r="ADG63" s="175"/>
      <c r="ADH63" s="175"/>
      <c r="ADI63" s="176"/>
      <c r="ADJ63" s="104"/>
      <c r="ADK63" s="106"/>
      <c r="ADL63" s="175"/>
      <c r="ADM63" s="175"/>
      <c r="ADN63" s="175"/>
      <c r="ADO63" s="175"/>
      <c r="ADP63" s="176"/>
      <c r="ADQ63" s="104"/>
      <c r="ADR63" s="106"/>
      <c r="ADS63" s="175"/>
      <c r="ADT63" s="175"/>
      <c r="ADU63" s="175"/>
      <c r="ADV63" s="175"/>
      <c r="ADW63" s="176"/>
      <c r="ADX63" s="104"/>
      <c r="ADY63" s="106"/>
      <c r="ADZ63" s="175"/>
      <c r="AEA63" s="175"/>
      <c r="AEB63" s="175"/>
      <c r="AEC63" s="175"/>
      <c r="AED63" s="176"/>
      <c r="AEE63" s="104"/>
      <c r="AEF63" s="106"/>
      <c r="AEG63" s="175"/>
      <c r="AEH63" s="175"/>
      <c r="AEI63" s="175"/>
      <c r="AEJ63" s="175"/>
      <c r="AEK63" s="176"/>
      <c r="AEL63" s="104"/>
      <c r="AEM63" s="106"/>
      <c r="AEN63" s="175"/>
      <c r="AEO63" s="175"/>
      <c r="AEP63" s="175"/>
      <c r="AEQ63" s="175"/>
      <c r="AER63" s="176"/>
      <c r="AES63" s="104"/>
      <c r="AET63" s="106"/>
      <c r="AEU63" s="175"/>
      <c r="AEV63" s="175"/>
      <c r="AEW63" s="175"/>
      <c r="AEX63" s="175"/>
      <c r="AEY63" s="176"/>
      <c r="AEZ63" s="104"/>
      <c r="AFA63" s="106"/>
      <c r="AFB63" s="175"/>
      <c r="AFC63" s="175"/>
      <c r="AFD63" s="175"/>
      <c r="AFE63" s="175"/>
      <c r="AFF63" s="176"/>
      <c r="AFG63" s="104"/>
      <c r="AFH63" s="106"/>
      <c r="AFI63" s="175"/>
      <c r="AFJ63" s="175"/>
      <c r="AFK63" s="175"/>
      <c r="AFL63" s="175"/>
      <c r="AFM63" s="176"/>
      <c r="AFN63" s="104"/>
      <c r="AFO63" s="106"/>
      <c r="AFP63" s="175"/>
      <c r="AFQ63" s="175"/>
      <c r="AFR63" s="175"/>
      <c r="AFS63" s="175"/>
      <c r="AFT63" s="176"/>
      <c r="AFU63" s="104"/>
      <c r="AFV63" s="106"/>
      <c r="AFW63" s="175"/>
      <c r="AFX63" s="175"/>
      <c r="AFY63" s="175"/>
      <c r="AFZ63" s="175"/>
      <c r="AGA63" s="176"/>
      <c r="AGB63" s="104"/>
      <c r="AGC63" s="106"/>
      <c r="AGD63" s="175"/>
      <c r="AGE63" s="175"/>
      <c r="AGF63" s="175"/>
      <c r="AGG63" s="175"/>
      <c r="AGH63" s="176"/>
      <c r="AGI63" s="104"/>
      <c r="AGJ63" s="106"/>
      <c r="AGK63" s="175"/>
      <c r="AGL63" s="175"/>
      <c r="AGM63" s="175"/>
      <c r="AGN63" s="175"/>
      <c r="AGO63" s="176"/>
      <c r="AGP63" s="104"/>
      <c r="AGQ63" s="106"/>
      <c r="AGR63" s="175"/>
      <c r="AGS63" s="175"/>
      <c r="AGT63" s="175"/>
      <c r="AGU63" s="175"/>
      <c r="AGV63" s="176"/>
      <c r="AGW63" s="104"/>
      <c r="AGX63" s="106"/>
      <c r="AGY63" s="175"/>
      <c r="AGZ63" s="175"/>
      <c r="AHA63" s="175"/>
      <c r="AHB63" s="175"/>
      <c r="AHC63" s="176"/>
      <c r="AHD63" s="104"/>
      <c r="AHE63" s="106"/>
      <c r="AHF63" s="175"/>
      <c r="AHG63" s="175"/>
      <c r="AHH63" s="175"/>
      <c r="AHI63" s="175"/>
      <c r="AHJ63" s="176"/>
      <c r="AHK63" s="104"/>
      <c r="AHL63" s="106"/>
      <c r="AHM63" s="175"/>
      <c r="AHN63" s="175"/>
      <c r="AHO63" s="175"/>
      <c r="AHP63" s="175"/>
      <c r="AHQ63" s="176"/>
      <c r="AHR63" s="104"/>
      <c r="AHS63" s="106"/>
      <c r="AHT63" s="175"/>
      <c r="AHU63" s="175"/>
      <c r="AHV63" s="175"/>
      <c r="AHW63" s="175"/>
      <c r="AHX63" s="176"/>
      <c r="AHY63" s="104"/>
      <c r="AHZ63" s="106"/>
      <c r="AIA63" s="175"/>
      <c r="AIB63" s="175"/>
      <c r="AIC63" s="175"/>
      <c r="AID63" s="175"/>
      <c r="AIE63" s="176"/>
      <c r="AIF63" s="104"/>
      <c r="AIG63" s="106"/>
      <c r="AIH63" s="175"/>
      <c r="AII63" s="175"/>
      <c r="AIJ63" s="175"/>
      <c r="AIK63" s="175"/>
      <c r="AIL63" s="176"/>
      <c r="AIM63" s="104"/>
      <c r="AIN63" s="106"/>
      <c r="AIO63" s="175"/>
      <c r="AIP63" s="175"/>
      <c r="AIQ63" s="175"/>
      <c r="AIR63" s="175"/>
      <c r="AIS63" s="176"/>
      <c r="AIT63" s="104"/>
      <c r="AIU63" s="106"/>
      <c r="AIV63" s="175"/>
      <c r="AIW63" s="175"/>
      <c r="AIX63" s="175"/>
      <c r="AIY63" s="175"/>
      <c r="AIZ63" s="176"/>
      <c r="AJA63" s="104"/>
      <c r="AJB63" s="106"/>
      <c r="AJC63" s="175"/>
      <c r="AJD63" s="175"/>
      <c r="AJE63" s="175"/>
      <c r="AJF63" s="175"/>
      <c r="AJG63" s="176"/>
      <c r="AJH63" s="104"/>
      <c r="AJI63" s="106"/>
      <c r="AJJ63" s="175"/>
      <c r="AJK63" s="175"/>
      <c r="AJL63" s="175"/>
      <c r="AJM63" s="175"/>
      <c r="AJN63" s="176"/>
      <c r="AJO63" s="104"/>
      <c r="AJP63" s="106"/>
      <c r="AJQ63" s="175"/>
      <c r="AJR63" s="175"/>
      <c r="AJS63" s="175"/>
      <c r="AJT63" s="175"/>
      <c r="AJU63" s="176"/>
      <c r="AJV63" s="104"/>
      <c r="AJW63" s="106"/>
      <c r="AJX63" s="175"/>
      <c r="AJY63" s="175"/>
      <c r="AJZ63" s="175"/>
      <c r="AKA63" s="175"/>
      <c r="AKB63" s="176"/>
      <c r="AKC63" s="104"/>
      <c r="AKD63" s="106"/>
      <c r="AKE63" s="175"/>
      <c r="AKF63" s="175"/>
      <c r="AKG63" s="175"/>
      <c r="AKH63" s="175"/>
      <c r="AKI63" s="176"/>
      <c r="AKJ63" s="104"/>
      <c r="AKK63" s="106"/>
      <c r="AKL63" s="175"/>
      <c r="AKM63" s="175"/>
      <c r="AKN63" s="175"/>
      <c r="AKO63" s="175"/>
      <c r="AKP63" s="176"/>
      <c r="AKQ63" s="104"/>
      <c r="AKR63" s="106"/>
      <c r="AKS63" s="175"/>
      <c r="AKT63" s="175"/>
      <c r="AKU63" s="175"/>
      <c r="AKV63" s="175"/>
      <c r="AKW63" s="176"/>
      <c r="AKX63" s="104"/>
      <c r="AKY63" s="106"/>
      <c r="AKZ63" s="175"/>
      <c r="ALA63" s="175"/>
      <c r="ALB63" s="175"/>
      <c r="ALC63" s="175"/>
      <c r="ALD63" s="176"/>
      <c r="ALE63" s="104"/>
      <c r="ALF63" s="106"/>
      <c r="ALG63" s="175"/>
      <c r="ALH63" s="175"/>
      <c r="ALI63" s="175"/>
      <c r="ALJ63" s="175"/>
      <c r="ALK63" s="176"/>
      <c r="ALL63" s="104"/>
      <c r="ALM63" s="106"/>
      <c r="ALN63" s="175"/>
      <c r="ALO63" s="175"/>
      <c r="ALP63" s="175"/>
      <c r="ALQ63" s="175"/>
      <c r="ALR63" s="176"/>
      <c r="ALS63" s="104"/>
      <c r="ALT63" s="106"/>
      <c r="ALU63" s="175"/>
      <c r="ALV63" s="175"/>
      <c r="ALW63" s="175"/>
      <c r="ALX63" s="175"/>
      <c r="ALY63" s="176"/>
      <c r="ALZ63" s="104"/>
      <c r="AMA63" s="106"/>
      <c r="AMB63" s="175"/>
      <c r="AMC63" s="175"/>
      <c r="AMD63" s="175"/>
      <c r="AME63" s="175"/>
      <c r="AMF63" s="176"/>
      <c r="AMG63" s="104"/>
      <c r="AMH63" s="106"/>
      <c r="AMI63" s="175"/>
      <c r="AMJ63" s="175"/>
      <c r="AMK63" s="175"/>
      <c r="AML63" s="175"/>
      <c r="AMM63" s="176"/>
      <c r="AMN63" s="104"/>
      <c r="AMO63" s="106"/>
      <c r="AMP63" s="175"/>
      <c r="AMQ63" s="175"/>
      <c r="AMR63" s="175"/>
      <c r="AMS63" s="175"/>
      <c r="AMT63" s="176"/>
      <c r="AMU63" s="104"/>
      <c r="AMV63" s="106"/>
      <c r="AMW63" s="175"/>
      <c r="AMX63" s="175"/>
      <c r="AMY63" s="175"/>
      <c r="AMZ63" s="175"/>
      <c r="ANA63" s="176"/>
      <c r="ANB63" s="104"/>
      <c r="ANC63" s="106"/>
      <c r="AND63" s="175"/>
      <c r="ANE63" s="175"/>
      <c r="ANF63" s="175"/>
      <c r="ANG63" s="175"/>
      <c r="ANH63" s="176"/>
      <c r="ANI63" s="104"/>
      <c r="ANJ63" s="106"/>
      <c r="ANK63" s="175"/>
      <c r="ANL63" s="175"/>
      <c r="ANM63" s="175"/>
      <c r="ANN63" s="175"/>
      <c r="ANO63" s="176"/>
      <c r="ANP63" s="104"/>
      <c r="ANQ63" s="106"/>
      <c r="ANR63" s="175"/>
      <c r="ANS63" s="175"/>
      <c r="ANT63" s="175"/>
      <c r="ANU63" s="175"/>
      <c r="ANV63" s="176"/>
      <c r="ANW63" s="104"/>
      <c r="ANX63" s="106"/>
      <c r="ANY63" s="175"/>
      <c r="ANZ63" s="175"/>
      <c r="AOA63" s="175"/>
      <c r="AOB63" s="175"/>
      <c r="AOC63" s="176"/>
      <c r="AOD63" s="104"/>
      <c r="AOE63" s="106"/>
      <c r="AOF63" s="175"/>
      <c r="AOG63" s="175"/>
      <c r="AOH63" s="175"/>
      <c r="AOI63" s="175"/>
      <c r="AOJ63" s="176"/>
      <c r="AOK63" s="104"/>
      <c r="AOL63" s="106"/>
      <c r="AOM63" s="175"/>
      <c r="AON63" s="175"/>
      <c r="AOO63" s="175"/>
      <c r="AOP63" s="175"/>
      <c r="AOQ63" s="176"/>
      <c r="AOR63" s="104"/>
      <c r="AOS63" s="106"/>
      <c r="AOT63" s="175"/>
      <c r="AOU63" s="175"/>
      <c r="AOV63" s="175"/>
      <c r="AOW63" s="175"/>
      <c r="AOX63" s="176"/>
      <c r="AOY63" s="104"/>
      <c r="AOZ63" s="106"/>
      <c r="APA63" s="175"/>
      <c r="APB63" s="175"/>
      <c r="APC63" s="175"/>
      <c r="APD63" s="175"/>
      <c r="APE63" s="176"/>
      <c r="APF63" s="104"/>
      <c r="APG63" s="106"/>
      <c r="APH63" s="175"/>
      <c r="API63" s="175"/>
      <c r="APJ63" s="175"/>
      <c r="APK63" s="175"/>
      <c r="APL63" s="176"/>
      <c r="APM63" s="104"/>
      <c r="APN63" s="106"/>
      <c r="APO63" s="175"/>
      <c r="APP63" s="175"/>
      <c r="APQ63" s="175"/>
      <c r="APR63" s="175"/>
      <c r="APS63" s="176"/>
      <c r="APT63" s="104"/>
      <c r="APU63" s="106"/>
      <c r="APV63" s="175"/>
      <c r="APW63" s="175"/>
      <c r="APX63" s="175"/>
      <c r="APY63" s="175"/>
      <c r="APZ63" s="176"/>
      <c r="AQA63" s="104"/>
      <c r="AQB63" s="106"/>
      <c r="AQC63" s="175"/>
      <c r="AQD63" s="175"/>
      <c r="AQE63" s="175"/>
      <c r="AQF63" s="175"/>
      <c r="AQG63" s="176"/>
      <c r="AQH63" s="104"/>
      <c r="AQI63" s="106"/>
      <c r="AQJ63" s="175"/>
      <c r="AQK63" s="175"/>
      <c r="AQL63" s="175"/>
      <c r="AQM63" s="175"/>
      <c r="AQN63" s="176"/>
      <c r="AQO63" s="104"/>
      <c r="AQP63" s="106"/>
      <c r="AQQ63" s="175"/>
      <c r="AQR63" s="175"/>
      <c r="AQS63" s="175"/>
      <c r="AQT63" s="175"/>
      <c r="AQU63" s="176"/>
      <c r="AQV63" s="104"/>
      <c r="AQW63" s="106"/>
      <c r="AQX63" s="175"/>
      <c r="AQY63" s="175"/>
      <c r="AQZ63" s="175"/>
      <c r="ARA63" s="175"/>
      <c r="ARB63" s="176"/>
      <c r="ARC63" s="104"/>
      <c r="ARD63" s="106"/>
      <c r="ARE63" s="175"/>
      <c r="ARF63" s="175"/>
      <c r="ARG63" s="175"/>
      <c r="ARH63" s="175"/>
      <c r="ARI63" s="176"/>
      <c r="ARJ63" s="104"/>
      <c r="ARK63" s="106"/>
      <c r="ARL63" s="175"/>
      <c r="ARM63" s="175"/>
      <c r="ARN63" s="175"/>
      <c r="ARO63" s="175"/>
      <c r="ARP63" s="176"/>
      <c r="ARQ63" s="104"/>
      <c r="ARR63" s="106"/>
      <c r="ARS63" s="175"/>
      <c r="ART63" s="175"/>
      <c r="ARU63" s="175"/>
      <c r="ARV63" s="175"/>
      <c r="ARW63" s="176"/>
      <c r="ARX63" s="104"/>
      <c r="ARY63" s="106"/>
      <c r="ARZ63" s="175"/>
      <c r="ASA63" s="175"/>
      <c r="ASB63" s="175"/>
      <c r="ASC63" s="175"/>
      <c r="ASD63" s="176"/>
      <c r="ASE63" s="104"/>
      <c r="ASF63" s="106"/>
      <c r="ASG63" s="175"/>
      <c r="ASH63" s="175"/>
      <c r="ASI63" s="175"/>
      <c r="ASJ63" s="175"/>
      <c r="ASK63" s="176"/>
      <c r="ASL63" s="104"/>
      <c r="ASM63" s="106"/>
      <c r="ASN63" s="175"/>
      <c r="ASO63" s="175"/>
      <c r="ASP63" s="175"/>
      <c r="ASQ63" s="175"/>
      <c r="ASR63" s="176"/>
      <c r="ASS63" s="104"/>
      <c r="AST63" s="106"/>
      <c r="ASU63" s="175"/>
      <c r="ASV63" s="175"/>
      <c r="ASW63" s="175"/>
      <c r="ASX63" s="175"/>
      <c r="ASY63" s="176"/>
      <c r="ASZ63" s="104"/>
      <c r="ATA63" s="106"/>
      <c r="ATB63" s="175"/>
      <c r="ATC63" s="175"/>
      <c r="ATD63" s="175"/>
      <c r="ATE63" s="175"/>
      <c r="ATF63" s="176"/>
      <c r="ATG63" s="104"/>
      <c r="ATH63" s="106"/>
      <c r="ATI63" s="175"/>
      <c r="ATJ63" s="175"/>
      <c r="ATK63" s="175"/>
      <c r="ATL63" s="175"/>
      <c r="ATM63" s="176"/>
      <c r="ATN63" s="104"/>
      <c r="ATO63" s="106"/>
      <c r="ATP63" s="175"/>
      <c r="ATQ63" s="175"/>
      <c r="ATR63" s="175"/>
      <c r="ATS63" s="175"/>
      <c r="ATT63" s="176"/>
      <c r="ATU63" s="104"/>
      <c r="ATV63" s="106"/>
      <c r="ATW63" s="175"/>
      <c r="ATX63" s="175"/>
      <c r="ATY63" s="175"/>
      <c r="ATZ63" s="175"/>
      <c r="AUA63" s="176"/>
      <c r="AUB63" s="104"/>
      <c r="AUC63" s="106"/>
      <c r="AUD63" s="175"/>
      <c r="AUE63" s="175"/>
      <c r="AUF63" s="175"/>
      <c r="AUG63" s="175"/>
      <c r="AUH63" s="176"/>
      <c r="AUI63" s="104"/>
      <c r="AUJ63" s="106"/>
      <c r="AUK63" s="175"/>
      <c r="AUL63" s="175"/>
      <c r="AUM63" s="175"/>
      <c r="AUN63" s="175"/>
      <c r="AUO63" s="176"/>
      <c r="AUP63" s="104"/>
      <c r="AUQ63" s="106"/>
      <c r="AUR63" s="175"/>
      <c r="AUS63" s="175"/>
      <c r="AUT63" s="175"/>
      <c r="AUU63" s="175"/>
      <c r="AUV63" s="176"/>
      <c r="AUW63" s="104"/>
      <c r="AUX63" s="106"/>
      <c r="AUY63" s="175"/>
      <c r="AUZ63" s="175"/>
      <c r="AVA63" s="175"/>
      <c r="AVB63" s="175"/>
      <c r="AVC63" s="176"/>
      <c r="AVD63" s="104"/>
      <c r="AVE63" s="106"/>
      <c r="AVF63" s="175"/>
      <c r="AVG63" s="175"/>
      <c r="AVH63" s="175"/>
      <c r="AVI63" s="175"/>
      <c r="AVJ63" s="176"/>
      <c r="AVK63" s="104"/>
      <c r="AVL63" s="106"/>
      <c r="AVM63" s="175"/>
      <c r="AVN63" s="175"/>
      <c r="AVO63" s="175"/>
      <c r="AVP63" s="175"/>
      <c r="AVQ63" s="176"/>
      <c r="AVR63" s="104"/>
      <c r="AVS63" s="106"/>
      <c r="AVT63" s="175"/>
      <c r="AVU63" s="175"/>
      <c r="AVV63" s="175"/>
      <c r="AVW63" s="175"/>
      <c r="AVX63" s="176"/>
      <c r="AVY63" s="104"/>
      <c r="AVZ63" s="106"/>
      <c r="AWA63" s="175"/>
      <c r="AWB63" s="175"/>
      <c r="AWC63" s="175"/>
      <c r="AWD63" s="175"/>
      <c r="AWE63" s="176"/>
      <c r="AWF63" s="104"/>
      <c r="AWG63" s="106"/>
      <c r="AWH63" s="175"/>
      <c r="AWI63" s="175"/>
      <c r="AWJ63" s="175"/>
      <c r="AWK63" s="175"/>
      <c r="AWL63" s="176"/>
      <c r="AWM63" s="104"/>
      <c r="AWN63" s="106"/>
      <c r="AWO63" s="175"/>
      <c r="AWP63" s="175"/>
      <c r="AWQ63" s="175"/>
      <c r="AWR63" s="175"/>
      <c r="AWS63" s="176"/>
      <c r="AWT63" s="104"/>
      <c r="AWU63" s="106"/>
      <c r="AWV63" s="175"/>
      <c r="AWW63" s="175"/>
      <c r="AWX63" s="175"/>
      <c r="AWY63" s="175"/>
      <c r="AWZ63" s="176"/>
      <c r="AXA63" s="104"/>
      <c r="AXB63" s="106"/>
      <c r="AXC63" s="175"/>
      <c r="AXD63" s="175"/>
      <c r="AXE63" s="175"/>
      <c r="AXF63" s="175"/>
      <c r="AXG63" s="176"/>
      <c r="AXH63" s="104"/>
      <c r="AXI63" s="106"/>
      <c r="AXJ63" s="175"/>
      <c r="AXK63" s="175"/>
      <c r="AXL63" s="175"/>
      <c r="AXM63" s="175"/>
      <c r="AXN63" s="176"/>
      <c r="AXO63" s="104"/>
      <c r="AXP63" s="106"/>
      <c r="AXQ63" s="175"/>
      <c r="AXR63" s="175"/>
      <c r="AXS63" s="175"/>
      <c r="AXT63" s="175"/>
      <c r="AXU63" s="176"/>
      <c r="AXV63" s="104"/>
      <c r="AXW63" s="106"/>
      <c r="AXX63" s="175"/>
      <c r="AXY63" s="175"/>
      <c r="AXZ63" s="175"/>
      <c r="AYA63" s="175"/>
      <c r="AYB63" s="176"/>
      <c r="AYC63" s="104"/>
      <c r="AYD63" s="106"/>
      <c r="AYE63" s="175"/>
      <c r="AYF63" s="175"/>
      <c r="AYG63" s="175"/>
      <c r="AYH63" s="175"/>
      <c r="AYI63" s="176"/>
      <c r="AYJ63" s="104"/>
      <c r="AYK63" s="106"/>
      <c r="AYL63" s="175"/>
      <c r="AYM63" s="175"/>
      <c r="AYN63" s="175"/>
      <c r="AYO63" s="175"/>
      <c r="AYP63" s="176"/>
      <c r="AYQ63" s="104"/>
      <c r="AYR63" s="106"/>
      <c r="AYS63" s="175"/>
      <c r="AYT63" s="175"/>
      <c r="AYU63" s="175"/>
      <c r="AYV63" s="175"/>
      <c r="AYW63" s="176"/>
      <c r="AYX63" s="104"/>
      <c r="AYY63" s="106"/>
      <c r="AYZ63" s="175"/>
      <c r="AZA63" s="175"/>
      <c r="AZB63" s="175"/>
      <c r="AZC63" s="175"/>
      <c r="AZD63" s="176"/>
      <c r="AZE63" s="104"/>
      <c r="AZF63" s="106"/>
      <c r="AZG63" s="175"/>
      <c r="AZH63" s="175"/>
      <c r="AZI63" s="175"/>
      <c r="AZJ63" s="175"/>
      <c r="AZK63" s="176"/>
      <c r="AZL63" s="104"/>
      <c r="AZM63" s="106"/>
      <c r="AZN63" s="175"/>
      <c r="AZO63" s="175"/>
      <c r="AZP63" s="175"/>
      <c r="AZQ63" s="175"/>
      <c r="AZR63" s="176"/>
      <c r="AZS63" s="104"/>
      <c r="AZT63" s="106"/>
      <c r="AZU63" s="175"/>
      <c r="AZV63" s="175"/>
      <c r="AZW63" s="175"/>
      <c r="AZX63" s="175"/>
      <c r="AZY63" s="176"/>
      <c r="AZZ63" s="104"/>
      <c r="BAA63" s="106"/>
      <c r="BAB63" s="175"/>
      <c r="BAC63" s="175"/>
      <c r="BAD63" s="175"/>
      <c r="BAE63" s="175"/>
      <c r="BAF63" s="176"/>
      <c r="BAG63" s="104"/>
      <c r="BAH63" s="106"/>
      <c r="BAI63" s="175"/>
      <c r="BAJ63" s="175"/>
      <c r="BAK63" s="175"/>
      <c r="BAL63" s="175"/>
      <c r="BAM63" s="176"/>
      <c r="BAN63" s="104"/>
      <c r="BAO63" s="106"/>
      <c r="BAP63" s="175"/>
      <c r="BAQ63" s="175"/>
      <c r="BAR63" s="175"/>
      <c r="BAS63" s="175"/>
      <c r="BAT63" s="176"/>
      <c r="BAU63" s="104"/>
      <c r="BAV63" s="106"/>
      <c r="BAW63" s="175"/>
      <c r="BAX63" s="175"/>
      <c r="BAY63" s="175"/>
      <c r="BAZ63" s="175"/>
      <c r="BBA63" s="176"/>
      <c r="BBB63" s="104"/>
      <c r="BBC63" s="106"/>
      <c r="BBD63" s="175"/>
      <c r="BBE63" s="175"/>
      <c r="BBF63" s="175"/>
      <c r="BBG63" s="175"/>
      <c r="BBH63" s="176"/>
      <c r="BBI63" s="104"/>
      <c r="BBJ63" s="106"/>
      <c r="BBK63" s="175"/>
      <c r="BBL63" s="175"/>
      <c r="BBM63" s="175"/>
      <c r="BBN63" s="175"/>
      <c r="BBO63" s="176"/>
      <c r="BBP63" s="104"/>
      <c r="BBQ63" s="106"/>
      <c r="BBR63" s="175"/>
      <c r="BBS63" s="175"/>
      <c r="BBT63" s="175"/>
      <c r="BBU63" s="175"/>
      <c r="BBV63" s="176"/>
      <c r="BBW63" s="104"/>
      <c r="BBX63" s="106"/>
      <c r="BBY63" s="175"/>
      <c r="BBZ63" s="175"/>
      <c r="BCA63" s="175"/>
      <c r="BCB63" s="175"/>
      <c r="BCC63" s="176"/>
      <c r="BCD63" s="104"/>
      <c r="BCE63" s="106"/>
      <c r="BCF63" s="175"/>
      <c r="BCG63" s="175"/>
      <c r="BCH63" s="175"/>
      <c r="BCI63" s="175"/>
      <c r="BCJ63" s="176"/>
      <c r="BCK63" s="104"/>
      <c r="BCL63" s="106"/>
      <c r="BCM63" s="175"/>
      <c r="BCN63" s="175"/>
      <c r="BCO63" s="175"/>
      <c r="BCP63" s="175"/>
      <c r="BCQ63" s="176"/>
      <c r="BCR63" s="104"/>
      <c r="BCS63" s="106"/>
      <c r="BCT63" s="175"/>
      <c r="BCU63" s="175"/>
      <c r="BCV63" s="175"/>
      <c r="BCW63" s="175"/>
      <c r="BCX63" s="176"/>
      <c r="BCY63" s="104"/>
      <c r="BCZ63" s="106"/>
      <c r="BDA63" s="175"/>
      <c r="BDB63" s="175"/>
      <c r="BDC63" s="175"/>
      <c r="BDD63" s="175"/>
      <c r="BDE63" s="176"/>
      <c r="BDF63" s="104"/>
      <c r="BDG63" s="106"/>
      <c r="BDH63" s="175"/>
      <c r="BDI63" s="175"/>
      <c r="BDJ63" s="175"/>
      <c r="BDK63" s="175"/>
      <c r="BDL63" s="176"/>
      <c r="BDM63" s="104"/>
      <c r="BDN63" s="106"/>
      <c r="BDO63" s="175"/>
      <c r="BDP63" s="175"/>
      <c r="BDQ63" s="175"/>
      <c r="BDR63" s="175"/>
      <c r="BDS63" s="176"/>
      <c r="BDT63" s="104"/>
      <c r="BDU63" s="106"/>
      <c r="BDV63" s="175"/>
      <c r="BDW63" s="175"/>
      <c r="BDX63" s="175"/>
      <c r="BDY63" s="175"/>
      <c r="BDZ63" s="176"/>
      <c r="BEA63" s="104"/>
      <c r="BEB63" s="106"/>
      <c r="BEC63" s="175"/>
      <c r="BED63" s="175"/>
      <c r="BEE63" s="175"/>
      <c r="BEF63" s="175"/>
      <c r="BEG63" s="176"/>
      <c r="BEH63" s="104"/>
      <c r="BEI63" s="106"/>
      <c r="BEJ63" s="175"/>
      <c r="BEK63" s="175"/>
      <c r="BEL63" s="175"/>
      <c r="BEM63" s="175"/>
      <c r="BEN63" s="176"/>
      <c r="BEO63" s="104"/>
      <c r="BEP63" s="106"/>
      <c r="BEQ63" s="175"/>
      <c r="BER63" s="175"/>
      <c r="BES63" s="175"/>
      <c r="BET63" s="175"/>
      <c r="BEU63" s="176"/>
      <c r="BEV63" s="104"/>
      <c r="BEW63" s="106"/>
      <c r="BEX63" s="175"/>
      <c r="BEY63" s="175"/>
      <c r="BEZ63" s="175"/>
      <c r="BFA63" s="175"/>
      <c r="BFB63" s="176"/>
      <c r="BFC63" s="104"/>
      <c r="BFD63" s="106"/>
      <c r="BFE63" s="175"/>
      <c r="BFF63" s="175"/>
      <c r="BFG63" s="175"/>
      <c r="BFH63" s="175"/>
      <c r="BFI63" s="176"/>
      <c r="BFJ63" s="104"/>
      <c r="BFK63" s="106"/>
      <c r="BFL63" s="175"/>
      <c r="BFM63" s="175"/>
      <c r="BFN63" s="175"/>
      <c r="BFO63" s="175"/>
      <c r="BFP63" s="176"/>
      <c r="BFQ63" s="104"/>
      <c r="BFR63" s="106"/>
      <c r="BFS63" s="175"/>
      <c r="BFT63" s="175"/>
      <c r="BFU63" s="175"/>
      <c r="BFV63" s="175"/>
      <c r="BFW63" s="176"/>
      <c r="BFX63" s="104"/>
      <c r="BFY63" s="106"/>
      <c r="BFZ63" s="175"/>
      <c r="BGA63" s="175"/>
      <c r="BGB63" s="175"/>
      <c r="BGC63" s="175"/>
      <c r="BGD63" s="176"/>
      <c r="BGE63" s="104"/>
      <c r="BGF63" s="106"/>
      <c r="BGG63" s="175"/>
      <c r="BGH63" s="175"/>
      <c r="BGI63" s="175"/>
      <c r="BGJ63" s="175"/>
      <c r="BGK63" s="176"/>
      <c r="BGL63" s="104"/>
      <c r="BGM63" s="106"/>
      <c r="BGN63" s="175"/>
      <c r="BGO63" s="175"/>
      <c r="BGP63" s="175"/>
      <c r="BGQ63" s="175"/>
      <c r="BGR63" s="176"/>
      <c r="BGS63" s="104"/>
      <c r="BGT63" s="106"/>
      <c r="BGU63" s="175"/>
      <c r="BGV63" s="175"/>
      <c r="BGW63" s="175"/>
      <c r="BGX63" s="175"/>
      <c r="BGY63" s="176"/>
      <c r="BGZ63" s="104"/>
      <c r="BHA63" s="106"/>
      <c r="BHB63" s="175"/>
      <c r="BHC63" s="175"/>
      <c r="BHD63" s="175"/>
      <c r="BHE63" s="175"/>
      <c r="BHF63" s="176"/>
      <c r="BHG63" s="104"/>
      <c r="BHH63" s="106"/>
      <c r="BHI63" s="175"/>
      <c r="BHJ63" s="175"/>
      <c r="BHK63" s="175"/>
      <c r="BHL63" s="175"/>
      <c r="BHM63" s="176"/>
      <c r="BHN63" s="104"/>
      <c r="BHO63" s="106"/>
      <c r="BHP63" s="175"/>
      <c r="BHQ63" s="175"/>
      <c r="BHR63" s="175"/>
      <c r="BHS63" s="175"/>
      <c r="BHT63" s="176"/>
      <c r="BHU63" s="104"/>
      <c r="BHV63" s="106"/>
      <c r="BHW63" s="175"/>
      <c r="BHX63" s="175"/>
      <c r="BHY63" s="175"/>
      <c r="BHZ63" s="175"/>
      <c r="BIA63" s="176"/>
      <c r="BIB63" s="104"/>
      <c r="BIC63" s="106"/>
      <c r="BID63" s="175"/>
      <c r="BIE63" s="175"/>
      <c r="BIF63" s="175"/>
      <c r="BIG63" s="175"/>
      <c r="BIH63" s="176"/>
      <c r="BII63" s="104"/>
      <c r="BIJ63" s="106"/>
      <c r="BIK63" s="175"/>
      <c r="BIL63" s="175"/>
      <c r="BIM63" s="175"/>
      <c r="BIN63" s="175"/>
      <c r="BIO63" s="176"/>
      <c r="BIP63" s="104"/>
      <c r="BIQ63" s="106"/>
      <c r="BIR63" s="175"/>
      <c r="BIS63" s="175"/>
      <c r="BIT63" s="175"/>
      <c r="BIU63" s="175"/>
      <c r="BIV63" s="176"/>
      <c r="BIW63" s="104"/>
      <c r="BIX63" s="106"/>
      <c r="BIY63" s="175"/>
      <c r="BIZ63" s="175"/>
      <c r="BJA63" s="175"/>
      <c r="BJB63" s="175"/>
      <c r="BJC63" s="176"/>
      <c r="BJD63" s="104"/>
      <c r="BJE63" s="106"/>
      <c r="BJF63" s="175"/>
      <c r="BJG63" s="175"/>
      <c r="BJH63" s="175"/>
      <c r="BJI63" s="175"/>
      <c r="BJJ63" s="176"/>
      <c r="BJK63" s="104"/>
      <c r="BJL63" s="106"/>
      <c r="BJM63" s="175"/>
      <c r="BJN63" s="175"/>
      <c r="BJO63" s="175"/>
      <c r="BJP63" s="175"/>
      <c r="BJQ63" s="176"/>
      <c r="BJR63" s="104"/>
      <c r="BJS63" s="106"/>
      <c r="BJT63" s="175"/>
      <c r="BJU63" s="175"/>
      <c r="BJV63" s="175"/>
      <c r="BJW63" s="175"/>
      <c r="BJX63" s="176"/>
      <c r="BJY63" s="104"/>
      <c r="BJZ63" s="106"/>
      <c r="BKA63" s="175"/>
      <c r="BKB63" s="175"/>
      <c r="BKC63" s="175"/>
      <c r="BKD63" s="175"/>
      <c r="BKE63" s="176"/>
      <c r="BKF63" s="104"/>
      <c r="BKG63" s="106"/>
      <c r="BKH63" s="175"/>
      <c r="BKI63" s="175"/>
      <c r="BKJ63" s="175"/>
      <c r="BKK63" s="175"/>
      <c r="BKL63" s="176"/>
      <c r="BKM63" s="104"/>
      <c r="BKN63" s="106"/>
      <c r="BKO63" s="175"/>
      <c r="BKP63" s="175"/>
      <c r="BKQ63" s="175"/>
      <c r="BKR63" s="175"/>
      <c r="BKS63" s="176"/>
      <c r="BKT63" s="104"/>
      <c r="BKU63" s="106"/>
      <c r="BKV63" s="175"/>
      <c r="BKW63" s="175"/>
      <c r="BKX63" s="175"/>
      <c r="BKY63" s="175"/>
      <c r="BKZ63" s="176"/>
      <c r="BLA63" s="104"/>
      <c r="BLB63" s="106"/>
      <c r="BLC63" s="175"/>
      <c r="BLD63" s="175"/>
      <c r="BLE63" s="175"/>
      <c r="BLF63" s="175"/>
      <c r="BLG63" s="176"/>
      <c r="BLH63" s="104"/>
      <c r="BLI63" s="106"/>
      <c r="BLJ63" s="175"/>
      <c r="BLK63" s="175"/>
      <c r="BLL63" s="175"/>
      <c r="BLM63" s="175"/>
      <c r="BLN63" s="176"/>
      <c r="BLO63" s="104"/>
      <c r="BLP63" s="106"/>
      <c r="BLQ63" s="175"/>
      <c r="BLR63" s="175"/>
      <c r="BLS63" s="175"/>
      <c r="BLT63" s="175"/>
      <c r="BLU63" s="176"/>
      <c r="BLV63" s="104"/>
      <c r="BLW63" s="106"/>
      <c r="BLX63" s="175"/>
      <c r="BLY63" s="175"/>
      <c r="BLZ63" s="175"/>
      <c r="BMA63" s="175"/>
      <c r="BMB63" s="176"/>
      <c r="BMC63" s="104"/>
      <c r="BMD63" s="106"/>
      <c r="BME63" s="175"/>
      <c r="BMF63" s="175"/>
      <c r="BMG63" s="175"/>
      <c r="BMH63" s="175"/>
      <c r="BMI63" s="176"/>
      <c r="BMJ63" s="104"/>
      <c r="BMK63" s="106"/>
      <c r="BML63" s="175"/>
      <c r="BMM63" s="175"/>
      <c r="BMN63" s="175"/>
      <c r="BMO63" s="175"/>
      <c r="BMP63" s="176"/>
      <c r="BMQ63" s="104"/>
      <c r="BMR63" s="106"/>
      <c r="BMS63" s="175"/>
      <c r="BMT63" s="175"/>
      <c r="BMU63" s="175"/>
      <c r="BMV63" s="175"/>
      <c r="BMW63" s="176"/>
      <c r="BMX63" s="104"/>
      <c r="BMY63" s="106"/>
      <c r="BMZ63" s="175"/>
      <c r="BNA63" s="175"/>
      <c r="BNB63" s="175"/>
      <c r="BNC63" s="175"/>
      <c r="BND63" s="176"/>
      <c r="BNE63" s="104"/>
      <c r="BNF63" s="106"/>
      <c r="BNG63" s="175"/>
      <c r="BNH63" s="175"/>
      <c r="BNI63" s="175"/>
      <c r="BNJ63" s="175"/>
      <c r="BNK63" s="176"/>
      <c r="BNL63" s="104"/>
      <c r="BNM63" s="106"/>
      <c r="BNN63" s="175"/>
      <c r="BNO63" s="175"/>
      <c r="BNP63" s="175"/>
      <c r="BNQ63" s="175"/>
      <c r="BNR63" s="176"/>
      <c r="BNS63" s="104"/>
      <c r="BNT63" s="106"/>
      <c r="BNU63" s="175"/>
      <c r="BNV63" s="175"/>
      <c r="BNW63" s="175"/>
      <c r="BNX63" s="175"/>
      <c r="BNY63" s="176"/>
      <c r="BNZ63" s="104"/>
      <c r="BOA63" s="106"/>
      <c r="BOB63" s="175"/>
      <c r="BOC63" s="175"/>
      <c r="BOD63" s="175"/>
      <c r="BOE63" s="175"/>
      <c r="BOF63" s="176"/>
      <c r="BOG63" s="104"/>
      <c r="BOH63" s="106"/>
      <c r="BOI63" s="175"/>
      <c r="BOJ63" s="175"/>
      <c r="BOK63" s="175"/>
      <c r="BOL63" s="175"/>
      <c r="BOM63" s="176"/>
      <c r="BON63" s="104"/>
      <c r="BOO63" s="106"/>
      <c r="BOP63" s="175"/>
      <c r="BOQ63" s="175"/>
      <c r="BOR63" s="175"/>
      <c r="BOS63" s="175"/>
      <c r="BOT63" s="176"/>
      <c r="BOU63" s="104"/>
      <c r="BOV63" s="106"/>
      <c r="BOW63" s="175"/>
      <c r="BOX63" s="175"/>
      <c r="BOY63" s="175"/>
      <c r="BOZ63" s="175"/>
      <c r="BPA63" s="176"/>
      <c r="BPB63" s="104"/>
      <c r="BPC63" s="106"/>
      <c r="BPD63" s="175"/>
      <c r="BPE63" s="175"/>
      <c r="BPF63" s="175"/>
      <c r="BPG63" s="175"/>
      <c r="BPH63" s="176"/>
      <c r="BPI63" s="104"/>
      <c r="BPJ63" s="106"/>
      <c r="BPK63" s="175"/>
      <c r="BPL63" s="175"/>
      <c r="BPM63" s="175"/>
      <c r="BPN63" s="175"/>
      <c r="BPO63" s="176"/>
      <c r="BPP63" s="104"/>
      <c r="BPQ63" s="106"/>
      <c r="BPR63" s="175"/>
      <c r="BPS63" s="175"/>
      <c r="BPT63" s="175"/>
      <c r="BPU63" s="175"/>
      <c r="BPV63" s="176"/>
      <c r="BPW63" s="104"/>
      <c r="BPX63" s="106"/>
      <c r="BPY63" s="175"/>
      <c r="BPZ63" s="175"/>
      <c r="BQA63" s="175"/>
      <c r="BQB63" s="175"/>
      <c r="BQC63" s="176"/>
      <c r="BQD63" s="104"/>
      <c r="BQE63" s="106"/>
      <c r="BQF63" s="175"/>
      <c r="BQG63" s="175"/>
      <c r="BQH63" s="175"/>
      <c r="BQI63" s="175"/>
      <c r="BQJ63" s="176"/>
      <c r="BQK63" s="104"/>
      <c r="BQL63" s="106"/>
      <c r="BQM63" s="175"/>
      <c r="BQN63" s="175"/>
      <c r="BQO63" s="175"/>
      <c r="BQP63" s="175"/>
      <c r="BQQ63" s="176"/>
      <c r="BQR63" s="104"/>
      <c r="BQS63" s="106"/>
      <c r="BQT63" s="175"/>
      <c r="BQU63" s="175"/>
      <c r="BQV63" s="175"/>
      <c r="BQW63" s="175"/>
      <c r="BQX63" s="176"/>
      <c r="BQY63" s="104"/>
      <c r="BQZ63" s="106"/>
      <c r="BRA63" s="175"/>
      <c r="BRB63" s="175"/>
      <c r="BRC63" s="175"/>
      <c r="BRD63" s="175"/>
      <c r="BRE63" s="176"/>
      <c r="BRF63" s="104"/>
      <c r="BRG63" s="106"/>
      <c r="BRH63" s="175"/>
      <c r="BRI63" s="175"/>
      <c r="BRJ63" s="175"/>
      <c r="BRK63" s="175"/>
      <c r="BRL63" s="176"/>
      <c r="BRM63" s="104"/>
      <c r="BRN63" s="106"/>
      <c r="BRO63" s="175"/>
      <c r="BRP63" s="175"/>
      <c r="BRQ63" s="175"/>
      <c r="BRR63" s="175"/>
      <c r="BRS63" s="176"/>
      <c r="BRT63" s="104"/>
      <c r="BRU63" s="106"/>
      <c r="BRV63" s="175"/>
      <c r="BRW63" s="175"/>
      <c r="BRX63" s="175"/>
      <c r="BRY63" s="175"/>
      <c r="BRZ63" s="176"/>
      <c r="BSA63" s="104"/>
      <c r="BSB63" s="106"/>
      <c r="BSC63" s="175"/>
      <c r="BSD63" s="175"/>
      <c r="BSE63" s="175"/>
      <c r="BSF63" s="175"/>
      <c r="BSG63" s="176"/>
      <c r="BSH63" s="104"/>
      <c r="BSI63" s="106"/>
      <c r="BSJ63" s="175"/>
      <c r="BSK63" s="175"/>
      <c r="BSL63" s="175"/>
      <c r="BSM63" s="175"/>
      <c r="BSN63" s="176"/>
      <c r="BSO63" s="104"/>
      <c r="BSP63" s="106"/>
      <c r="BSQ63" s="175"/>
      <c r="BSR63" s="175"/>
      <c r="BSS63" s="175"/>
      <c r="BST63" s="175"/>
      <c r="BSU63" s="176"/>
      <c r="BSV63" s="104"/>
      <c r="BSW63" s="106"/>
      <c r="BSX63" s="175"/>
      <c r="BSY63" s="175"/>
      <c r="BSZ63" s="175"/>
      <c r="BTA63" s="175"/>
      <c r="BTB63" s="176"/>
      <c r="BTC63" s="104"/>
      <c r="BTD63" s="106"/>
      <c r="BTE63" s="175"/>
      <c r="BTF63" s="175"/>
      <c r="BTG63" s="175"/>
      <c r="BTH63" s="175"/>
      <c r="BTI63" s="176"/>
      <c r="BTJ63" s="104"/>
      <c r="BTK63" s="106"/>
      <c r="BTL63" s="175"/>
      <c r="BTM63" s="175"/>
      <c r="BTN63" s="175"/>
      <c r="BTO63" s="175"/>
      <c r="BTP63" s="176"/>
      <c r="BTQ63" s="104"/>
      <c r="BTR63" s="106"/>
      <c r="BTS63" s="175"/>
      <c r="BTT63" s="175"/>
      <c r="BTU63" s="175"/>
      <c r="BTV63" s="175"/>
      <c r="BTW63" s="176"/>
      <c r="BTX63" s="104"/>
      <c r="BTY63" s="106"/>
      <c r="BTZ63" s="175"/>
      <c r="BUA63" s="175"/>
      <c r="BUB63" s="175"/>
      <c r="BUC63" s="175"/>
      <c r="BUD63" s="176"/>
      <c r="BUE63" s="104"/>
      <c r="BUF63" s="106"/>
      <c r="BUG63" s="175"/>
      <c r="BUH63" s="175"/>
      <c r="BUI63" s="175"/>
      <c r="BUJ63" s="175"/>
      <c r="BUK63" s="176"/>
      <c r="BUL63" s="104"/>
      <c r="BUM63" s="106"/>
      <c r="BUN63" s="175"/>
      <c r="BUO63" s="175"/>
      <c r="BUP63" s="175"/>
      <c r="BUQ63" s="175"/>
      <c r="BUR63" s="176"/>
      <c r="BUS63" s="104"/>
      <c r="BUT63" s="106"/>
      <c r="BUU63" s="175"/>
      <c r="BUV63" s="175"/>
      <c r="BUW63" s="175"/>
      <c r="BUX63" s="175"/>
      <c r="BUY63" s="176"/>
      <c r="BUZ63" s="104"/>
      <c r="BVA63" s="106"/>
      <c r="BVB63" s="175"/>
      <c r="BVC63" s="175"/>
      <c r="BVD63" s="175"/>
      <c r="BVE63" s="175"/>
      <c r="BVF63" s="176"/>
      <c r="BVG63" s="104"/>
      <c r="BVH63" s="106"/>
      <c r="BVI63" s="175"/>
      <c r="BVJ63" s="175"/>
      <c r="BVK63" s="175"/>
      <c r="BVL63" s="175"/>
      <c r="BVM63" s="176"/>
      <c r="BVN63" s="104"/>
      <c r="BVO63" s="106"/>
      <c r="BVP63" s="175"/>
      <c r="BVQ63" s="175"/>
      <c r="BVR63" s="175"/>
      <c r="BVS63" s="175"/>
      <c r="BVT63" s="176"/>
      <c r="BVU63" s="104"/>
      <c r="BVV63" s="106"/>
      <c r="BVW63" s="175"/>
      <c r="BVX63" s="175"/>
      <c r="BVY63" s="175"/>
      <c r="BVZ63" s="175"/>
      <c r="BWA63" s="176"/>
      <c r="BWB63" s="104"/>
      <c r="BWC63" s="106"/>
      <c r="BWD63" s="175"/>
      <c r="BWE63" s="175"/>
      <c r="BWF63" s="175"/>
      <c r="BWG63" s="175"/>
      <c r="BWH63" s="176"/>
      <c r="BWI63" s="104"/>
      <c r="BWJ63" s="106"/>
      <c r="BWK63" s="175"/>
      <c r="BWL63" s="175"/>
      <c r="BWM63" s="175"/>
      <c r="BWN63" s="175"/>
      <c r="BWO63" s="176"/>
      <c r="BWP63" s="104"/>
      <c r="BWQ63" s="106"/>
      <c r="BWR63" s="175"/>
      <c r="BWS63" s="175"/>
      <c r="BWT63" s="175"/>
      <c r="BWU63" s="175"/>
      <c r="BWV63" s="176"/>
      <c r="BWW63" s="104"/>
      <c r="BWX63" s="106"/>
      <c r="BWY63" s="175"/>
      <c r="BWZ63" s="175"/>
      <c r="BXA63" s="175"/>
      <c r="BXB63" s="175"/>
      <c r="BXC63" s="176"/>
      <c r="BXD63" s="104"/>
      <c r="BXE63" s="106"/>
      <c r="BXF63" s="175"/>
      <c r="BXG63" s="175"/>
      <c r="BXH63" s="175"/>
      <c r="BXI63" s="175"/>
      <c r="BXJ63" s="176"/>
      <c r="BXK63" s="104"/>
      <c r="BXL63" s="106"/>
      <c r="BXM63" s="175"/>
      <c r="BXN63" s="175"/>
      <c r="BXO63" s="175"/>
      <c r="BXP63" s="175"/>
      <c r="BXQ63" s="176"/>
      <c r="BXR63" s="104"/>
      <c r="BXS63" s="106"/>
      <c r="BXT63" s="175"/>
      <c r="BXU63" s="175"/>
      <c r="BXV63" s="175"/>
      <c r="BXW63" s="175"/>
      <c r="BXX63" s="176"/>
      <c r="BXY63" s="104"/>
      <c r="BXZ63" s="106"/>
      <c r="BYA63" s="175"/>
      <c r="BYB63" s="175"/>
      <c r="BYC63" s="175"/>
      <c r="BYD63" s="175"/>
      <c r="BYE63" s="176"/>
      <c r="BYF63" s="104"/>
      <c r="BYG63" s="106"/>
      <c r="BYH63" s="175"/>
      <c r="BYI63" s="175"/>
      <c r="BYJ63" s="175"/>
      <c r="BYK63" s="175"/>
      <c r="BYL63" s="176"/>
      <c r="BYM63" s="104"/>
      <c r="BYN63" s="106"/>
      <c r="BYO63" s="175"/>
      <c r="BYP63" s="175"/>
      <c r="BYQ63" s="175"/>
      <c r="BYR63" s="175"/>
      <c r="BYS63" s="176"/>
      <c r="BYT63" s="104"/>
      <c r="BYU63" s="106"/>
      <c r="BYV63" s="175"/>
      <c r="BYW63" s="175"/>
      <c r="BYX63" s="175"/>
      <c r="BYY63" s="175"/>
      <c r="BYZ63" s="176"/>
      <c r="BZA63" s="104"/>
      <c r="BZB63" s="106"/>
      <c r="BZC63" s="175"/>
      <c r="BZD63" s="175"/>
      <c r="BZE63" s="175"/>
      <c r="BZF63" s="175"/>
      <c r="BZG63" s="176"/>
      <c r="BZH63" s="104"/>
      <c r="BZI63" s="106"/>
      <c r="BZJ63" s="175"/>
      <c r="BZK63" s="175"/>
      <c r="BZL63" s="175"/>
      <c r="BZM63" s="175"/>
      <c r="BZN63" s="176"/>
      <c r="BZO63" s="104"/>
      <c r="BZP63" s="106"/>
      <c r="BZQ63" s="175"/>
      <c r="BZR63" s="175"/>
      <c r="BZS63" s="175"/>
      <c r="BZT63" s="175"/>
      <c r="BZU63" s="176"/>
      <c r="BZV63" s="104"/>
      <c r="BZW63" s="106"/>
      <c r="BZX63" s="175"/>
      <c r="BZY63" s="175"/>
      <c r="BZZ63" s="175"/>
      <c r="CAA63" s="175"/>
      <c r="CAB63" s="176"/>
      <c r="CAC63" s="104"/>
      <c r="CAD63" s="106"/>
      <c r="CAE63" s="175"/>
      <c r="CAF63" s="175"/>
      <c r="CAG63" s="175"/>
      <c r="CAH63" s="175"/>
      <c r="CAI63" s="176"/>
      <c r="CAJ63" s="104"/>
      <c r="CAK63" s="106"/>
      <c r="CAL63" s="175"/>
      <c r="CAM63" s="175"/>
      <c r="CAN63" s="175"/>
      <c r="CAO63" s="175"/>
      <c r="CAP63" s="176"/>
      <c r="CAQ63" s="104"/>
      <c r="CAR63" s="106"/>
      <c r="CAS63" s="175"/>
      <c r="CAT63" s="175"/>
      <c r="CAU63" s="175"/>
      <c r="CAV63" s="175"/>
      <c r="CAW63" s="176"/>
      <c r="CAX63" s="104"/>
      <c r="CAY63" s="106"/>
      <c r="CAZ63" s="175"/>
      <c r="CBA63" s="175"/>
      <c r="CBB63" s="175"/>
      <c r="CBC63" s="175"/>
      <c r="CBD63" s="176"/>
      <c r="CBE63" s="104"/>
      <c r="CBF63" s="106"/>
      <c r="CBG63" s="175"/>
      <c r="CBH63" s="175"/>
      <c r="CBI63" s="175"/>
      <c r="CBJ63" s="175"/>
      <c r="CBK63" s="176"/>
      <c r="CBL63" s="104"/>
      <c r="CBM63" s="106"/>
      <c r="CBN63" s="175"/>
      <c r="CBO63" s="175"/>
      <c r="CBP63" s="175"/>
      <c r="CBQ63" s="175"/>
      <c r="CBR63" s="176"/>
      <c r="CBS63" s="104"/>
      <c r="CBT63" s="106"/>
      <c r="CBU63" s="175"/>
      <c r="CBV63" s="175"/>
      <c r="CBW63" s="175"/>
      <c r="CBX63" s="175"/>
      <c r="CBY63" s="176"/>
      <c r="CBZ63" s="104"/>
      <c r="CCA63" s="106"/>
      <c r="CCB63" s="175"/>
      <c r="CCC63" s="175"/>
      <c r="CCD63" s="175"/>
      <c r="CCE63" s="175"/>
      <c r="CCF63" s="176"/>
      <c r="CCG63" s="104"/>
      <c r="CCH63" s="106"/>
      <c r="CCI63" s="175"/>
      <c r="CCJ63" s="175"/>
      <c r="CCK63" s="175"/>
      <c r="CCL63" s="175"/>
      <c r="CCM63" s="176"/>
      <c r="CCN63" s="104"/>
      <c r="CCO63" s="106"/>
      <c r="CCP63" s="175"/>
      <c r="CCQ63" s="175"/>
      <c r="CCR63" s="175"/>
      <c r="CCS63" s="175"/>
      <c r="CCT63" s="176"/>
      <c r="CCU63" s="104"/>
      <c r="CCV63" s="106"/>
      <c r="CCW63" s="175"/>
      <c r="CCX63" s="175"/>
      <c r="CCY63" s="175"/>
      <c r="CCZ63" s="175"/>
      <c r="CDA63" s="176"/>
      <c r="CDB63" s="104"/>
      <c r="CDC63" s="106"/>
      <c r="CDD63" s="175"/>
      <c r="CDE63" s="175"/>
      <c r="CDF63" s="175"/>
      <c r="CDG63" s="175"/>
      <c r="CDH63" s="176"/>
      <c r="CDI63" s="104"/>
      <c r="CDJ63" s="106"/>
      <c r="CDK63" s="175"/>
      <c r="CDL63" s="175"/>
      <c r="CDM63" s="175"/>
      <c r="CDN63" s="175"/>
      <c r="CDO63" s="176"/>
      <c r="CDP63" s="104"/>
      <c r="CDQ63" s="106"/>
      <c r="CDR63" s="175"/>
      <c r="CDS63" s="175"/>
      <c r="CDT63" s="175"/>
      <c r="CDU63" s="175"/>
      <c r="CDV63" s="176"/>
      <c r="CDW63" s="104"/>
      <c r="CDX63" s="106"/>
      <c r="CDY63" s="175"/>
      <c r="CDZ63" s="175"/>
      <c r="CEA63" s="175"/>
      <c r="CEB63" s="175"/>
      <c r="CEC63" s="176"/>
      <c r="CED63" s="104"/>
      <c r="CEE63" s="106"/>
      <c r="CEF63" s="175"/>
      <c r="CEG63" s="175"/>
      <c r="CEH63" s="175"/>
      <c r="CEI63" s="175"/>
      <c r="CEJ63" s="176"/>
      <c r="CEK63" s="104"/>
      <c r="CEL63" s="106"/>
      <c r="CEM63" s="175"/>
      <c r="CEN63" s="175"/>
      <c r="CEO63" s="175"/>
      <c r="CEP63" s="175"/>
      <c r="CEQ63" s="176"/>
      <c r="CER63" s="104"/>
      <c r="CES63" s="106"/>
      <c r="CET63" s="175"/>
      <c r="CEU63" s="175"/>
      <c r="CEV63" s="175"/>
      <c r="CEW63" s="175"/>
      <c r="CEX63" s="176"/>
      <c r="CEY63" s="104"/>
      <c r="CEZ63" s="106"/>
      <c r="CFA63" s="175"/>
      <c r="CFB63" s="175"/>
      <c r="CFC63" s="175"/>
      <c r="CFD63" s="175"/>
      <c r="CFE63" s="176"/>
      <c r="CFF63" s="104"/>
      <c r="CFG63" s="106"/>
      <c r="CFH63" s="175"/>
      <c r="CFI63" s="175"/>
      <c r="CFJ63" s="175"/>
      <c r="CFK63" s="175"/>
      <c r="CFL63" s="176"/>
      <c r="CFM63" s="104"/>
      <c r="CFN63" s="106"/>
      <c r="CFO63" s="175"/>
      <c r="CFP63" s="175"/>
      <c r="CFQ63" s="175"/>
      <c r="CFR63" s="175"/>
      <c r="CFS63" s="176"/>
      <c r="CFT63" s="104"/>
      <c r="CFU63" s="106"/>
      <c r="CFV63" s="175"/>
      <c r="CFW63" s="175"/>
      <c r="CFX63" s="175"/>
      <c r="CFY63" s="175"/>
      <c r="CFZ63" s="176"/>
      <c r="CGA63" s="104"/>
      <c r="CGB63" s="106"/>
      <c r="CGC63" s="175"/>
      <c r="CGD63" s="175"/>
      <c r="CGE63" s="175"/>
      <c r="CGF63" s="175"/>
      <c r="CGG63" s="176"/>
      <c r="CGH63" s="104"/>
      <c r="CGI63" s="106"/>
      <c r="CGJ63" s="175"/>
      <c r="CGK63" s="175"/>
      <c r="CGL63" s="175"/>
      <c r="CGM63" s="175"/>
      <c r="CGN63" s="176"/>
      <c r="CGO63" s="104"/>
      <c r="CGP63" s="106"/>
      <c r="CGQ63" s="175"/>
      <c r="CGR63" s="175"/>
      <c r="CGS63" s="175"/>
      <c r="CGT63" s="175"/>
      <c r="CGU63" s="176"/>
      <c r="CGV63" s="104"/>
      <c r="CGW63" s="106"/>
      <c r="CGX63" s="175"/>
      <c r="CGY63" s="175"/>
      <c r="CGZ63" s="175"/>
      <c r="CHA63" s="175"/>
      <c r="CHB63" s="176"/>
      <c r="CHC63" s="104"/>
      <c r="CHD63" s="106"/>
      <c r="CHE63" s="175"/>
      <c r="CHF63" s="175"/>
      <c r="CHG63" s="175"/>
      <c r="CHH63" s="175"/>
      <c r="CHI63" s="176"/>
      <c r="CHJ63" s="104"/>
      <c r="CHK63" s="106"/>
      <c r="CHL63" s="175"/>
      <c r="CHM63" s="175"/>
      <c r="CHN63" s="175"/>
      <c r="CHO63" s="175"/>
      <c r="CHP63" s="176"/>
      <c r="CHQ63" s="104"/>
      <c r="CHR63" s="106"/>
      <c r="CHS63" s="175"/>
      <c r="CHT63" s="175"/>
      <c r="CHU63" s="175"/>
      <c r="CHV63" s="175"/>
      <c r="CHW63" s="176"/>
      <c r="CHX63" s="104"/>
      <c r="CHY63" s="106"/>
      <c r="CHZ63" s="175"/>
      <c r="CIA63" s="175"/>
      <c r="CIB63" s="175"/>
      <c r="CIC63" s="175"/>
      <c r="CID63" s="176"/>
      <c r="CIE63" s="104"/>
      <c r="CIF63" s="106"/>
      <c r="CIG63" s="175"/>
      <c r="CIH63" s="175"/>
      <c r="CII63" s="175"/>
      <c r="CIJ63" s="175"/>
      <c r="CIK63" s="176"/>
      <c r="CIL63" s="104"/>
      <c r="CIM63" s="106"/>
      <c r="CIN63" s="175"/>
      <c r="CIO63" s="175"/>
      <c r="CIP63" s="175"/>
      <c r="CIQ63" s="175"/>
      <c r="CIR63" s="176"/>
      <c r="CIS63" s="104"/>
      <c r="CIT63" s="106"/>
      <c r="CIU63" s="175"/>
      <c r="CIV63" s="175"/>
      <c r="CIW63" s="175"/>
      <c r="CIX63" s="175"/>
      <c r="CIY63" s="176"/>
      <c r="CIZ63" s="104"/>
      <c r="CJA63" s="106"/>
      <c r="CJB63" s="175"/>
      <c r="CJC63" s="175"/>
      <c r="CJD63" s="175"/>
      <c r="CJE63" s="175"/>
      <c r="CJF63" s="176"/>
      <c r="CJG63" s="104"/>
      <c r="CJH63" s="106"/>
      <c r="CJI63" s="175"/>
      <c r="CJJ63" s="175"/>
      <c r="CJK63" s="175"/>
      <c r="CJL63" s="175"/>
      <c r="CJM63" s="176"/>
      <c r="CJN63" s="104"/>
      <c r="CJO63" s="106"/>
      <c r="CJP63" s="175"/>
      <c r="CJQ63" s="175"/>
      <c r="CJR63" s="175"/>
      <c r="CJS63" s="175"/>
      <c r="CJT63" s="176"/>
      <c r="CJU63" s="104"/>
      <c r="CJV63" s="106"/>
      <c r="CJW63" s="175"/>
      <c r="CJX63" s="175"/>
      <c r="CJY63" s="175"/>
      <c r="CJZ63" s="175"/>
      <c r="CKA63" s="176"/>
      <c r="CKB63" s="104"/>
      <c r="CKC63" s="106"/>
      <c r="CKD63" s="175"/>
      <c r="CKE63" s="175"/>
      <c r="CKF63" s="175"/>
      <c r="CKG63" s="175"/>
      <c r="CKH63" s="176"/>
      <c r="CKI63" s="104"/>
      <c r="CKJ63" s="106"/>
      <c r="CKK63" s="175"/>
      <c r="CKL63" s="175"/>
      <c r="CKM63" s="175"/>
      <c r="CKN63" s="175"/>
      <c r="CKO63" s="176"/>
      <c r="CKP63" s="104"/>
      <c r="CKQ63" s="106"/>
      <c r="CKR63" s="175"/>
      <c r="CKS63" s="175"/>
      <c r="CKT63" s="175"/>
      <c r="CKU63" s="175"/>
      <c r="CKV63" s="176"/>
      <c r="CKW63" s="104"/>
      <c r="CKX63" s="106"/>
      <c r="CKY63" s="175"/>
      <c r="CKZ63" s="175"/>
      <c r="CLA63" s="175"/>
      <c r="CLB63" s="175"/>
      <c r="CLC63" s="176"/>
      <c r="CLD63" s="104"/>
      <c r="CLE63" s="106"/>
      <c r="CLF63" s="175"/>
      <c r="CLG63" s="175"/>
      <c r="CLH63" s="175"/>
      <c r="CLI63" s="175"/>
      <c r="CLJ63" s="176"/>
      <c r="CLK63" s="104"/>
      <c r="CLL63" s="106"/>
      <c r="CLM63" s="175"/>
      <c r="CLN63" s="175"/>
      <c r="CLO63" s="175"/>
      <c r="CLP63" s="175"/>
      <c r="CLQ63" s="176"/>
      <c r="CLR63" s="104"/>
      <c r="CLS63" s="106"/>
      <c r="CLT63" s="175"/>
      <c r="CLU63" s="175"/>
      <c r="CLV63" s="175"/>
      <c r="CLW63" s="175"/>
      <c r="CLX63" s="176"/>
      <c r="CLY63" s="104"/>
      <c r="CLZ63" s="106"/>
      <c r="CMA63" s="175"/>
      <c r="CMB63" s="175"/>
      <c r="CMC63" s="175"/>
      <c r="CMD63" s="175"/>
      <c r="CME63" s="176"/>
      <c r="CMF63" s="104"/>
      <c r="CMG63" s="106"/>
      <c r="CMH63" s="175"/>
      <c r="CMI63" s="175"/>
      <c r="CMJ63" s="175"/>
      <c r="CMK63" s="175"/>
      <c r="CML63" s="176"/>
      <c r="CMM63" s="104"/>
      <c r="CMN63" s="106"/>
      <c r="CMO63" s="175"/>
      <c r="CMP63" s="175"/>
      <c r="CMQ63" s="175"/>
      <c r="CMR63" s="175"/>
      <c r="CMS63" s="176"/>
      <c r="CMT63" s="104"/>
      <c r="CMU63" s="106"/>
      <c r="CMV63" s="175"/>
      <c r="CMW63" s="175"/>
      <c r="CMX63" s="175"/>
      <c r="CMY63" s="175"/>
      <c r="CMZ63" s="176"/>
      <c r="CNA63" s="104"/>
      <c r="CNB63" s="106"/>
      <c r="CNC63" s="175"/>
      <c r="CND63" s="175"/>
      <c r="CNE63" s="175"/>
      <c r="CNF63" s="175"/>
      <c r="CNG63" s="176"/>
      <c r="CNH63" s="104"/>
      <c r="CNI63" s="106"/>
      <c r="CNJ63" s="175"/>
      <c r="CNK63" s="175"/>
      <c r="CNL63" s="175"/>
      <c r="CNM63" s="175"/>
      <c r="CNN63" s="176"/>
      <c r="CNO63" s="104"/>
      <c r="CNP63" s="106"/>
      <c r="CNQ63" s="175"/>
      <c r="CNR63" s="175"/>
      <c r="CNS63" s="175"/>
      <c r="CNT63" s="175"/>
      <c r="CNU63" s="176"/>
      <c r="CNV63" s="104"/>
      <c r="CNW63" s="106"/>
      <c r="CNX63" s="175"/>
      <c r="CNY63" s="175"/>
      <c r="CNZ63" s="175"/>
      <c r="COA63" s="175"/>
      <c r="COB63" s="176"/>
      <c r="COC63" s="104"/>
      <c r="COD63" s="106"/>
      <c r="COE63" s="175"/>
      <c r="COF63" s="175"/>
      <c r="COG63" s="175"/>
      <c r="COH63" s="175"/>
      <c r="COI63" s="176"/>
      <c r="COJ63" s="104"/>
      <c r="COK63" s="106"/>
      <c r="COL63" s="175"/>
      <c r="COM63" s="175"/>
      <c r="CON63" s="175"/>
      <c r="COO63" s="175"/>
      <c r="COP63" s="176"/>
      <c r="COQ63" s="104"/>
      <c r="COR63" s="106"/>
      <c r="COS63" s="175"/>
      <c r="COT63" s="175"/>
      <c r="COU63" s="175"/>
      <c r="COV63" s="175"/>
      <c r="COW63" s="176"/>
      <c r="COX63" s="104"/>
      <c r="COY63" s="106"/>
      <c r="COZ63" s="175"/>
      <c r="CPA63" s="175"/>
      <c r="CPB63" s="175"/>
      <c r="CPC63" s="175"/>
      <c r="CPD63" s="176"/>
      <c r="CPE63" s="104"/>
      <c r="CPF63" s="106"/>
      <c r="CPG63" s="175"/>
      <c r="CPH63" s="175"/>
      <c r="CPI63" s="175"/>
      <c r="CPJ63" s="175"/>
      <c r="CPK63" s="176"/>
      <c r="CPL63" s="104"/>
      <c r="CPM63" s="106"/>
      <c r="CPN63" s="175"/>
      <c r="CPO63" s="175"/>
      <c r="CPP63" s="175"/>
      <c r="CPQ63" s="175"/>
      <c r="CPR63" s="176"/>
      <c r="CPS63" s="104"/>
      <c r="CPT63" s="106"/>
      <c r="CPU63" s="175"/>
      <c r="CPV63" s="175"/>
      <c r="CPW63" s="175"/>
      <c r="CPX63" s="175"/>
      <c r="CPY63" s="176"/>
      <c r="CPZ63" s="104"/>
      <c r="CQA63" s="106"/>
      <c r="CQB63" s="175"/>
      <c r="CQC63" s="175"/>
      <c r="CQD63" s="175"/>
      <c r="CQE63" s="175"/>
      <c r="CQF63" s="176"/>
      <c r="CQG63" s="104"/>
      <c r="CQH63" s="106"/>
      <c r="CQI63" s="175"/>
      <c r="CQJ63" s="175"/>
      <c r="CQK63" s="175"/>
      <c r="CQL63" s="175"/>
      <c r="CQM63" s="176"/>
      <c r="CQN63" s="104"/>
      <c r="CQO63" s="106"/>
      <c r="CQP63" s="175"/>
      <c r="CQQ63" s="175"/>
      <c r="CQR63" s="175"/>
      <c r="CQS63" s="175"/>
      <c r="CQT63" s="176"/>
      <c r="CQU63" s="104"/>
      <c r="CQV63" s="106"/>
      <c r="CQW63" s="175"/>
      <c r="CQX63" s="175"/>
      <c r="CQY63" s="175"/>
      <c r="CQZ63" s="175"/>
      <c r="CRA63" s="176"/>
      <c r="CRB63" s="104"/>
      <c r="CRC63" s="106"/>
      <c r="CRD63" s="175"/>
      <c r="CRE63" s="175"/>
      <c r="CRF63" s="175"/>
      <c r="CRG63" s="175"/>
      <c r="CRH63" s="176"/>
      <c r="CRI63" s="104"/>
      <c r="CRJ63" s="106"/>
      <c r="CRK63" s="175"/>
      <c r="CRL63" s="175"/>
      <c r="CRM63" s="175"/>
      <c r="CRN63" s="175"/>
      <c r="CRO63" s="176"/>
      <c r="CRP63" s="104"/>
      <c r="CRQ63" s="106"/>
      <c r="CRR63" s="175"/>
      <c r="CRS63" s="175"/>
      <c r="CRT63" s="175"/>
      <c r="CRU63" s="175"/>
      <c r="CRV63" s="176"/>
      <c r="CRW63" s="104"/>
      <c r="CRX63" s="106"/>
      <c r="CRY63" s="175"/>
      <c r="CRZ63" s="175"/>
      <c r="CSA63" s="175"/>
      <c r="CSB63" s="175"/>
      <c r="CSC63" s="176"/>
      <c r="CSD63" s="104"/>
      <c r="CSE63" s="106"/>
      <c r="CSF63" s="175"/>
      <c r="CSG63" s="175"/>
      <c r="CSH63" s="175"/>
      <c r="CSI63" s="175"/>
      <c r="CSJ63" s="176"/>
      <c r="CSK63" s="104"/>
      <c r="CSL63" s="106"/>
      <c r="CSM63" s="175"/>
      <c r="CSN63" s="175"/>
      <c r="CSO63" s="175"/>
      <c r="CSP63" s="175"/>
      <c r="CSQ63" s="176"/>
      <c r="CSR63" s="104"/>
      <c r="CSS63" s="106"/>
      <c r="CST63" s="175"/>
      <c r="CSU63" s="175"/>
      <c r="CSV63" s="175"/>
      <c r="CSW63" s="175"/>
      <c r="CSX63" s="176"/>
      <c r="CSY63" s="104"/>
      <c r="CSZ63" s="106"/>
      <c r="CTA63" s="175"/>
      <c r="CTB63" s="175"/>
      <c r="CTC63" s="175"/>
      <c r="CTD63" s="175"/>
      <c r="CTE63" s="176"/>
      <c r="CTF63" s="104"/>
      <c r="CTG63" s="106"/>
      <c r="CTH63" s="175"/>
      <c r="CTI63" s="175"/>
      <c r="CTJ63" s="175"/>
      <c r="CTK63" s="175"/>
      <c r="CTL63" s="176"/>
      <c r="CTM63" s="104"/>
      <c r="CTN63" s="106"/>
      <c r="CTO63" s="175"/>
      <c r="CTP63" s="175"/>
      <c r="CTQ63" s="175"/>
      <c r="CTR63" s="175"/>
      <c r="CTS63" s="176"/>
      <c r="CTT63" s="104"/>
      <c r="CTU63" s="106"/>
      <c r="CTV63" s="175"/>
      <c r="CTW63" s="175"/>
      <c r="CTX63" s="175"/>
      <c r="CTY63" s="175"/>
      <c r="CTZ63" s="176"/>
      <c r="CUA63" s="104"/>
      <c r="CUB63" s="106"/>
      <c r="CUC63" s="175"/>
      <c r="CUD63" s="175"/>
      <c r="CUE63" s="175"/>
      <c r="CUF63" s="175"/>
      <c r="CUG63" s="176"/>
      <c r="CUH63" s="104"/>
      <c r="CUI63" s="106"/>
      <c r="CUJ63" s="175"/>
      <c r="CUK63" s="175"/>
      <c r="CUL63" s="175"/>
      <c r="CUM63" s="175"/>
      <c r="CUN63" s="176"/>
      <c r="CUO63" s="104"/>
      <c r="CUP63" s="106"/>
      <c r="CUQ63" s="175"/>
      <c r="CUR63" s="175"/>
      <c r="CUS63" s="175"/>
      <c r="CUT63" s="175"/>
      <c r="CUU63" s="176"/>
      <c r="CUV63" s="104"/>
      <c r="CUW63" s="106"/>
      <c r="CUX63" s="175"/>
      <c r="CUY63" s="175"/>
      <c r="CUZ63" s="175"/>
      <c r="CVA63" s="175"/>
      <c r="CVB63" s="176"/>
      <c r="CVC63" s="104"/>
      <c r="CVD63" s="106"/>
      <c r="CVE63" s="175"/>
      <c r="CVF63" s="175"/>
      <c r="CVG63" s="175"/>
      <c r="CVH63" s="175"/>
      <c r="CVI63" s="176"/>
      <c r="CVJ63" s="104"/>
      <c r="CVK63" s="106"/>
      <c r="CVL63" s="175"/>
      <c r="CVM63" s="175"/>
      <c r="CVN63" s="175"/>
      <c r="CVO63" s="175"/>
      <c r="CVP63" s="176"/>
      <c r="CVQ63" s="104"/>
      <c r="CVR63" s="106"/>
      <c r="CVS63" s="175"/>
      <c r="CVT63" s="175"/>
      <c r="CVU63" s="175"/>
      <c r="CVV63" s="175"/>
      <c r="CVW63" s="176"/>
      <c r="CVX63" s="104"/>
      <c r="CVY63" s="106"/>
      <c r="CVZ63" s="175"/>
      <c r="CWA63" s="175"/>
      <c r="CWB63" s="175"/>
      <c r="CWC63" s="175"/>
      <c r="CWD63" s="176"/>
      <c r="CWE63" s="104"/>
      <c r="CWF63" s="106"/>
      <c r="CWG63" s="175"/>
      <c r="CWH63" s="175"/>
      <c r="CWI63" s="175"/>
      <c r="CWJ63" s="175"/>
      <c r="CWK63" s="176"/>
      <c r="CWL63" s="104"/>
      <c r="CWM63" s="106"/>
      <c r="CWN63" s="175"/>
      <c r="CWO63" s="175"/>
      <c r="CWP63" s="175"/>
      <c r="CWQ63" s="175"/>
      <c r="CWR63" s="176"/>
      <c r="CWS63" s="104"/>
      <c r="CWT63" s="106"/>
      <c r="CWU63" s="175"/>
      <c r="CWV63" s="175"/>
      <c r="CWW63" s="175"/>
      <c r="CWX63" s="175"/>
      <c r="CWY63" s="176"/>
      <c r="CWZ63" s="104"/>
      <c r="CXA63" s="106"/>
      <c r="CXB63" s="175"/>
      <c r="CXC63" s="175"/>
      <c r="CXD63" s="175"/>
      <c r="CXE63" s="175"/>
      <c r="CXF63" s="176"/>
      <c r="CXG63" s="104"/>
      <c r="CXH63" s="106"/>
      <c r="CXI63" s="175"/>
      <c r="CXJ63" s="175"/>
      <c r="CXK63" s="175"/>
      <c r="CXL63" s="175"/>
      <c r="CXM63" s="176"/>
      <c r="CXN63" s="104"/>
      <c r="CXO63" s="106"/>
      <c r="CXP63" s="175"/>
      <c r="CXQ63" s="175"/>
      <c r="CXR63" s="175"/>
      <c r="CXS63" s="175"/>
      <c r="CXT63" s="176"/>
      <c r="CXU63" s="104"/>
      <c r="CXV63" s="106"/>
      <c r="CXW63" s="175"/>
      <c r="CXX63" s="175"/>
      <c r="CXY63" s="175"/>
      <c r="CXZ63" s="175"/>
      <c r="CYA63" s="176"/>
      <c r="CYB63" s="104"/>
      <c r="CYC63" s="106"/>
      <c r="CYD63" s="175"/>
      <c r="CYE63" s="175"/>
      <c r="CYF63" s="175"/>
      <c r="CYG63" s="175"/>
      <c r="CYH63" s="176"/>
      <c r="CYI63" s="104"/>
      <c r="CYJ63" s="106"/>
      <c r="CYK63" s="175"/>
      <c r="CYL63" s="175"/>
      <c r="CYM63" s="175"/>
      <c r="CYN63" s="175"/>
      <c r="CYO63" s="176"/>
      <c r="CYP63" s="104"/>
      <c r="CYQ63" s="106"/>
      <c r="CYR63" s="175"/>
      <c r="CYS63" s="175"/>
      <c r="CYT63" s="175"/>
      <c r="CYU63" s="175"/>
      <c r="CYV63" s="176"/>
      <c r="CYW63" s="104"/>
      <c r="CYX63" s="106"/>
      <c r="CYY63" s="175"/>
      <c r="CYZ63" s="175"/>
      <c r="CZA63" s="175"/>
      <c r="CZB63" s="175"/>
      <c r="CZC63" s="176"/>
      <c r="CZD63" s="104"/>
      <c r="CZE63" s="106"/>
      <c r="CZF63" s="175"/>
      <c r="CZG63" s="175"/>
      <c r="CZH63" s="175"/>
      <c r="CZI63" s="175"/>
      <c r="CZJ63" s="176"/>
      <c r="CZK63" s="104"/>
      <c r="CZL63" s="106"/>
      <c r="CZM63" s="175"/>
      <c r="CZN63" s="175"/>
      <c r="CZO63" s="175"/>
      <c r="CZP63" s="175"/>
      <c r="CZQ63" s="176"/>
      <c r="CZR63" s="104"/>
      <c r="CZS63" s="106"/>
      <c r="CZT63" s="175"/>
      <c r="CZU63" s="175"/>
      <c r="CZV63" s="175"/>
      <c r="CZW63" s="175"/>
      <c r="CZX63" s="176"/>
      <c r="CZY63" s="104"/>
      <c r="CZZ63" s="106"/>
      <c r="DAA63" s="175"/>
      <c r="DAB63" s="175"/>
      <c r="DAC63" s="175"/>
      <c r="DAD63" s="175"/>
      <c r="DAE63" s="176"/>
      <c r="DAF63" s="104"/>
      <c r="DAG63" s="106"/>
      <c r="DAH63" s="175"/>
      <c r="DAI63" s="175"/>
      <c r="DAJ63" s="175"/>
      <c r="DAK63" s="175"/>
      <c r="DAL63" s="176"/>
      <c r="DAM63" s="104"/>
      <c r="DAN63" s="106"/>
      <c r="DAO63" s="175"/>
      <c r="DAP63" s="175"/>
      <c r="DAQ63" s="175"/>
      <c r="DAR63" s="175"/>
      <c r="DAS63" s="176"/>
      <c r="DAT63" s="104"/>
      <c r="DAU63" s="106"/>
      <c r="DAV63" s="175"/>
      <c r="DAW63" s="175"/>
      <c r="DAX63" s="175"/>
      <c r="DAY63" s="175"/>
      <c r="DAZ63" s="176"/>
      <c r="DBA63" s="104"/>
      <c r="DBB63" s="106"/>
      <c r="DBC63" s="175"/>
      <c r="DBD63" s="175"/>
      <c r="DBE63" s="175"/>
      <c r="DBF63" s="175"/>
      <c r="DBG63" s="176"/>
      <c r="DBH63" s="104"/>
      <c r="DBI63" s="106"/>
      <c r="DBJ63" s="175"/>
      <c r="DBK63" s="175"/>
      <c r="DBL63" s="175"/>
      <c r="DBM63" s="175"/>
      <c r="DBN63" s="176"/>
      <c r="DBO63" s="104"/>
      <c r="DBP63" s="106"/>
      <c r="DBQ63" s="175"/>
      <c r="DBR63" s="175"/>
      <c r="DBS63" s="175"/>
      <c r="DBT63" s="175"/>
      <c r="DBU63" s="176"/>
      <c r="DBV63" s="104"/>
      <c r="DBW63" s="106"/>
      <c r="DBX63" s="175"/>
      <c r="DBY63" s="175"/>
      <c r="DBZ63" s="175"/>
      <c r="DCA63" s="175"/>
      <c r="DCB63" s="176"/>
      <c r="DCC63" s="104"/>
      <c r="DCD63" s="106"/>
      <c r="DCE63" s="175"/>
      <c r="DCF63" s="175"/>
      <c r="DCG63" s="175"/>
      <c r="DCH63" s="175"/>
      <c r="DCI63" s="176"/>
      <c r="DCJ63" s="104"/>
      <c r="DCK63" s="106"/>
      <c r="DCL63" s="175"/>
      <c r="DCM63" s="175"/>
      <c r="DCN63" s="175"/>
      <c r="DCO63" s="175"/>
      <c r="DCP63" s="176"/>
      <c r="DCQ63" s="104"/>
      <c r="DCR63" s="106"/>
      <c r="DCS63" s="175"/>
      <c r="DCT63" s="175"/>
      <c r="DCU63" s="175"/>
      <c r="DCV63" s="175"/>
      <c r="DCW63" s="176"/>
      <c r="DCX63" s="104"/>
      <c r="DCY63" s="106"/>
      <c r="DCZ63" s="175"/>
      <c r="DDA63" s="175"/>
      <c r="DDB63" s="175"/>
      <c r="DDC63" s="175"/>
      <c r="DDD63" s="176"/>
      <c r="DDE63" s="104"/>
      <c r="DDF63" s="106"/>
      <c r="DDG63" s="175"/>
      <c r="DDH63" s="175"/>
      <c r="DDI63" s="175"/>
      <c r="DDJ63" s="175"/>
      <c r="DDK63" s="176"/>
      <c r="DDL63" s="104"/>
      <c r="DDM63" s="106"/>
      <c r="DDN63" s="175"/>
      <c r="DDO63" s="175"/>
      <c r="DDP63" s="175"/>
      <c r="DDQ63" s="175"/>
      <c r="DDR63" s="176"/>
      <c r="DDS63" s="104"/>
      <c r="DDT63" s="106"/>
      <c r="DDU63" s="175"/>
      <c r="DDV63" s="175"/>
      <c r="DDW63" s="175"/>
      <c r="DDX63" s="175"/>
      <c r="DDY63" s="176"/>
      <c r="DDZ63" s="104"/>
      <c r="DEA63" s="106"/>
      <c r="DEB63" s="175"/>
      <c r="DEC63" s="175"/>
      <c r="DED63" s="175"/>
      <c r="DEE63" s="175"/>
      <c r="DEF63" s="176"/>
      <c r="DEG63" s="104"/>
      <c r="DEH63" s="106"/>
      <c r="DEI63" s="175"/>
      <c r="DEJ63" s="175"/>
      <c r="DEK63" s="175"/>
      <c r="DEL63" s="175"/>
      <c r="DEM63" s="176"/>
      <c r="DEN63" s="104"/>
      <c r="DEO63" s="106"/>
      <c r="DEP63" s="175"/>
      <c r="DEQ63" s="175"/>
      <c r="DER63" s="175"/>
      <c r="DES63" s="175"/>
      <c r="DET63" s="176"/>
      <c r="DEU63" s="104"/>
      <c r="DEV63" s="106"/>
      <c r="DEW63" s="175"/>
      <c r="DEX63" s="175"/>
      <c r="DEY63" s="175"/>
      <c r="DEZ63" s="175"/>
      <c r="DFA63" s="176"/>
      <c r="DFB63" s="104"/>
      <c r="DFC63" s="106"/>
      <c r="DFD63" s="175"/>
      <c r="DFE63" s="175"/>
      <c r="DFF63" s="175"/>
      <c r="DFG63" s="175"/>
      <c r="DFH63" s="176"/>
      <c r="DFI63" s="104"/>
      <c r="DFJ63" s="106"/>
      <c r="DFK63" s="175"/>
      <c r="DFL63" s="175"/>
      <c r="DFM63" s="175"/>
      <c r="DFN63" s="175"/>
      <c r="DFO63" s="176"/>
      <c r="DFP63" s="104"/>
      <c r="DFQ63" s="106"/>
      <c r="DFR63" s="175"/>
      <c r="DFS63" s="175"/>
      <c r="DFT63" s="175"/>
      <c r="DFU63" s="175"/>
      <c r="DFV63" s="176"/>
      <c r="DFW63" s="104"/>
      <c r="DFX63" s="106"/>
      <c r="DFY63" s="175"/>
      <c r="DFZ63" s="175"/>
      <c r="DGA63" s="175"/>
      <c r="DGB63" s="175"/>
      <c r="DGC63" s="176"/>
      <c r="DGD63" s="104"/>
      <c r="DGE63" s="106"/>
      <c r="DGF63" s="175"/>
      <c r="DGG63" s="175"/>
      <c r="DGH63" s="175"/>
      <c r="DGI63" s="175"/>
      <c r="DGJ63" s="176"/>
      <c r="DGK63" s="104"/>
      <c r="DGL63" s="106"/>
      <c r="DGM63" s="175"/>
      <c r="DGN63" s="175"/>
      <c r="DGO63" s="175"/>
      <c r="DGP63" s="175"/>
      <c r="DGQ63" s="176"/>
      <c r="DGR63" s="104"/>
      <c r="DGS63" s="106"/>
      <c r="DGT63" s="175"/>
      <c r="DGU63" s="175"/>
      <c r="DGV63" s="175"/>
      <c r="DGW63" s="175"/>
      <c r="DGX63" s="176"/>
      <c r="DGY63" s="104"/>
      <c r="DGZ63" s="106"/>
      <c r="DHA63" s="175"/>
      <c r="DHB63" s="175"/>
      <c r="DHC63" s="175"/>
      <c r="DHD63" s="175"/>
      <c r="DHE63" s="176"/>
      <c r="DHF63" s="104"/>
      <c r="DHG63" s="106"/>
      <c r="DHH63" s="175"/>
      <c r="DHI63" s="175"/>
      <c r="DHJ63" s="175"/>
      <c r="DHK63" s="175"/>
      <c r="DHL63" s="176"/>
      <c r="DHM63" s="104"/>
      <c r="DHN63" s="106"/>
      <c r="DHO63" s="175"/>
      <c r="DHP63" s="175"/>
      <c r="DHQ63" s="175"/>
      <c r="DHR63" s="175"/>
      <c r="DHS63" s="176"/>
      <c r="DHT63" s="104"/>
      <c r="DHU63" s="106"/>
      <c r="DHV63" s="175"/>
      <c r="DHW63" s="175"/>
      <c r="DHX63" s="175"/>
      <c r="DHY63" s="175"/>
      <c r="DHZ63" s="176"/>
      <c r="DIA63" s="104"/>
      <c r="DIB63" s="106"/>
      <c r="DIC63" s="175"/>
      <c r="DID63" s="175"/>
      <c r="DIE63" s="175"/>
      <c r="DIF63" s="175"/>
      <c r="DIG63" s="176"/>
      <c r="DIH63" s="104"/>
      <c r="DII63" s="106"/>
      <c r="DIJ63" s="175"/>
      <c r="DIK63" s="175"/>
      <c r="DIL63" s="175"/>
      <c r="DIM63" s="175"/>
      <c r="DIN63" s="176"/>
      <c r="DIO63" s="104"/>
      <c r="DIP63" s="106"/>
      <c r="DIQ63" s="175"/>
      <c r="DIR63" s="175"/>
      <c r="DIS63" s="175"/>
      <c r="DIT63" s="175"/>
      <c r="DIU63" s="176"/>
      <c r="DIV63" s="104"/>
      <c r="DIW63" s="106"/>
      <c r="DIX63" s="175"/>
      <c r="DIY63" s="175"/>
      <c r="DIZ63" s="175"/>
      <c r="DJA63" s="175"/>
      <c r="DJB63" s="176"/>
      <c r="DJC63" s="104"/>
      <c r="DJD63" s="106"/>
      <c r="DJE63" s="175"/>
      <c r="DJF63" s="175"/>
      <c r="DJG63" s="175"/>
      <c r="DJH63" s="175"/>
      <c r="DJI63" s="176"/>
      <c r="DJJ63" s="104"/>
      <c r="DJK63" s="106"/>
      <c r="DJL63" s="175"/>
      <c r="DJM63" s="175"/>
      <c r="DJN63" s="175"/>
      <c r="DJO63" s="175"/>
      <c r="DJP63" s="176"/>
      <c r="DJQ63" s="104"/>
      <c r="DJR63" s="106"/>
      <c r="DJS63" s="175"/>
      <c r="DJT63" s="175"/>
      <c r="DJU63" s="175"/>
      <c r="DJV63" s="175"/>
      <c r="DJW63" s="176"/>
      <c r="DJX63" s="104"/>
      <c r="DJY63" s="106"/>
      <c r="DJZ63" s="175"/>
      <c r="DKA63" s="175"/>
      <c r="DKB63" s="175"/>
      <c r="DKC63" s="175"/>
      <c r="DKD63" s="176"/>
      <c r="DKE63" s="104"/>
      <c r="DKF63" s="106"/>
      <c r="DKG63" s="175"/>
      <c r="DKH63" s="175"/>
      <c r="DKI63" s="175"/>
      <c r="DKJ63" s="175"/>
      <c r="DKK63" s="176"/>
      <c r="DKL63" s="104"/>
      <c r="DKM63" s="106"/>
      <c r="DKN63" s="175"/>
      <c r="DKO63" s="175"/>
      <c r="DKP63" s="175"/>
      <c r="DKQ63" s="175"/>
      <c r="DKR63" s="176"/>
      <c r="DKS63" s="104"/>
      <c r="DKT63" s="106"/>
      <c r="DKU63" s="175"/>
      <c r="DKV63" s="175"/>
      <c r="DKW63" s="175"/>
      <c r="DKX63" s="175"/>
      <c r="DKY63" s="176"/>
      <c r="DKZ63" s="104"/>
      <c r="DLA63" s="106"/>
      <c r="DLB63" s="175"/>
      <c r="DLC63" s="175"/>
      <c r="DLD63" s="175"/>
      <c r="DLE63" s="175"/>
      <c r="DLF63" s="176"/>
      <c r="DLG63" s="104"/>
      <c r="DLH63" s="106"/>
      <c r="DLI63" s="175"/>
      <c r="DLJ63" s="175"/>
      <c r="DLK63" s="175"/>
      <c r="DLL63" s="175"/>
      <c r="DLM63" s="176"/>
      <c r="DLN63" s="104"/>
      <c r="DLO63" s="106"/>
      <c r="DLP63" s="175"/>
      <c r="DLQ63" s="175"/>
      <c r="DLR63" s="175"/>
      <c r="DLS63" s="175"/>
      <c r="DLT63" s="176"/>
      <c r="DLU63" s="104"/>
      <c r="DLV63" s="106"/>
      <c r="DLW63" s="175"/>
      <c r="DLX63" s="175"/>
      <c r="DLY63" s="175"/>
      <c r="DLZ63" s="175"/>
      <c r="DMA63" s="176"/>
      <c r="DMB63" s="104"/>
      <c r="DMC63" s="106"/>
      <c r="DMD63" s="175"/>
      <c r="DME63" s="175"/>
      <c r="DMF63" s="175"/>
      <c r="DMG63" s="175"/>
      <c r="DMH63" s="176"/>
      <c r="DMI63" s="104"/>
      <c r="DMJ63" s="106"/>
      <c r="DMK63" s="175"/>
      <c r="DML63" s="175"/>
      <c r="DMM63" s="175"/>
      <c r="DMN63" s="175"/>
      <c r="DMO63" s="176"/>
      <c r="DMP63" s="104"/>
      <c r="DMQ63" s="106"/>
      <c r="DMR63" s="175"/>
      <c r="DMS63" s="175"/>
      <c r="DMT63" s="175"/>
      <c r="DMU63" s="175"/>
      <c r="DMV63" s="176"/>
      <c r="DMW63" s="104"/>
      <c r="DMX63" s="106"/>
      <c r="DMY63" s="175"/>
      <c r="DMZ63" s="175"/>
      <c r="DNA63" s="175"/>
      <c r="DNB63" s="175"/>
      <c r="DNC63" s="176"/>
      <c r="DND63" s="104"/>
      <c r="DNE63" s="106"/>
      <c r="DNF63" s="175"/>
      <c r="DNG63" s="175"/>
      <c r="DNH63" s="175"/>
      <c r="DNI63" s="175"/>
      <c r="DNJ63" s="176"/>
      <c r="DNK63" s="104"/>
      <c r="DNL63" s="106"/>
      <c r="DNM63" s="175"/>
      <c r="DNN63" s="175"/>
      <c r="DNO63" s="175"/>
      <c r="DNP63" s="175"/>
      <c r="DNQ63" s="176"/>
      <c r="DNR63" s="104"/>
      <c r="DNS63" s="106"/>
      <c r="DNT63" s="175"/>
      <c r="DNU63" s="175"/>
      <c r="DNV63" s="175"/>
      <c r="DNW63" s="175"/>
      <c r="DNX63" s="176"/>
      <c r="DNY63" s="104"/>
      <c r="DNZ63" s="106"/>
      <c r="DOA63" s="175"/>
      <c r="DOB63" s="175"/>
      <c r="DOC63" s="175"/>
      <c r="DOD63" s="175"/>
      <c r="DOE63" s="176"/>
      <c r="DOF63" s="104"/>
      <c r="DOG63" s="106"/>
      <c r="DOH63" s="175"/>
      <c r="DOI63" s="175"/>
      <c r="DOJ63" s="175"/>
      <c r="DOK63" s="175"/>
      <c r="DOL63" s="176"/>
      <c r="DOM63" s="104"/>
      <c r="DON63" s="106"/>
      <c r="DOO63" s="175"/>
      <c r="DOP63" s="175"/>
      <c r="DOQ63" s="175"/>
      <c r="DOR63" s="175"/>
      <c r="DOS63" s="176"/>
      <c r="DOT63" s="104"/>
      <c r="DOU63" s="106"/>
      <c r="DOV63" s="175"/>
      <c r="DOW63" s="175"/>
      <c r="DOX63" s="175"/>
      <c r="DOY63" s="175"/>
      <c r="DOZ63" s="176"/>
      <c r="DPA63" s="104"/>
      <c r="DPB63" s="106"/>
      <c r="DPC63" s="175"/>
      <c r="DPD63" s="175"/>
      <c r="DPE63" s="175"/>
      <c r="DPF63" s="175"/>
      <c r="DPG63" s="176"/>
      <c r="DPH63" s="104"/>
      <c r="DPI63" s="106"/>
      <c r="DPJ63" s="175"/>
      <c r="DPK63" s="175"/>
      <c r="DPL63" s="175"/>
      <c r="DPM63" s="175"/>
      <c r="DPN63" s="176"/>
      <c r="DPO63" s="104"/>
      <c r="DPP63" s="106"/>
      <c r="DPQ63" s="175"/>
      <c r="DPR63" s="175"/>
      <c r="DPS63" s="175"/>
      <c r="DPT63" s="175"/>
      <c r="DPU63" s="176"/>
      <c r="DPV63" s="104"/>
      <c r="DPW63" s="106"/>
      <c r="DPX63" s="175"/>
      <c r="DPY63" s="175"/>
      <c r="DPZ63" s="175"/>
      <c r="DQA63" s="175"/>
      <c r="DQB63" s="176"/>
      <c r="DQC63" s="104"/>
      <c r="DQD63" s="106"/>
      <c r="DQE63" s="175"/>
      <c r="DQF63" s="175"/>
      <c r="DQG63" s="175"/>
      <c r="DQH63" s="175"/>
      <c r="DQI63" s="176"/>
      <c r="DQJ63" s="104"/>
      <c r="DQK63" s="106"/>
      <c r="DQL63" s="175"/>
      <c r="DQM63" s="175"/>
      <c r="DQN63" s="175"/>
      <c r="DQO63" s="175"/>
      <c r="DQP63" s="176"/>
      <c r="DQQ63" s="104"/>
      <c r="DQR63" s="106"/>
      <c r="DQS63" s="175"/>
      <c r="DQT63" s="175"/>
      <c r="DQU63" s="175"/>
      <c r="DQV63" s="175"/>
      <c r="DQW63" s="176"/>
      <c r="DQX63" s="104"/>
      <c r="DQY63" s="106"/>
      <c r="DQZ63" s="175"/>
      <c r="DRA63" s="175"/>
      <c r="DRB63" s="175"/>
      <c r="DRC63" s="175"/>
      <c r="DRD63" s="176"/>
      <c r="DRE63" s="104"/>
      <c r="DRF63" s="106"/>
      <c r="DRG63" s="175"/>
      <c r="DRH63" s="175"/>
      <c r="DRI63" s="175"/>
      <c r="DRJ63" s="175"/>
      <c r="DRK63" s="176"/>
      <c r="DRL63" s="104"/>
      <c r="DRM63" s="106"/>
      <c r="DRN63" s="175"/>
      <c r="DRO63" s="175"/>
      <c r="DRP63" s="175"/>
      <c r="DRQ63" s="175"/>
      <c r="DRR63" s="176"/>
      <c r="DRS63" s="104"/>
      <c r="DRT63" s="106"/>
      <c r="DRU63" s="175"/>
      <c r="DRV63" s="175"/>
      <c r="DRW63" s="175"/>
      <c r="DRX63" s="175"/>
      <c r="DRY63" s="176"/>
      <c r="DRZ63" s="104"/>
      <c r="DSA63" s="106"/>
      <c r="DSB63" s="175"/>
      <c r="DSC63" s="175"/>
      <c r="DSD63" s="175"/>
      <c r="DSE63" s="175"/>
      <c r="DSF63" s="176"/>
      <c r="DSG63" s="104"/>
      <c r="DSH63" s="106"/>
      <c r="DSI63" s="175"/>
      <c r="DSJ63" s="175"/>
      <c r="DSK63" s="175"/>
      <c r="DSL63" s="175"/>
      <c r="DSM63" s="176"/>
      <c r="DSN63" s="104"/>
      <c r="DSO63" s="106"/>
      <c r="DSP63" s="175"/>
      <c r="DSQ63" s="175"/>
      <c r="DSR63" s="175"/>
      <c r="DSS63" s="175"/>
      <c r="DST63" s="176"/>
      <c r="DSU63" s="104"/>
      <c r="DSV63" s="106"/>
      <c r="DSW63" s="175"/>
      <c r="DSX63" s="175"/>
      <c r="DSY63" s="175"/>
      <c r="DSZ63" s="175"/>
      <c r="DTA63" s="176"/>
      <c r="DTB63" s="104"/>
      <c r="DTC63" s="106"/>
      <c r="DTD63" s="175"/>
      <c r="DTE63" s="175"/>
      <c r="DTF63" s="175"/>
      <c r="DTG63" s="175"/>
      <c r="DTH63" s="176"/>
      <c r="DTI63" s="104"/>
      <c r="DTJ63" s="106"/>
      <c r="DTK63" s="175"/>
      <c r="DTL63" s="175"/>
      <c r="DTM63" s="175"/>
      <c r="DTN63" s="175"/>
      <c r="DTO63" s="176"/>
      <c r="DTP63" s="104"/>
      <c r="DTQ63" s="106"/>
      <c r="DTR63" s="175"/>
      <c r="DTS63" s="175"/>
      <c r="DTT63" s="175"/>
      <c r="DTU63" s="175"/>
      <c r="DTV63" s="176"/>
      <c r="DTW63" s="104"/>
      <c r="DTX63" s="106"/>
      <c r="DTY63" s="175"/>
      <c r="DTZ63" s="175"/>
      <c r="DUA63" s="175"/>
      <c r="DUB63" s="175"/>
      <c r="DUC63" s="176"/>
      <c r="DUD63" s="104"/>
      <c r="DUE63" s="106"/>
      <c r="DUF63" s="175"/>
      <c r="DUG63" s="175"/>
      <c r="DUH63" s="175"/>
      <c r="DUI63" s="175"/>
      <c r="DUJ63" s="176"/>
      <c r="DUK63" s="104"/>
      <c r="DUL63" s="106"/>
      <c r="DUM63" s="175"/>
      <c r="DUN63" s="175"/>
      <c r="DUO63" s="175"/>
      <c r="DUP63" s="175"/>
      <c r="DUQ63" s="176"/>
      <c r="DUR63" s="104"/>
      <c r="DUS63" s="106"/>
      <c r="DUT63" s="175"/>
      <c r="DUU63" s="175"/>
      <c r="DUV63" s="175"/>
      <c r="DUW63" s="175"/>
      <c r="DUX63" s="176"/>
      <c r="DUY63" s="104"/>
      <c r="DUZ63" s="106"/>
      <c r="DVA63" s="175"/>
      <c r="DVB63" s="175"/>
      <c r="DVC63" s="175"/>
      <c r="DVD63" s="175"/>
      <c r="DVE63" s="176"/>
      <c r="DVF63" s="104"/>
      <c r="DVG63" s="106"/>
      <c r="DVH63" s="175"/>
      <c r="DVI63" s="175"/>
      <c r="DVJ63" s="175"/>
      <c r="DVK63" s="175"/>
      <c r="DVL63" s="176"/>
      <c r="DVM63" s="104"/>
      <c r="DVN63" s="106"/>
      <c r="DVO63" s="175"/>
      <c r="DVP63" s="175"/>
      <c r="DVQ63" s="175"/>
      <c r="DVR63" s="175"/>
      <c r="DVS63" s="176"/>
      <c r="DVT63" s="104"/>
      <c r="DVU63" s="106"/>
      <c r="DVV63" s="175"/>
      <c r="DVW63" s="175"/>
      <c r="DVX63" s="175"/>
      <c r="DVY63" s="175"/>
      <c r="DVZ63" s="176"/>
      <c r="DWA63" s="104"/>
      <c r="DWB63" s="106"/>
      <c r="DWC63" s="175"/>
      <c r="DWD63" s="175"/>
      <c r="DWE63" s="175"/>
      <c r="DWF63" s="175"/>
      <c r="DWG63" s="176"/>
      <c r="DWH63" s="104"/>
      <c r="DWI63" s="106"/>
      <c r="DWJ63" s="175"/>
      <c r="DWK63" s="175"/>
      <c r="DWL63" s="175"/>
      <c r="DWM63" s="175"/>
      <c r="DWN63" s="176"/>
      <c r="DWO63" s="104"/>
      <c r="DWP63" s="106"/>
      <c r="DWQ63" s="175"/>
      <c r="DWR63" s="175"/>
      <c r="DWS63" s="175"/>
      <c r="DWT63" s="175"/>
      <c r="DWU63" s="176"/>
      <c r="DWV63" s="104"/>
      <c r="DWW63" s="106"/>
      <c r="DWX63" s="175"/>
      <c r="DWY63" s="175"/>
      <c r="DWZ63" s="175"/>
      <c r="DXA63" s="175"/>
      <c r="DXB63" s="176"/>
      <c r="DXC63" s="104"/>
      <c r="DXD63" s="106"/>
      <c r="DXE63" s="175"/>
      <c r="DXF63" s="175"/>
      <c r="DXG63" s="175"/>
      <c r="DXH63" s="175"/>
      <c r="DXI63" s="176"/>
      <c r="DXJ63" s="104"/>
      <c r="DXK63" s="106"/>
      <c r="DXL63" s="175"/>
      <c r="DXM63" s="175"/>
      <c r="DXN63" s="175"/>
      <c r="DXO63" s="175"/>
      <c r="DXP63" s="176"/>
      <c r="DXQ63" s="104"/>
      <c r="DXR63" s="106"/>
      <c r="DXS63" s="175"/>
      <c r="DXT63" s="175"/>
      <c r="DXU63" s="175"/>
      <c r="DXV63" s="175"/>
      <c r="DXW63" s="176"/>
      <c r="DXX63" s="104"/>
      <c r="DXY63" s="106"/>
      <c r="DXZ63" s="175"/>
      <c r="DYA63" s="175"/>
      <c r="DYB63" s="175"/>
      <c r="DYC63" s="175"/>
      <c r="DYD63" s="176"/>
      <c r="DYE63" s="104"/>
      <c r="DYF63" s="106"/>
      <c r="DYG63" s="175"/>
      <c r="DYH63" s="175"/>
      <c r="DYI63" s="175"/>
      <c r="DYJ63" s="175"/>
      <c r="DYK63" s="176"/>
      <c r="DYL63" s="104"/>
      <c r="DYM63" s="106"/>
      <c r="DYN63" s="175"/>
      <c r="DYO63" s="175"/>
      <c r="DYP63" s="175"/>
      <c r="DYQ63" s="175"/>
      <c r="DYR63" s="176"/>
      <c r="DYS63" s="104"/>
      <c r="DYT63" s="106"/>
      <c r="DYU63" s="175"/>
      <c r="DYV63" s="175"/>
      <c r="DYW63" s="175"/>
      <c r="DYX63" s="175"/>
      <c r="DYY63" s="176"/>
      <c r="DYZ63" s="104"/>
      <c r="DZA63" s="106"/>
      <c r="DZB63" s="175"/>
      <c r="DZC63" s="175"/>
      <c r="DZD63" s="175"/>
      <c r="DZE63" s="175"/>
      <c r="DZF63" s="176"/>
      <c r="DZG63" s="104"/>
      <c r="DZH63" s="106"/>
      <c r="DZI63" s="175"/>
      <c r="DZJ63" s="175"/>
      <c r="DZK63" s="175"/>
      <c r="DZL63" s="175"/>
      <c r="DZM63" s="176"/>
      <c r="DZN63" s="104"/>
      <c r="DZO63" s="106"/>
      <c r="DZP63" s="175"/>
      <c r="DZQ63" s="175"/>
      <c r="DZR63" s="175"/>
      <c r="DZS63" s="175"/>
      <c r="DZT63" s="176"/>
      <c r="DZU63" s="104"/>
      <c r="DZV63" s="106"/>
      <c r="DZW63" s="175"/>
      <c r="DZX63" s="175"/>
      <c r="DZY63" s="175"/>
      <c r="DZZ63" s="175"/>
      <c r="EAA63" s="176"/>
      <c r="EAB63" s="104"/>
      <c r="EAC63" s="106"/>
      <c r="EAD63" s="175"/>
      <c r="EAE63" s="175"/>
      <c r="EAF63" s="175"/>
      <c r="EAG63" s="175"/>
      <c r="EAH63" s="176"/>
      <c r="EAI63" s="104"/>
      <c r="EAJ63" s="106"/>
      <c r="EAK63" s="175"/>
      <c r="EAL63" s="175"/>
      <c r="EAM63" s="175"/>
      <c r="EAN63" s="175"/>
      <c r="EAO63" s="176"/>
      <c r="EAP63" s="104"/>
      <c r="EAQ63" s="106"/>
      <c r="EAR63" s="175"/>
      <c r="EAS63" s="175"/>
      <c r="EAT63" s="175"/>
      <c r="EAU63" s="175"/>
      <c r="EAV63" s="176"/>
      <c r="EAW63" s="104"/>
      <c r="EAX63" s="106"/>
      <c r="EAY63" s="175"/>
      <c r="EAZ63" s="175"/>
      <c r="EBA63" s="175"/>
      <c r="EBB63" s="175"/>
      <c r="EBC63" s="176"/>
      <c r="EBD63" s="104"/>
      <c r="EBE63" s="106"/>
      <c r="EBF63" s="175"/>
      <c r="EBG63" s="175"/>
      <c r="EBH63" s="175"/>
      <c r="EBI63" s="175"/>
      <c r="EBJ63" s="176"/>
      <c r="EBK63" s="104"/>
      <c r="EBL63" s="106"/>
      <c r="EBM63" s="175"/>
      <c r="EBN63" s="175"/>
      <c r="EBO63" s="175"/>
      <c r="EBP63" s="175"/>
      <c r="EBQ63" s="176"/>
      <c r="EBR63" s="104"/>
      <c r="EBS63" s="106"/>
      <c r="EBT63" s="175"/>
      <c r="EBU63" s="175"/>
      <c r="EBV63" s="175"/>
      <c r="EBW63" s="175"/>
      <c r="EBX63" s="176"/>
      <c r="EBY63" s="104"/>
      <c r="EBZ63" s="106"/>
      <c r="ECA63" s="175"/>
      <c r="ECB63" s="175"/>
      <c r="ECC63" s="175"/>
      <c r="ECD63" s="175"/>
      <c r="ECE63" s="176"/>
      <c r="ECF63" s="104"/>
      <c r="ECG63" s="106"/>
      <c r="ECH63" s="175"/>
      <c r="ECI63" s="175"/>
      <c r="ECJ63" s="175"/>
      <c r="ECK63" s="175"/>
      <c r="ECL63" s="176"/>
      <c r="ECM63" s="104"/>
      <c r="ECN63" s="106"/>
      <c r="ECO63" s="175"/>
      <c r="ECP63" s="175"/>
      <c r="ECQ63" s="175"/>
      <c r="ECR63" s="175"/>
      <c r="ECS63" s="176"/>
      <c r="ECT63" s="104"/>
      <c r="ECU63" s="106"/>
      <c r="ECV63" s="175"/>
      <c r="ECW63" s="175"/>
      <c r="ECX63" s="175"/>
      <c r="ECY63" s="175"/>
      <c r="ECZ63" s="176"/>
      <c r="EDA63" s="104"/>
      <c r="EDB63" s="106"/>
      <c r="EDC63" s="175"/>
      <c r="EDD63" s="175"/>
      <c r="EDE63" s="175"/>
      <c r="EDF63" s="175"/>
      <c r="EDG63" s="176"/>
      <c r="EDH63" s="104"/>
      <c r="EDI63" s="106"/>
      <c r="EDJ63" s="175"/>
      <c r="EDK63" s="175"/>
      <c r="EDL63" s="175"/>
      <c r="EDM63" s="175"/>
      <c r="EDN63" s="176"/>
      <c r="EDO63" s="104"/>
      <c r="EDP63" s="106"/>
      <c r="EDQ63" s="175"/>
      <c r="EDR63" s="175"/>
      <c r="EDS63" s="175"/>
      <c r="EDT63" s="175"/>
      <c r="EDU63" s="176"/>
      <c r="EDV63" s="104"/>
      <c r="EDW63" s="106"/>
      <c r="EDX63" s="175"/>
      <c r="EDY63" s="175"/>
      <c r="EDZ63" s="175"/>
      <c r="EEA63" s="175"/>
      <c r="EEB63" s="176"/>
      <c r="EEC63" s="104"/>
      <c r="EED63" s="106"/>
      <c r="EEE63" s="175"/>
      <c r="EEF63" s="175"/>
      <c r="EEG63" s="175"/>
      <c r="EEH63" s="175"/>
      <c r="EEI63" s="176"/>
      <c r="EEJ63" s="104"/>
      <c r="EEK63" s="106"/>
      <c r="EEL63" s="175"/>
      <c r="EEM63" s="175"/>
      <c r="EEN63" s="175"/>
      <c r="EEO63" s="175"/>
      <c r="EEP63" s="176"/>
      <c r="EEQ63" s="104"/>
      <c r="EER63" s="106"/>
      <c r="EES63" s="175"/>
      <c r="EET63" s="175"/>
      <c r="EEU63" s="175"/>
      <c r="EEV63" s="175"/>
      <c r="EEW63" s="176"/>
      <c r="EEX63" s="104"/>
      <c r="EEY63" s="106"/>
      <c r="EEZ63" s="175"/>
      <c r="EFA63" s="175"/>
      <c r="EFB63" s="175"/>
      <c r="EFC63" s="175"/>
      <c r="EFD63" s="176"/>
      <c r="EFE63" s="104"/>
      <c r="EFF63" s="106"/>
      <c r="EFG63" s="175"/>
      <c r="EFH63" s="175"/>
      <c r="EFI63" s="175"/>
      <c r="EFJ63" s="175"/>
      <c r="EFK63" s="176"/>
      <c r="EFL63" s="104"/>
      <c r="EFM63" s="106"/>
      <c r="EFN63" s="175"/>
      <c r="EFO63" s="175"/>
      <c r="EFP63" s="175"/>
      <c r="EFQ63" s="175"/>
      <c r="EFR63" s="176"/>
      <c r="EFS63" s="104"/>
      <c r="EFT63" s="106"/>
      <c r="EFU63" s="175"/>
      <c r="EFV63" s="175"/>
      <c r="EFW63" s="175"/>
      <c r="EFX63" s="175"/>
      <c r="EFY63" s="176"/>
      <c r="EFZ63" s="104"/>
      <c r="EGA63" s="106"/>
      <c r="EGB63" s="175"/>
      <c r="EGC63" s="175"/>
      <c r="EGD63" s="175"/>
      <c r="EGE63" s="175"/>
      <c r="EGF63" s="176"/>
      <c r="EGG63" s="104"/>
      <c r="EGH63" s="106"/>
      <c r="EGI63" s="175"/>
      <c r="EGJ63" s="175"/>
      <c r="EGK63" s="175"/>
      <c r="EGL63" s="175"/>
      <c r="EGM63" s="176"/>
      <c r="EGN63" s="104"/>
      <c r="EGO63" s="106"/>
      <c r="EGP63" s="175"/>
      <c r="EGQ63" s="175"/>
      <c r="EGR63" s="175"/>
      <c r="EGS63" s="175"/>
      <c r="EGT63" s="176"/>
      <c r="EGU63" s="104"/>
      <c r="EGV63" s="106"/>
      <c r="EGW63" s="175"/>
      <c r="EGX63" s="175"/>
      <c r="EGY63" s="175"/>
      <c r="EGZ63" s="175"/>
      <c r="EHA63" s="176"/>
      <c r="EHB63" s="104"/>
      <c r="EHC63" s="106"/>
      <c r="EHD63" s="175"/>
      <c r="EHE63" s="175"/>
      <c r="EHF63" s="175"/>
      <c r="EHG63" s="175"/>
      <c r="EHH63" s="176"/>
      <c r="EHI63" s="104"/>
      <c r="EHJ63" s="106"/>
      <c r="EHK63" s="175"/>
      <c r="EHL63" s="175"/>
      <c r="EHM63" s="175"/>
      <c r="EHN63" s="175"/>
      <c r="EHO63" s="176"/>
      <c r="EHP63" s="104"/>
      <c r="EHQ63" s="106"/>
      <c r="EHR63" s="175"/>
      <c r="EHS63" s="175"/>
      <c r="EHT63" s="175"/>
      <c r="EHU63" s="175"/>
      <c r="EHV63" s="176"/>
      <c r="EHW63" s="104"/>
      <c r="EHX63" s="106"/>
      <c r="EHY63" s="175"/>
      <c r="EHZ63" s="175"/>
      <c r="EIA63" s="175"/>
      <c r="EIB63" s="175"/>
      <c r="EIC63" s="176"/>
      <c r="EID63" s="104"/>
      <c r="EIE63" s="106"/>
      <c r="EIF63" s="175"/>
      <c r="EIG63" s="175"/>
      <c r="EIH63" s="175"/>
      <c r="EII63" s="175"/>
      <c r="EIJ63" s="176"/>
      <c r="EIK63" s="104"/>
      <c r="EIL63" s="106"/>
      <c r="EIM63" s="175"/>
      <c r="EIN63" s="175"/>
      <c r="EIO63" s="175"/>
      <c r="EIP63" s="175"/>
      <c r="EIQ63" s="176"/>
      <c r="EIR63" s="104"/>
      <c r="EIS63" s="106"/>
      <c r="EIT63" s="175"/>
      <c r="EIU63" s="175"/>
      <c r="EIV63" s="175"/>
      <c r="EIW63" s="175"/>
      <c r="EIX63" s="176"/>
      <c r="EIY63" s="104"/>
      <c r="EIZ63" s="106"/>
      <c r="EJA63" s="175"/>
      <c r="EJB63" s="175"/>
      <c r="EJC63" s="175"/>
      <c r="EJD63" s="175"/>
      <c r="EJE63" s="176"/>
      <c r="EJF63" s="104"/>
      <c r="EJG63" s="106"/>
      <c r="EJH63" s="175"/>
      <c r="EJI63" s="175"/>
      <c r="EJJ63" s="175"/>
      <c r="EJK63" s="175"/>
      <c r="EJL63" s="176"/>
      <c r="EJM63" s="104"/>
      <c r="EJN63" s="106"/>
      <c r="EJO63" s="175"/>
      <c r="EJP63" s="175"/>
      <c r="EJQ63" s="175"/>
      <c r="EJR63" s="175"/>
      <c r="EJS63" s="176"/>
      <c r="EJT63" s="104"/>
      <c r="EJU63" s="106"/>
      <c r="EJV63" s="175"/>
      <c r="EJW63" s="175"/>
      <c r="EJX63" s="175"/>
      <c r="EJY63" s="175"/>
      <c r="EJZ63" s="176"/>
      <c r="EKA63" s="104"/>
      <c r="EKB63" s="106"/>
      <c r="EKC63" s="175"/>
      <c r="EKD63" s="175"/>
      <c r="EKE63" s="175"/>
      <c r="EKF63" s="175"/>
      <c r="EKG63" s="176"/>
      <c r="EKH63" s="104"/>
      <c r="EKI63" s="106"/>
      <c r="EKJ63" s="175"/>
      <c r="EKK63" s="175"/>
      <c r="EKL63" s="175"/>
      <c r="EKM63" s="175"/>
      <c r="EKN63" s="176"/>
      <c r="EKO63" s="104"/>
      <c r="EKP63" s="106"/>
      <c r="EKQ63" s="175"/>
      <c r="EKR63" s="175"/>
      <c r="EKS63" s="175"/>
      <c r="EKT63" s="175"/>
      <c r="EKU63" s="176"/>
      <c r="EKV63" s="104"/>
      <c r="EKW63" s="106"/>
      <c r="EKX63" s="175"/>
      <c r="EKY63" s="175"/>
      <c r="EKZ63" s="175"/>
      <c r="ELA63" s="175"/>
      <c r="ELB63" s="176"/>
      <c r="ELC63" s="104"/>
      <c r="ELD63" s="106"/>
      <c r="ELE63" s="175"/>
      <c r="ELF63" s="175"/>
      <c r="ELG63" s="175"/>
      <c r="ELH63" s="175"/>
      <c r="ELI63" s="176"/>
      <c r="ELJ63" s="104"/>
      <c r="ELK63" s="106"/>
      <c r="ELL63" s="175"/>
      <c r="ELM63" s="175"/>
      <c r="ELN63" s="175"/>
      <c r="ELO63" s="175"/>
      <c r="ELP63" s="176"/>
      <c r="ELQ63" s="104"/>
      <c r="ELR63" s="106"/>
      <c r="ELS63" s="175"/>
      <c r="ELT63" s="175"/>
      <c r="ELU63" s="175"/>
      <c r="ELV63" s="175"/>
      <c r="ELW63" s="176"/>
      <c r="ELX63" s="104"/>
      <c r="ELY63" s="106"/>
      <c r="ELZ63" s="175"/>
      <c r="EMA63" s="175"/>
      <c r="EMB63" s="175"/>
      <c r="EMC63" s="175"/>
      <c r="EMD63" s="176"/>
      <c r="EME63" s="104"/>
      <c r="EMF63" s="106"/>
      <c r="EMG63" s="175"/>
      <c r="EMH63" s="175"/>
      <c r="EMI63" s="175"/>
      <c r="EMJ63" s="175"/>
      <c r="EMK63" s="176"/>
      <c r="EML63" s="104"/>
      <c r="EMM63" s="106"/>
      <c r="EMN63" s="175"/>
      <c r="EMO63" s="175"/>
      <c r="EMP63" s="175"/>
      <c r="EMQ63" s="175"/>
      <c r="EMR63" s="176"/>
      <c r="EMS63" s="104"/>
      <c r="EMT63" s="106"/>
      <c r="EMU63" s="175"/>
      <c r="EMV63" s="175"/>
      <c r="EMW63" s="175"/>
      <c r="EMX63" s="175"/>
      <c r="EMY63" s="176"/>
      <c r="EMZ63" s="104"/>
      <c r="ENA63" s="106"/>
      <c r="ENB63" s="175"/>
      <c r="ENC63" s="175"/>
      <c r="END63" s="175"/>
      <c r="ENE63" s="175"/>
      <c r="ENF63" s="176"/>
      <c r="ENG63" s="104"/>
      <c r="ENH63" s="106"/>
      <c r="ENI63" s="175"/>
      <c r="ENJ63" s="175"/>
      <c r="ENK63" s="175"/>
      <c r="ENL63" s="175"/>
      <c r="ENM63" s="176"/>
      <c r="ENN63" s="104"/>
      <c r="ENO63" s="106"/>
      <c r="ENP63" s="175"/>
      <c r="ENQ63" s="175"/>
      <c r="ENR63" s="175"/>
      <c r="ENS63" s="175"/>
      <c r="ENT63" s="176"/>
      <c r="ENU63" s="104"/>
      <c r="ENV63" s="106"/>
      <c r="ENW63" s="175"/>
      <c r="ENX63" s="175"/>
      <c r="ENY63" s="175"/>
      <c r="ENZ63" s="175"/>
      <c r="EOA63" s="176"/>
      <c r="EOB63" s="104"/>
      <c r="EOC63" s="106"/>
      <c r="EOD63" s="175"/>
      <c r="EOE63" s="175"/>
      <c r="EOF63" s="175"/>
      <c r="EOG63" s="175"/>
      <c r="EOH63" s="176"/>
      <c r="EOI63" s="104"/>
      <c r="EOJ63" s="106"/>
      <c r="EOK63" s="175"/>
      <c r="EOL63" s="175"/>
      <c r="EOM63" s="175"/>
      <c r="EON63" s="175"/>
      <c r="EOO63" s="176"/>
      <c r="EOP63" s="104"/>
      <c r="EOQ63" s="106"/>
      <c r="EOR63" s="175"/>
      <c r="EOS63" s="175"/>
      <c r="EOT63" s="175"/>
      <c r="EOU63" s="175"/>
      <c r="EOV63" s="176"/>
      <c r="EOW63" s="104"/>
      <c r="EOX63" s="106"/>
      <c r="EOY63" s="175"/>
      <c r="EOZ63" s="175"/>
      <c r="EPA63" s="175"/>
      <c r="EPB63" s="175"/>
      <c r="EPC63" s="176"/>
      <c r="EPD63" s="104"/>
      <c r="EPE63" s="106"/>
      <c r="EPF63" s="175"/>
      <c r="EPG63" s="175"/>
      <c r="EPH63" s="175"/>
      <c r="EPI63" s="175"/>
      <c r="EPJ63" s="176"/>
      <c r="EPK63" s="104"/>
      <c r="EPL63" s="106"/>
      <c r="EPM63" s="175"/>
      <c r="EPN63" s="175"/>
      <c r="EPO63" s="175"/>
      <c r="EPP63" s="175"/>
      <c r="EPQ63" s="176"/>
      <c r="EPR63" s="104"/>
      <c r="EPS63" s="106"/>
      <c r="EPT63" s="175"/>
      <c r="EPU63" s="175"/>
      <c r="EPV63" s="175"/>
      <c r="EPW63" s="175"/>
      <c r="EPX63" s="176"/>
      <c r="EPY63" s="104"/>
      <c r="EPZ63" s="106"/>
      <c r="EQA63" s="175"/>
      <c r="EQB63" s="175"/>
      <c r="EQC63" s="175"/>
      <c r="EQD63" s="175"/>
      <c r="EQE63" s="176"/>
      <c r="EQF63" s="104"/>
      <c r="EQG63" s="106"/>
      <c r="EQH63" s="175"/>
      <c r="EQI63" s="175"/>
      <c r="EQJ63" s="175"/>
      <c r="EQK63" s="175"/>
      <c r="EQL63" s="176"/>
      <c r="EQM63" s="104"/>
      <c r="EQN63" s="106"/>
      <c r="EQO63" s="175"/>
      <c r="EQP63" s="175"/>
      <c r="EQQ63" s="175"/>
      <c r="EQR63" s="175"/>
      <c r="EQS63" s="176"/>
      <c r="EQT63" s="104"/>
      <c r="EQU63" s="106"/>
      <c r="EQV63" s="175"/>
      <c r="EQW63" s="175"/>
      <c r="EQX63" s="175"/>
      <c r="EQY63" s="175"/>
      <c r="EQZ63" s="176"/>
      <c r="ERA63" s="104"/>
      <c r="ERB63" s="106"/>
      <c r="ERC63" s="175"/>
      <c r="ERD63" s="175"/>
      <c r="ERE63" s="175"/>
      <c r="ERF63" s="175"/>
      <c r="ERG63" s="176"/>
      <c r="ERH63" s="104"/>
      <c r="ERI63" s="106"/>
      <c r="ERJ63" s="175"/>
      <c r="ERK63" s="175"/>
      <c r="ERL63" s="175"/>
      <c r="ERM63" s="175"/>
      <c r="ERN63" s="176"/>
      <c r="ERO63" s="104"/>
      <c r="ERP63" s="106"/>
      <c r="ERQ63" s="175"/>
      <c r="ERR63" s="175"/>
      <c r="ERS63" s="175"/>
      <c r="ERT63" s="175"/>
      <c r="ERU63" s="176"/>
      <c r="ERV63" s="104"/>
      <c r="ERW63" s="106"/>
      <c r="ERX63" s="175"/>
      <c r="ERY63" s="175"/>
      <c r="ERZ63" s="175"/>
      <c r="ESA63" s="175"/>
      <c r="ESB63" s="176"/>
      <c r="ESC63" s="104"/>
      <c r="ESD63" s="106"/>
      <c r="ESE63" s="175"/>
      <c r="ESF63" s="175"/>
      <c r="ESG63" s="175"/>
      <c r="ESH63" s="175"/>
      <c r="ESI63" s="176"/>
      <c r="ESJ63" s="104"/>
      <c r="ESK63" s="106"/>
      <c r="ESL63" s="175"/>
      <c r="ESM63" s="175"/>
      <c r="ESN63" s="175"/>
      <c r="ESO63" s="175"/>
      <c r="ESP63" s="176"/>
      <c r="ESQ63" s="104"/>
      <c r="ESR63" s="106"/>
      <c r="ESS63" s="175"/>
      <c r="EST63" s="175"/>
      <c r="ESU63" s="175"/>
      <c r="ESV63" s="175"/>
      <c r="ESW63" s="176"/>
      <c r="ESX63" s="104"/>
      <c r="ESY63" s="106"/>
      <c r="ESZ63" s="175"/>
      <c r="ETA63" s="175"/>
      <c r="ETB63" s="175"/>
      <c r="ETC63" s="175"/>
      <c r="ETD63" s="176"/>
      <c r="ETE63" s="104"/>
      <c r="ETF63" s="106"/>
      <c r="ETG63" s="175"/>
      <c r="ETH63" s="175"/>
      <c r="ETI63" s="175"/>
      <c r="ETJ63" s="175"/>
      <c r="ETK63" s="176"/>
      <c r="ETL63" s="104"/>
      <c r="ETM63" s="106"/>
      <c r="ETN63" s="175"/>
      <c r="ETO63" s="175"/>
      <c r="ETP63" s="175"/>
      <c r="ETQ63" s="175"/>
      <c r="ETR63" s="176"/>
      <c r="ETS63" s="104"/>
      <c r="ETT63" s="106"/>
      <c r="ETU63" s="175"/>
      <c r="ETV63" s="175"/>
      <c r="ETW63" s="175"/>
      <c r="ETX63" s="175"/>
      <c r="ETY63" s="176"/>
      <c r="ETZ63" s="104"/>
      <c r="EUA63" s="106"/>
      <c r="EUB63" s="175"/>
      <c r="EUC63" s="175"/>
      <c r="EUD63" s="175"/>
      <c r="EUE63" s="175"/>
      <c r="EUF63" s="176"/>
      <c r="EUG63" s="104"/>
      <c r="EUH63" s="106"/>
      <c r="EUI63" s="175"/>
      <c r="EUJ63" s="175"/>
      <c r="EUK63" s="175"/>
      <c r="EUL63" s="175"/>
      <c r="EUM63" s="176"/>
      <c r="EUN63" s="104"/>
      <c r="EUO63" s="106"/>
      <c r="EUP63" s="175"/>
      <c r="EUQ63" s="175"/>
      <c r="EUR63" s="175"/>
      <c r="EUS63" s="175"/>
      <c r="EUT63" s="176"/>
      <c r="EUU63" s="104"/>
      <c r="EUV63" s="106"/>
      <c r="EUW63" s="175"/>
      <c r="EUX63" s="175"/>
      <c r="EUY63" s="175"/>
      <c r="EUZ63" s="175"/>
      <c r="EVA63" s="176"/>
      <c r="EVB63" s="104"/>
      <c r="EVC63" s="106"/>
      <c r="EVD63" s="175"/>
      <c r="EVE63" s="175"/>
      <c r="EVF63" s="175"/>
      <c r="EVG63" s="175"/>
      <c r="EVH63" s="176"/>
      <c r="EVI63" s="104"/>
      <c r="EVJ63" s="106"/>
      <c r="EVK63" s="175"/>
      <c r="EVL63" s="175"/>
      <c r="EVM63" s="175"/>
      <c r="EVN63" s="175"/>
      <c r="EVO63" s="176"/>
      <c r="EVP63" s="104"/>
      <c r="EVQ63" s="106"/>
      <c r="EVR63" s="175"/>
      <c r="EVS63" s="175"/>
      <c r="EVT63" s="175"/>
      <c r="EVU63" s="175"/>
      <c r="EVV63" s="176"/>
      <c r="EVW63" s="104"/>
      <c r="EVX63" s="106"/>
      <c r="EVY63" s="175"/>
      <c r="EVZ63" s="175"/>
      <c r="EWA63" s="175"/>
      <c r="EWB63" s="175"/>
      <c r="EWC63" s="176"/>
      <c r="EWD63" s="104"/>
      <c r="EWE63" s="106"/>
      <c r="EWF63" s="175"/>
      <c r="EWG63" s="175"/>
      <c r="EWH63" s="175"/>
      <c r="EWI63" s="175"/>
      <c r="EWJ63" s="176"/>
      <c r="EWK63" s="104"/>
      <c r="EWL63" s="106"/>
      <c r="EWM63" s="175"/>
      <c r="EWN63" s="175"/>
      <c r="EWO63" s="175"/>
      <c r="EWP63" s="175"/>
      <c r="EWQ63" s="176"/>
      <c r="EWR63" s="104"/>
      <c r="EWS63" s="106"/>
      <c r="EWT63" s="175"/>
      <c r="EWU63" s="175"/>
      <c r="EWV63" s="175"/>
      <c r="EWW63" s="175"/>
      <c r="EWX63" s="176"/>
      <c r="EWY63" s="104"/>
      <c r="EWZ63" s="106"/>
      <c r="EXA63" s="175"/>
      <c r="EXB63" s="175"/>
      <c r="EXC63" s="175"/>
      <c r="EXD63" s="175"/>
      <c r="EXE63" s="176"/>
      <c r="EXF63" s="104"/>
      <c r="EXG63" s="106"/>
      <c r="EXH63" s="175"/>
      <c r="EXI63" s="175"/>
      <c r="EXJ63" s="175"/>
      <c r="EXK63" s="175"/>
      <c r="EXL63" s="176"/>
      <c r="EXM63" s="104"/>
      <c r="EXN63" s="106"/>
      <c r="EXO63" s="175"/>
      <c r="EXP63" s="175"/>
      <c r="EXQ63" s="175"/>
      <c r="EXR63" s="175"/>
      <c r="EXS63" s="176"/>
      <c r="EXT63" s="104"/>
      <c r="EXU63" s="106"/>
      <c r="EXV63" s="175"/>
      <c r="EXW63" s="175"/>
      <c r="EXX63" s="175"/>
      <c r="EXY63" s="175"/>
      <c r="EXZ63" s="176"/>
      <c r="EYA63" s="104"/>
      <c r="EYB63" s="106"/>
      <c r="EYC63" s="175"/>
      <c r="EYD63" s="175"/>
      <c r="EYE63" s="175"/>
      <c r="EYF63" s="175"/>
      <c r="EYG63" s="176"/>
      <c r="EYH63" s="104"/>
      <c r="EYI63" s="106"/>
      <c r="EYJ63" s="175"/>
      <c r="EYK63" s="175"/>
      <c r="EYL63" s="175"/>
      <c r="EYM63" s="175"/>
      <c r="EYN63" s="176"/>
      <c r="EYO63" s="104"/>
      <c r="EYP63" s="106"/>
      <c r="EYQ63" s="175"/>
      <c r="EYR63" s="175"/>
      <c r="EYS63" s="175"/>
      <c r="EYT63" s="175"/>
      <c r="EYU63" s="176"/>
      <c r="EYV63" s="104"/>
      <c r="EYW63" s="106"/>
      <c r="EYX63" s="175"/>
      <c r="EYY63" s="175"/>
      <c r="EYZ63" s="175"/>
      <c r="EZA63" s="175"/>
      <c r="EZB63" s="176"/>
      <c r="EZC63" s="104"/>
      <c r="EZD63" s="106"/>
      <c r="EZE63" s="175"/>
      <c r="EZF63" s="175"/>
      <c r="EZG63" s="175"/>
      <c r="EZH63" s="175"/>
      <c r="EZI63" s="176"/>
      <c r="EZJ63" s="104"/>
      <c r="EZK63" s="106"/>
      <c r="EZL63" s="175"/>
      <c r="EZM63" s="175"/>
      <c r="EZN63" s="175"/>
      <c r="EZO63" s="175"/>
      <c r="EZP63" s="176"/>
      <c r="EZQ63" s="104"/>
      <c r="EZR63" s="106"/>
      <c r="EZS63" s="175"/>
      <c r="EZT63" s="175"/>
      <c r="EZU63" s="175"/>
      <c r="EZV63" s="175"/>
      <c r="EZW63" s="176"/>
      <c r="EZX63" s="104"/>
      <c r="EZY63" s="106"/>
      <c r="EZZ63" s="175"/>
      <c r="FAA63" s="175"/>
      <c r="FAB63" s="175"/>
      <c r="FAC63" s="175"/>
      <c r="FAD63" s="176"/>
      <c r="FAE63" s="104"/>
      <c r="FAF63" s="106"/>
      <c r="FAG63" s="175"/>
      <c r="FAH63" s="175"/>
      <c r="FAI63" s="175"/>
      <c r="FAJ63" s="175"/>
      <c r="FAK63" s="176"/>
      <c r="FAL63" s="104"/>
      <c r="FAM63" s="106"/>
      <c r="FAN63" s="175"/>
      <c r="FAO63" s="175"/>
      <c r="FAP63" s="175"/>
      <c r="FAQ63" s="175"/>
      <c r="FAR63" s="176"/>
      <c r="FAS63" s="104"/>
      <c r="FAT63" s="106"/>
      <c r="FAU63" s="175"/>
      <c r="FAV63" s="175"/>
      <c r="FAW63" s="175"/>
      <c r="FAX63" s="175"/>
      <c r="FAY63" s="176"/>
      <c r="FAZ63" s="104"/>
      <c r="FBA63" s="106"/>
      <c r="FBB63" s="175"/>
      <c r="FBC63" s="175"/>
      <c r="FBD63" s="175"/>
      <c r="FBE63" s="175"/>
      <c r="FBF63" s="176"/>
      <c r="FBG63" s="104"/>
      <c r="FBH63" s="106"/>
      <c r="FBI63" s="175"/>
      <c r="FBJ63" s="175"/>
      <c r="FBK63" s="175"/>
      <c r="FBL63" s="175"/>
      <c r="FBM63" s="176"/>
      <c r="FBN63" s="104"/>
      <c r="FBO63" s="106"/>
      <c r="FBP63" s="175"/>
      <c r="FBQ63" s="175"/>
      <c r="FBR63" s="175"/>
      <c r="FBS63" s="175"/>
      <c r="FBT63" s="176"/>
      <c r="FBU63" s="104"/>
      <c r="FBV63" s="106"/>
      <c r="FBW63" s="175"/>
      <c r="FBX63" s="175"/>
      <c r="FBY63" s="175"/>
      <c r="FBZ63" s="175"/>
      <c r="FCA63" s="176"/>
      <c r="FCB63" s="104"/>
      <c r="FCC63" s="106"/>
      <c r="FCD63" s="175"/>
      <c r="FCE63" s="175"/>
      <c r="FCF63" s="175"/>
      <c r="FCG63" s="175"/>
      <c r="FCH63" s="176"/>
      <c r="FCI63" s="104"/>
      <c r="FCJ63" s="106"/>
      <c r="FCK63" s="175"/>
      <c r="FCL63" s="175"/>
      <c r="FCM63" s="175"/>
      <c r="FCN63" s="175"/>
      <c r="FCO63" s="176"/>
      <c r="FCP63" s="104"/>
      <c r="FCQ63" s="106"/>
      <c r="FCR63" s="175"/>
      <c r="FCS63" s="175"/>
      <c r="FCT63" s="175"/>
      <c r="FCU63" s="175"/>
      <c r="FCV63" s="176"/>
      <c r="FCW63" s="104"/>
      <c r="FCX63" s="106"/>
      <c r="FCY63" s="175"/>
      <c r="FCZ63" s="175"/>
      <c r="FDA63" s="175"/>
      <c r="FDB63" s="175"/>
      <c r="FDC63" s="176"/>
      <c r="FDD63" s="104"/>
      <c r="FDE63" s="106"/>
      <c r="FDF63" s="175"/>
      <c r="FDG63" s="175"/>
      <c r="FDH63" s="175"/>
      <c r="FDI63" s="175"/>
      <c r="FDJ63" s="176"/>
      <c r="FDK63" s="104"/>
      <c r="FDL63" s="106"/>
      <c r="FDM63" s="175"/>
      <c r="FDN63" s="175"/>
      <c r="FDO63" s="175"/>
      <c r="FDP63" s="175"/>
      <c r="FDQ63" s="176"/>
      <c r="FDR63" s="104"/>
      <c r="FDS63" s="106"/>
      <c r="FDT63" s="175"/>
      <c r="FDU63" s="175"/>
      <c r="FDV63" s="175"/>
      <c r="FDW63" s="175"/>
      <c r="FDX63" s="176"/>
      <c r="FDY63" s="104"/>
      <c r="FDZ63" s="106"/>
      <c r="FEA63" s="175"/>
      <c r="FEB63" s="175"/>
      <c r="FEC63" s="175"/>
      <c r="FED63" s="175"/>
      <c r="FEE63" s="176"/>
      <c r="FEF63" s="104"/>
      <c r="FEG63" s="106"/>
      <c r="FEH63" s="175"/>
      <c r="FEI63" s="175"/>
      <c r="FEJ63" s="175"/>
      <c r="FEK63" s="175"/>
      <c r="FEL63" s="176"/>
      <c r="FEM63" s="104"/>
      <c r="FEN63" s="106"/>
      <c r="FEO63" s="175"/>
      <c r="FEP63" s="175"/>
      <c r="FEQ63" s="175"/>
      <c r="FER63" s="175"/>
      <c r="FES63" s="176"/>
      <c r="FET63" s="104"/>
      <c r="FEU63" s="106"/>
      <c r="FEV63" s="175"/>
      <c r="FEW63" s="175"/>
      <c r="FEX63" s="175"/>
      <c r="FEY63" s="175"/>
      <c r="FEZ63" s="176"/>
      <c r="FFA63" s="104"/>
      <c r="FFB63" s="106"/>
      <c r="FFC63" s="175"/>
      <c r="FFD63" s="175"/>
      <c r="FFE63" s="175"/>
      <c r="FFF63" s="175"/>
      <c r="FFG63" s="176"/>
      <c r="FFH63" s="104"/>
      <c r="FFI63" s="106"/>
      <c r="FFJ63" s="175"/>
      <c r="FFK63" s="175"/>
      <c r="FFL63" s="175"/>
      <c r="FFM63" s="175"/>
      <c r="FFN63" s="176"/>
      <c r="FFO63" s="104"/>
      <c r="FFP63" s="106"/>
      <c r="FFQ63" s="175"/>
      <c r="FFR63" s="175"/>
      <c r="FFS63" s="175"/>
      <c r="FFT63" s="175"/>
      <c r="FFU63" s="176"/>
      <c r="FFV63" s="104"/>
      <c r="FFW63" s="106"/>
      <c r="FFX63" s="175"/>
      <c r="FFY63" s="175"/>
      <c r="FFZ63" s="175"/>
      <c r="FGA63" s="175"/>
      <c r="FGB63" s="176"/>
      <c r="FGC63" s="104"/>
      <c r="FGD63" s="106"/>
      <c r="FGE63" s="175"/>
      <c r="FGF63" s="175"/>
      <c r="FGG63" s="175"/>
      <c r="FGH63" s="175"/>
      <c r="FGI63" s="176"/>
      <c r="FGJ63" s="104"/>
      <c r="FGK63" s="106"/>
      <c r="FGL63" s="175"/>
      <c r="FGM63" s="175"/>
      <c r="FGN63" s="175"/>
      <c r="FGO63" s="175"/>
      <c r="FGP63" s="176"/>
      <c r="FGQ63" s="104"/>
      <c r="FGR63" s="106"/>
      <c r="FGS63" s="175"/>
      <c r="FGT63" s="175"/>
      <c r="FGU63" s="175"/>
      <c r="FGV63" s="175"/>
      <c r="FGW63" s="176"/>
      <c r="FGX63" s="104"/>
      <c r="FGY63" s="106"/>
      <c r="FGZ63" s="175"/>
      <c r="FHA63" s="175"/>
      <c r="FHB63" s="175"/>
      <c r="FHC63" s="175"/>
      <c r="FHD63" s="176"/>
      <c r="FHE63" s="104"/>
      <c r="FHF63" s="106"/>
      <c r="FHG63" s="175"/>
      <c r="FHH63" s="175"/>
      <c r="FHI63" s="175"/>
      <c r="FHJ63" s="175"/>
      <c r="FHK63" s="176"/>
      <c r="FHL63" s="104"/>
      <c r="FHM63" s="106"/>
      <c r="FHN63" s="175"/>
      <c r="FHO63" s="175"/>
      <c r="FHP63" s="175"/>
      <c r="FHQ63" s="175"/>
      <c r="FHR63" s="176"/>
      <c r="FHS63" s="104"/>
      <c r="FHT63" s="106"/>
      <c r="FHU63" s="175"/>
      <c r="FHV63" s="175"/>
      <c r="FHW63" s="175"/>
      <c r="FHX63" s="175"/>
      <c r="FHY63" s="176"/>
      <c r="FHZ63" s="104"/>
      <c r="FIA63" s="106"/>
      <c r="FIB63" s="175"/>
      <c r="FIC63" s="175"/>
      <c r="FID63" s="175"/>
      <c r="FIE63" s="175"/>
      <c r="FIF63" s="176"/>
      <c r="FIG63" s="104"/>
      <c r="FIH63" s="106"/>
      <c r="FII63" s="175"/>
      <c r="FIJ63" s="175"/>
      <c r="FIK63" s="175"/>
      <c r="FIL63" s="175"/>
      <c r="FIM63" s="176"/>
      <c r="FIN63" s="104"/>
      <c r="FIO63" s="106"/>
      <c r="FIP63" s="175"/>
      <c r="FIQ63" s="175"/>
      <c r="FIR63" s="175"/>
      <c r="FIS63" s="175"/>
      <c r="FIT63" s="176"/>
      <c r="FIU63" s="104"/>
      <c r="FIV63" s="106"/>
      <c r="FIW63" s="175"/>
      <c r="FIX63" s="175"/>
      <c r="FIY63" s="175"/>
      <c r="FIZ63" s="175"/>
      <c r="FJA63" s="176"/>
      <c r="FJB63" s="104"/>
      <c r="FJC63" s="106"/>
      <c r="FJD63" s="175"/>
      <c r="FJE63" s="175"/>
      <c r="FJF63" s="175"/>
      <c r="FJG63" s="175"/>
      <c r="FJH63" s="176"/>
      <c r="FJI63" s="104"/>
      <c r="FJJ63" s="106"/>
      <c r="FJK63" s="175"/>
      <c r="FJL63" s="175"/>
      <c r="FJM63" s="175"/>
      <c r="FJN63" s="175"/>
      <c r="FJO63" s="176"/>
      <c r="FJP63" s="104"/>
      <c r="FJQ63" s="106"/>
      <c r="FJR63" s="175"/>
      <c r="FJS63" s="175"/>
      <c r="FJT63" s="175"/>
      <c r="FJU63" s="175"/>
      <c r="FJV63" s="176"/>
      <c r="FJW63" s="104"/>
      <c r="FJX63" s="106"/>
      <c r="FJY63" s="175"/>
      <c r="FJZ63" s="175"/>
      <c r="FKA63" s="175"/>
      <c r="FKB63" s="175"/>
      <c r="FKC63" s="176"/>
      <c r="FKD63" s="104"/>
      <c r="FKE63" s="106"/>
      <c r="FKF63" s="175"/>
      <c r="FKG63" s="175"/>
      <c r="FKH63" s="175"/>
      <c r="FKI63" s="175"/>
      <c r="FKJ63" s="176"/>
      <c r="FKK63" s="104"/>
      <c r="FKL63" s="106"/>
      <c r="FKM63" s="175"/>
      <c r="FKN63" s="175"/>
      <c r="FKO63" s="175"/>
      <c r="FKP63" s="175"/>
      <c r="FKQ63" s="176"/>
      <c r="FKR63" s="104"/>
      <c r="FKS63" s="106"/>
      <c r="FKT63" s="175"/>
      <c r="FKU63" s="175"/>
      <c r="FKV63" s="175"/>
      <c r="FKW63" s="175"/>
      <c r="FKX63" s="176"/>
      <c r="FKY63" s="104"/>
      <c r="FKZ63" s="106"/>
      <c r="FLA63" s="175"/>
      <c r="FLB63" s="175"/>
      <c r="FLC63" s="175"/>
      <c r="FLD63" s="175"/>
      <c r="FLE63" s="176"/>
      <c r="FLF63" s="104"/>
      <c r="FLG63" s="106"/>
      <c r="FLH63" s="175"/>
      <c r="FLI63" s="175"/>
      <c r="FLJ63" s="175"/>
      <c r="FLK63" s="175"/>
      <c r="FLL63" s="176"/>
      <c r="FLM63" s="104"/>
      <c r="FLN63" s="106"/>
      <c r="FLO63" s="175"/>
      <c r="FLP63" s="175"/>
      <c r="FLQ63" s="175"/>
      <c r="FLR63" s="175"/>
      <c r="FLS63" s="176"/>
      <c r="FLT63" s="104"/>
      <c r="FLU63" s="106"/>
      <c r="FLV63" s="175"/>
      <c r="FLW63" s="175"/>
      <c r="FLX63" s="175"/>
      <c r="FLY63" s="175"/>
      <c r="FLZ63" s="176"/>
      <c r="FMA63" s="104"/>
      <c r="FMB63" s="106"/>
      <c r="FMC63" s="175"/>
      <c r="FMD63" s="175"/>
      <c r="FME63" s="175"/>
      <c r="FMF63" s="175"/>
      <c r="FMG63" s="176"/>
      <c r="FMH63" s="104"/>
      <c r="FMI63" s="106"/>
      <c r="FMJ63" s="175"/>
      <c r="FMK63" s="175"/>
      <c r="FML63" s="175"/>
      <c r="FMM63" s="175"/>
      <c r="FMN63" s="176"/>
      <c r="FMO63" s="104"/>
      <c r="FMP63" s="106"/>
      <c r="FMQ63" s="175"/>
      <c r="FMR63" s="175"/>
      <c r="FMS63" s="175"/>
      <c r="FMT63" s="175"/>
      <c r="FMU63" s="176"/>
      <c r="FMV63" s="104"/>
      <c r="FMW63" s="106"/>
      <c r="FMX63" s="175"/>
      <c r="FMY63" s="175"/>
      <c r="FMZ63" s="175"/>
      <c r="FNA63" s="175"/>
      <c r="FNB63" s="176"/>
      <c r="FNC63" s="104"/>
      <c r="FND63" s="106"/>
      <c r="FNE63" s="175"/>
      <c r="FNF63" s="175"/>
      <c r="FNG63" s="175"/>
      <c r="FNH63" s="175"/>
      <c r="FNI63" s="176"/>
      <c r="FNJ63" s="104"/>
      <c r="FNK63" s="106"/>
      <c r="FNL63" s="175"/>
      <c r="FNM63" s="175"/>
      <c r="FNN63" s="175"/>
      <c r="FNO63" s="175"/>
      <c r="FNP63" s="176"/>
      <c r="FNQ63" s="104"/>
      <c r="FNR63" s="106"/>
      <c r="FNS63" s="175"/>
      <c r="FNT63" s="175"/>
      <c r="FNU63" s="175"/>
      <c r="FNV63" s="175"/>
      <c r="FNW63" s="176"/>
      <c r="FNX63" s="104"/>
      <c r="FNY63" s="106"/>
      <c r="FNZ63" s="175"/>
      <c r="FOA63" s="175"/>
      <c r="FOB63" s="175"/>
      <c r="FOC63" s="175"/>
      <c r="FOD63" s="176"/>
      <c r="FOE63" s="104"/>
      <c r="FOF63" s="106"/>
      <c r="FOG63" s="175"/>
      <c r="FOH63" s="175"/>
      <c r="FOI63" s="175"/>
      <c r="FOJ63" s="175"/>
      <c r="FOK63" s="176"/>
      <c r="FOL63" s="104"/>
      <c r="FOM63" s="106"/>
      <c r="FON63" s="175"/>
      <c r="FOO63" s="175"/>
      <c r="FOP63" s="175"/>
      <c r="FOQ63" s="175"/>
      <c r="FOR63" s="176"/>
      <c r="FOS63" s="104"/>
      <c r="FOT63" s="106"/>
      <c r="FOU63" s="175"/>
      <c r="FOV63" s="175"/>
      <c r="FOW63" s="175"/>
      <c r="FOX63" s="175"/>
      <c r="FOY63" s="176"/>
      <c r="FOZ63" s="104"/>
      <c r="FPA63" s="106"/>
      <c r="FPB63" s="175"/>
      <c r="FPC63" s="175"/>
      <c r="FPD63" s="175"/>
      <c r="FPE63" s="175"/>
      <c r="FPF63" s="176"/>
      <c r="FPG63" s="104"/>
      <c r="FPH63" s="106"/>
      <c r="FPI63" s="175"/>
      <c r="FPJ63" s="175"/>
      <c r="FPK63" s="175"/>
      <c r="FPL63" s="175"/>
      <c r="FPM63" s="176"/>
      <c r="FPN63" s="104"/>
      <c r="FPO63" s="106"/>
      <c r="FPP63" s="175"/>
      <c r="FPQ63" s="175"/>
      <c r="FPR63" s="175"/>
      <c r="FPS63" s="175"/>
      <c r="FPT63" s="176"/>
      <c r="FPU63" s="104"/>
      <c r="FPV63" s="106"/>
      <c r="FPW63" s="175"/>
      <c r="FPX63" s="175"/>
      <c r="FPY63" s="175"/>
      <c r="FPZ63" s="175"/>
      <c r="FQA63" s="176"/>
      <c r="FQB63" s="104"/>
      <c r="FQC63" s="106"/>
      <c r="FQD63" s="175"/>
      <c r="FQE63" s="175"/>
      <c r="FQF63" s="175"/>
      <c r="FQG63" s="175"/>
      <c r="FQH63" s="176"/>
      <c r="FQI63" s="104"/>
      <c r="FQJ63" s="106"/>
      <c r="FQK63" s="175"/>
      <c r="FQL63" s="175"/>
      <c r="FQM63" s="175"/>
      <c r="FQN63" s="175"/>
      <c r="FQO63" s="176"/>
      <c r="FQP63" s="104"/>
      <c r="FQQ63" s="106"/>
      <c r="FQR63" s="175"/>
      <c r="FQS63" s="175"/>
      <c r="FQT63" s="175"/>
      <c r="FQU63" s="175"/>
      <c r="FQV63" s="176"/>
      <c r="FQW63" s="104"/>
      <c r="FQX63" s="106"/>
      <c r="FQY63" s="175"/>
      <c r="FQZ63" s="175"/>
      <c r="FRA63" s="175"/>
      <c r="FRB63" s="175"/>
      <c r="FRC63" s="176"/>
      <c r="FRD63" s="104"/>
      <c r="FRE63" s="106"/>
      <c r="FRF63" s="175"/>
      <c r="FRG63" s="175"/>
      <c r="FRH63" s="175"/>
      <c r="FRI63" s="175"/>
      <c r="FRJ63" s="176"/>
      <c r="FRK63" s="104"/>
      <c r="FRL63" s="106"/>
      <c r="FRM63" s="175"/>
      <c r="FRN63" s="175"/>
      <c r="FRO63" s="175"/>
      <c r="FRP63" s="175"/>
      <c r="FRQ63" s="176"/>
      <c r="FRR63" s="104"/>
      <c r="FRS63" s="106"/>
      <c r="FRT63" s="175"/>
      <c r="FRU63" s="175"/>
      <c r="FRV63" s="175"/>
      <c r="FRW63" s="175"/>
      <c r="FRX63" s="176"/>
      <c r="FRY63" s="104"/>
      <c r="FRZ63" s="106"/>
      <c r="FSA63" s="175"/>
      <c r="FSB63" s="175"/>
      <c r="FSC63" s="175"/>
      <c r="FSD63" s="175"/>
      <c r="FSE63" s="176"/>
      <c r="FSF63" s="104"/>
      <c r="FSG63" s="106"/>
      <c r="FSH63" s="175"/>
      <c r="FSI63" s="175"/>
      <c r="FSJ63" s="175"/>
      <c r="FSK63" s="175"/>
      <c r="FSL63" s="176"/>
      <c r="FSM63" s="104"/>
      <c r="FSN63" s="106"/>
      <c r="FSO63" s="175"/>
      <c r="FSP63" s="175"/>
      <c r="FSQ63" s="175"/>
      <c r="FSR63" s="175"/>
      <c r="FSS63" s="176"/>
      <c r="FST63" s="104"/>
      <c r="FSU63" s="106"/>
      <c r="FSV63" s="175"/>
      <c r="FSW63" s="175"/>
      <c r="FSX63" s="175"/>
      <c r="FSY63" s="175"/>
      <c r="FSZ63" s="176"/>
      <c r="FTA63" s="104"/>
      <c r="FTB63" s="106"/>
      <c r="FTC63" s="175"/>
      <c r="FTD63" s="175"/>
      <c r="FTE63" s="175"/>
      <c r="FTF63" s="175"/>
      <c r="FTG63" s="176"/>
      <c r="FTH63" s="104"/>
      <c r="FTI63" s="106"/>
      <c r="FTJ63" s="175"/>
      <c r="FTK63" s="175"/>
      <c r="FTL63" s="175"/>
      <c r="FTM63" s="175"/>
      <c r="FTN63" s="176"/>
      <c r="FTO63" s="104"/>
      <c r="FTP63" s="106"/>
      <c r="FTQ63" s="175"/>
      <c r="FTR63" s="175"/>
      <c r="FTS63" s="175"/>
      <c r="FTT63" s="175"/>
      <c r="FTU63" s="176"/>
      <c r="FTV63" s="104"/>
      <c r="FTW63" s="106"/>
      <c r="FTX63" s="175"/>
      <c r="FTY63" s="175"/>
      <c r="FTZ63" s="175"/>
      <c r="FUA63" s="175"/>
      <c r="FUB63" s="176"/>
      <c r="FUC63" s="104"/>
      <c r="FUD63" s="106"/>
      <c r="FUE63" s="175"/>
      <c r="FUF63" s="175"/>
      <c r="FUG63" s="175"/>
      <c r="FUH63" s="175"/>
      <c r="FUI63" s="176"/>
      <c r="FUJ63" s="104"/>
      <c r="FUK63" s="106"/>
      <c r="FUL63" s="175"/>
      <c r="FUM63" s="175"/>
      <c r="FUN63" s="175"/>
      <c r="FUO63" s="175"/>
      <c r="FUP63" s="176"/>
      <c r="FUQ63" s="104"/>
      <c r="FUR63" s="106"/>
      <c r="FUS63" s="175"/>
      <c r="FUT63" s="175"/>
      <c r="FUU63" s="175"/>
      <c r="FUV63" s="175"/>
      <c r="FUW63" s="176"/>
      <c r="FUX63" s="104"/>
      <c r="FUY63" s="106"/>
      <c r="FUZ63" s="175"/>
      <c r="FVA63" s="175"/>
      <c r="FVB63" s="175"/>
      <c r="FVC63" s="175"/>
      <c r="FVD63" s="176"/>
      <c r="FVE63" s="104"/>
      <c r="FVF63" s="106"/>
      <c r="FVG63" s="175"/>
      <c r="FVH63" s="175"/>
      <c r="FVI63" s="175"/>
      <c r="FVJ63" s="175"/>
      <c r="FVK63" s="176"/>
      <c r="FVL63" s="104"/>
      <c r="FVM63" s="106"/>
      <c r="FVN63" s="175"/>
      <c r="FVO63" s="175"/>
      <c r="FVP63" s="175"/>
      <c r="FVQ63" s="175"/>
      <c r="FVR63" s="176"/>
      <c r="FVS63" s="104"/>
      <c r="FVT63" s="106"/>
      <c r="FVU63" s="175"/>
      <c r="FVV63" s="175"/>
      <c r="FVW63" s="175"/>
      <c r="FVX63" s="175"/>
      <c r="FVY63" s="176"/>
      <c r="FVZ63" s="104"/>
      <c r="FWA63" s="106"/>
      <c r="FWB63" s="175"/>
      <c r="FWC63" s="175"/>
      <c r="FWD63" s="175"/>
      <c r="FWE63" s="175"/>
      <c r="FWF63" s="176"/>
      <c r="FWG63" s="104"/>
      <c r="FWH63" s="106"/>
      <c r="FWI63" s="175"/>
      <c r="FWJ63" s="175"/>
      <c r="FWK63" s="175"/>
      <c r="FWL63" s="175"/>
      <c r="FWM63" s="176"/>
      <c r="FWN63" s="104"/>
      <c r="FWO63" s="106"/>
      <c r="FWP63" s="175"/>
      <c r="FWQ63" s="175"/>
      <c r="FWR63" s="175"/>
      <c r="FWS63" s="175"/>
      <c r="FWT63" s="176"/>
      <c r="FWU63" s="104"/>
      <c r="FWV63" s="106"/>
      <c r="FWW63" s="175"/>
      <c r="FWX63" s="175"/>
      <c r="FWY63" s="175"/>
      <c r="FWZ63" s="175"/>
      <c r="FXA63" s="176"/>
      <c r="FXB63" s="104"/>
      <c r="FXC63" s="106"/>
      <c r="FXD63" s="175"/>
      <c r="FXE63" s="175"/>
      <c r="FXF63" s="175"/>
      <c r="FXG63" s="175"/>
      <c r="FXH63" s="176"/>
      <c r="FXI63" s="104"/>
      <c r="FXJ63" s="106"/>
      <c r="FXK63" s="175"/>
      <c r="FXL63" s="175"/>
      <c r="FXM63" s="175"/>
      <c r="FXN63" s="175"/>
      <c r="FXO63" s="176"/>
      <c r="FXP63" s="104"/>
      <c r="FXQ63" s="106"/>
      <c r="FXR63" s="175"/>
      <c r="FXS63" s="175"/>
      <c r="FXT63" s="175"/>
      <c r="FXU63" s="175"/>
      <c r="FXV63" s="176"/>
      <c r="FXW63" s="104"/>
      <c r="FXX63" s="106"/>
      <c r="FXY63" s="175"/>
      <c r="FXZ63" s="175"/>
      <c r="FYA63" s="175"/>
      <c r="FYB63" s="175"/>
      <c r="FYC63" s="176"/>
      <c r="FYD63" s="104"/>
      <c r="FYE63" s="106"/>
      <c r="FYF63" s="175"/>
      <c r="FYG63" s="175"/>
      <c r="FYH63" s="175"/>
      <c r="FYI63" s="175"/>
      <c r="FYJ63" s="176"/>
      <c r="FYK63" s="104"/>
      <c r="FYL63" s="106"/>
      <c r="FYM63" s="175"/>
      <c r="FYN63" s="175"/>
      <c r="FYO63" s="175"/>
      <c r="FYP63" s="175"/>
      <c r="FYQ63" s="176"/>
      <c r="FYR63" s="104"/>
      <c r="FYS63" s="106"/>
      <c r="FYT63" s="175"/>
      <c r="FYU63" s="175"/>
      <c r="FYV63" s="175"/>
      <c r="FYW63" s="175"/>
      <c r="FYX63" s="176"/>
      <c r="FYY63" s="104"/>
      <c r="FYZ63" s="106"/>
      <c r="FZA63" s="175"/>
      <c r="FZB63" s="175"/>
      <c r="FZC63" s="175"/>
      <c r="FZD63" s="175"/>
      <c r="FZE63" s="176"/>
      <c r="FZF63" s="104"/>
      <c r="FZG63" s="106"/>
      <c r="FZH63" s="175"/>
      <c r="FZI63" s="175"/>
      <c r="FZJ63" s="175"/>
      <c r="FZK63" s="175"/>
      <c r="FZL63" s="176"/>
      <c r="FZM63" s="104"/>
      <c r="FZN63" s="106"/>
      <c r="FZO63" s="175"/>
      <c r="FZP63" s="175"/>
      <c r="FZQ63" s="175"/>
      <c r="FZR63" s="175"/>
      <c r="FZS63" s="176"/>
      <c r="FZT63" s="104"/>
      <c r="FZU63" s="106"/>
      <c r="FZV63" s="175"/>
      <c r="FZW63" s="175"/>
      <c r="FZX63" s="175"/>
      <c r="FZY63" s="175"/>
      <c r="FZZ63" s="176"/>
      <c r="GAA63" s="104"/>
      <c r="GAB63" s="106"/>
      <c r="GAC63" s="175"/>
      <c r="GAD63" s="175"/>
      <c r="GAE63" s="175"/>
      <c r="GAF63" s="175"/>
      <c r="GAG63" s="176"/>
      <c r="GAH63" s="104"/>
      <c r="GAI63" s="106"/>
      <c r="GAJ63" s="175"/>
      <c r="GAK63" s="175"/>
      <c r="GAL63" s="175"/>
      <c r="GAM63" s="175"/>
      <c r="GAN63" s="176"/>
      <c r="GAO63" s="104"/>
      <c r="GAP63" s="106"/>
      <c r="GAQ63" s="175"/>
      <c r="GAR63" s="175"/>
      <c r="GAS63" s="175"/>
      <c r="GAT63" s="175"/>
      <c r="GAU63" s="176"/>
      <c r="GAV63" s="104"/>
      <c r="GAW63" s="106"/>
      <c r="GAX63" s="175"/>
      <c r="GAY63" s="175"/>
      <c r="GAZ63" s="175"/>
      <c r="GBA63" s="175"/>
      <c r="GBB63" s="176"/>
      <c r="GBC63" s="104"/>
      <c r="GBD63" s="106"/>
      <c r="GBE63" s="175"/>
      <c r="GBF63" s="175"/>
      <c r="GBG63" s="175"/>
      <c r="GBH63" s="175"/>
      <c r="GBI63" s="176"/>
      <c r="GBJ63" s="104"/>
      <c r="GBK63" s="106"/>
      <c r="GBL63" s="175"/>
      <c r="GBM63" s="175"/>
      <c r="GBN63" s="175"/>
      <c r="GBO63" s="175"/>
      <c r="GBP63" s="176"/>
      <c r="GBQ63" s="104"/>
      <c r="GBR63" s="106"/>
      <c r="GBS63" s="175"/>
      <c r="GBT63" s="175"/>
      <c r="GBU63" s="175"/>
      <c r="GBV63" s="175"/>
      <c r="GBW63" s="176"/>
      <c r="GBX63" s="104"/>
      <c r="GBY63" s="106"/>
      <c r="GBZ63" s="175"/>
      <c r="GCA63" s="175"/>
      <c r="GCB63" s="175"/>
      <c r="GCC63" s="175"/>
      <c r="GCD63" s="176"/>
      <c r="GCE63" s="104"/>
      <c r="GCF63" s="106"/>
      <c r="GCG63" s="175"/>
      <c r="GCH63" s="175"/>
      <c r="GCI63" s="175"/>
      <c r="GCJ63" s="175"/>
      <c r="GCK63" s="176"/>
      <c r="GCL63" s="104"/>
      <c r="GCM63" s="106"/>
      <c r="GCN63" s="175"/>
      <c r="GCO63" s="175"/>
      <c r="GCP63" s="175"/>
      <c r="GCQ63" s="175"/>
      <c r="GCR63" s="176"/>
      <c r="GCS63" s="104"/>
      <c r="GCT63" s="106"/>
      <c r="GCU63" s="175"/>
      <c r="GCV63" s="175"/>
      <c r="GCW63" s="175"/>
      <c r="GCX63" s="175"/>
      <c r="GCY63" s="176"/>
      <c r="GCZ63" s="104"/>
      <c r="GDA63" s="106"/>
      <c r="GDB63" s="175"/>
      <c r="GDC63" s="175"/>
      <c r="GDD63" s="175"/>
      <c r="GDE63" s="175"/>
      <c r="GDF63" s="176"/>
      <c r="GDG63" s="104"/>
      <c r="GDH63" s="106"/>
      <c r="GDI63" s="175"/>
      <c r="GDJ63" s="175"/>
      <c r="GDK63" s="175"/>
      <c r="GDL63" s="175"/>
      <c r="GDM63" s="176"/>
      <c r="GDN63" s="104"/>
      <c r="GDO63" s="106"/>
      <c r="GDP63" s="175"/>
      <c r="GDQ63" s="175"/>
      <c r="GDR63" s="175"/>
      <c r="GDS63" s="175"/>
      <c r="GDT63" s="176"/>
      <c r="GDU63" s="104"/>
      <c r="GDV63" s="106"/>
      <c r="GDW63" s="175"/>
      <c r="GDX63" s="175"/>
      <c r="GDY63" s="175"/>
      <c r="GDZ63" s="175"/>
      <c r="GEA63" s="176"/>
      <c r="GEB63" s="104"/>
      <c r="GEC63" s="106"/>
      <c r="GED63" s="175"/>
      <c r="GEE63" s="175"/>
      <c r="GEF63" s="175"/>
      <c r="GEG63" s="175"/>
      <c r="GEH63" s="176"/>
      <c r="GEI63" s="104"/>
      <c r="GEJ63" s="106"/>
      <c r="GEK63" s="175"/>
      <c r="GEL63" s="175"/>
      <c r="GEM63" s="175"/>
      <c r="GEN63" s="175"/>
      <c r="GEO63" s="176"/>
      <c r="GEP63" s="104"/>
      <c r="GEQ63" s="106"/>
      <c r="GER63" s="175"/>
      <c r="GES63" s="175"/>
      <c r="GET63" s="175"/>
      <c r="GEU63" s="175"/>
      <c r="GEV63" s="176"/>
      <c r="GEW63" s="104"/>
      <c r="GEX63" s="106"/>
      <c r="GEY63" s="175"/>
      <c r="GEZ63" s="175"/>
      <c r="GFA63" s="175"/>
      <c r="GFB63" s="175"/>
      <c r="GFC63" s="176"/>
      <c r="GFD63" s="104"/>
      <c r="GFE63" s="106"/>
      <c r="GFF63" s="175"/>
      <c r="GFG63" s="175"/>
      <c r="GFH63" s="175"/>
      <c r="GFI63" s="175"/>
      <c r="GFJ63" s="176"/>
      <c r="GFK63" s="104"/>
      <c r="GFL63" s="106"/>
      <c r="GFM63" s="175"/>
      <c r="GFN63" s="175"/>
      <c r="GFO63" s="175"/>
      <c r="GFP63" s="175"/>
      <c r="GFQ63" s="176"/>
      <c r="GFR63" s="104"/>
      <c r="GFS63" s="106"/>
      <c r="GFT63" s="175"/>
      <c r="GFU63" s="175"/>
      <c r="GFV63" s="175"/>
      <c r="GFW63" s="175"/>
      <c r="GFX63" s="176"/>
      <c r="GFY63" s="104"/>
      <c r="GFZ63" s="106"/>
      <c r="GGA63" s="175"/>
      <c r="GGB63" s="175"/>
      <c r="GGC63" s="175"/>
      <c r="GGD63" s="175"/>
      <c r="GGE63" s="176"/>
      <c r="GGF63" s="104"/>
      <c r="GGG63" s="106"/>
      <c r="GGH63" s="175"/>
      <c r="GGI63" s="175"/>
      <c r="GGJ63" s="175"/>
      <c r="GGK63" s="175"/>
      <c r="GGL63" s="176"/>
      <c r="GGM63" s="104"/>
      <c r="GGN63" s="106"/>
      <c r="GGO63" s="175"/>
      <c r="GGP63" s="175"/>
      <c r="GGQ63" s="175"/>
      <c r="GGR63" s="175"/>
      <c r="GGS63" s="176"/>
      <c r="GGT63" s="104"/>
      <c r="GGU63" s="106"/>
      <c r="GGV63" s="175"/>
      <c r="GGW63" s="175"/>
      <c r="GGX63" s="175"/>
      <c r="GGY63" s="175"/>
      <c r="GGZ63" s="176"/>
      <c r="GHA63" s="104"/>
      <c r="GHB63" s="106"/>
      <c r="GHC63" s="175"/>
      <c r="GHD63" s="175"/>
      <c r="GHE63" s="175"/>
      <c r="GHF63" s="175"/>
      <c r="GHG63" s="176"/>
      <c r="GHH63" s="104"/>
      <c r="GHI63" s="106"/>
      <c r="GHJ63" s="175"/>
      <c r="GHK63" s="175"/>
      <c r="GHL63" s="175"/>
      <c r="GHM63" s="175"/>
      <c r="GHN63" s="176"/>
      <c r="GHO63" s="104"/>
      <c r="GHP63" s="106"/>
      <c r="GHQ63" s="175"/>
      <c r="GHR63" s="175"/>
      <c r="GHS63" s="175"/>
      <c r="GHT63" s="175"/>
      <c r="GHU63" s="176"/>
      <c r="GHV63" s="104"/>
      <c r="GHW63" s="106"/>
      <c r="GHX63" s="175"/>
      <c r="GHY63" s="175"/>
      <c r="GHZ63" s="175"/>
      <c r="GIA63" s="175"/>
      <c r="GIB63" s="176"/>
      <c r="GIC63" s="104"/>
      <c r="GID63" s="106"/>
      <c r="GIE63" s="175"/>
      <c r="GIF63" s="175"/>
      <c r="GIG63" s="175"/>
      <c r="GIH63" s="175"/>
      <c r="GII63" s="176"/>
      <c r="GIJ63" s="104"/>
      <c r="GIK63" s="106"/>
      <c r="GIL63" s="175"/>
      <c r="GIM63" s="175"/>
      <c r="GIN63" s="175"/>
      <c r="GIO63" s="175"/>
      <c r="GIP63" s="176"/>
      <c r="GIQ63" s="104"/>
      <c r="GIR63" s="106"/>
      <c r="GIS63" s="175"/>
      <c r="GIT63" s="175"/>
      <c r="GIU63" s="175"/>
      <c r="GIV63" s="175"/>
      <c r="GIW63" s="176"/>
      <c r="GIX63" s="104"/>
      <c r="GIY63" s="106"/>
      <c r="GIZ63" s="175"/>
      <c r="GJA63" s="175"/>
      <c r="GJB63" s="175"/>
      <c r="GJC63" s="175"/>
      <c r="GJD63" s="176"/>
      <c r="GJE63" s="104"/>
      <c r="GJF63" s="106"/>
      <c r="GJG63" s="175"/>
      <c r="GJH63" s="175"/>
      <c r="GJI63" s="175"/>
      <c r="GJJ63" s="175"/>
      <c r="GJK63" s="176"/>
      <c r="GJL63" s="104"/>
      <c r="GJM63" s="106"/>
      <c r="GJN63" s="175"/>
      <c r="GJO63" s="175"/>
      <c r="GJP63" s="175"/>
      <c r="GJQ63" s="175"/>
      <c r="GJR63" s="176"/>
      <c r="GJS63" s="104"/>
      <c r="GJT63" s="106"/>
      <c r="GJU63" s="175"/>
      <c r="GJV63" s="175"/>
      <c r="GJW63" s="175"/>
      <c r="GJX63" s="175"/>
      <c r="GJY63" s="176"/>
      <c r="GJZ63" s="104"/>
      <c r="GKA63" s="106"/>
      <c r="GKB63" s="175"/>
      <c r="GKC63" s="175"/>
      <c r="GKD63" s="175"/>
      <c r="GKE63" s="175"/>
      <c r="GKF63" s="176"/>
      <c r="GKG63" s="104"/>
      <c r="GKH63" s="106"/>
      <c r="GKI63" s="175"/>
      <c r="GKJ63" s="175"/>
      <c r="GKK63" s="175"/>
      <c r="GKL63" s="175"/>
      <c r="GKM63" s="176"/>
      <c r="GKN63" s="104"/>
      <c r="GKO63" s="106"/>
      <c r="GKP63" s="175"/>
      <c r="GKQ63" s="175"/>
      <c r="GKR63" s="175"/>
      <c r="GKS63" s="175"/>
      <c r="GKT63" s="176"/>
      <c r="GKU63" s="104"/>
      <c r="GKV63" s="106"/>
      <c r="GKW63" s="175"/>
      <c r="GKX63" s="175"/>
      <c r="GKY63" s="175"/>
      <c r="GKZ63" s="175"/>
      <c r="GLA63" s="176"/>
      <c r="GLB63" s="104"/>
      <c r="GLC63" s="106"/>
      <c r="GLD63" s="175"/>
      <c r="GLE63" s="175"/>
      <c r="GLF63" s="175"/>
      <c r="GLG63" s="175"/>
      <c r="GLH63" s="176"/>
      <c r="GLI63" s="104"/>
      <c r="GLJ63" s="106"/>
      <c r="GLK63" s="175"/>
      <c r="GLL63" s="175"/>
      <c r="GLM63" s="175"/>
      <c r="GLN63" s="175"/>
      <c r="GLO63" s="176"/>
      <c r="GLP63" s="104"/>
      <c r="GLQ63" s="106"/>
      <c r="GLR63" s="175"/>
      <c r="GLS63" s="175"/>
      <c r="GLT63" s="175"/>
      <c r="GLU63" s="175"/>
      <c r="GLV63" s="176"/>
      <c r="GLW63" s="104"/>
      <c r="GLX63" s="106"/>
      <c r="GLY63" s="175"/>
      <c r="GLZ63" s="175"/>
      <c r="GMA63" s="175"/>
      <c r="GMB63" s="175"/>
      <c r="GMC63" s="176"/>
      <c r="GMD63" s="104"/>
      <c r="GME63" s="106"/>
      <c r="GMF63" s="175"/>
      <c r="GMG63" s="175"/>
      <c r="GMH63" s="175"/>
      <c r="GMI63" s="175"/>
      <c r="GMJ63" s="176"/>
      <c r="GMK63" s="104"/>
      <c r="GML63" s="106"/>
      <c r="GMM63" s="175"/>
      <c r="GMN63" s="175"/>
      <c r="GMO63" s="175"/>
      <c r="GMP63" s="175"/>
      <c r="GMQ63" s="176"/>
      <c r="GMR63" s="104"/>
      <c r="GMS63" s="106"/>
      <c r="GMT63" s="175"/>
      <c r="GMU63" s="175"/>
      <c r="GMV63" s="175"/>
      <c r="GMW63" s="175"/>
      <c r="GMX63" s="176"/>
      <c r="GMY63" s="104"/>
      <c r="GMZ63" s="106"/>
      <c r="GNA63" s="175"/>
      <c r="GNB63" s="175"/>
      <c r="GNC63" s="175"/>
      <c r="GND63" s="175"/>
      <c r="GNE63" s="176"/>
      <c r="GNF63" s="104"/>
      <c r="GNG63" s="106"/>
      <c r="GNH63" s="175"/>
      <c r="GNI63" s="175"/>
      <c r="GNJ63" s="175"/>
      <c r="GNK63" s="175"/>
      <c r="GNL63" s="176"/>
      <c r="GNM63" s="104"/>
      <c r="GNN63" s="106"/>
      <c r="GNO63" s="175"/>
      <c r="GNP63" s="175"/>
      <c r="GNQ63" s="175"/>
      <c r="GNR63" s="175"/>
      <c r="GNS63" s="176"/>
      <c r="GNT63" s="104"/>
      <c r="GNU63" s="106"/>
      <c r="GNV63" s="175"/>
      <c r="GNW63" s="175"/>
      <c r="GNX63" s="175"/>
      <c r="GNY63" s="175"/>
      <c r="GNZ63" s="176"/>
      <c r="GOA63" s="104"/>
      <c r="GOB63" s="106"/>
      <c r="GOC63" s="175"/>
      <c r="GOD63" s="175"/>
      <c r="GOE63" s="175"/>
      <c r="GOF63" s="175"/>
      <c r="GOG63" s="176"/>
      <c r="GOH63" s="104"/>
      <c r="GOI63" s="106"/>
      <c r="GOJ63" s="175"/>
      <c r="GOK63" s="175"/>
      <c r="GOL63" s="175"/>
      <c r="GOM63" s="175"/>
      <c r="GON63" s="176"/>
      <c r="GOO63" s="104"/>
      <c r="GOP63" s="106"/>
      <c r="GOQ63" s="175"/>
      <c r="GOR63" s="175"/>
      <c r="GOS63" s="175"/>
      <c r="GOT63" s="175"/>
      <c r="GOU63" s="176"/>
      <c r="GOV63" s="104"/>
      <c r="GOW63" s="106"/>
      <c r="GOX63" s="175"/>
      <c r="GOY63" s="175"/>
      <c r="GOZ63" s="175"/>
      <c r="GPA63" s="175"/>
      <c r="GPB63" s="176"/>
      <c r="GPC63" s="104"/>
      <c r="GPD63" s="106"/>
      <c r="GPE63" s="175"/>
      <c r="GPF63" s="175"/>
      <c r="GPG63" s="175"/>
      <c r="GPH63" s="175"/>
      <c r="GPI63" s="176"/>
      <c r="GPJ63" s="104"/>
      <c r="GPK63" s="106"/>
      <c r="GPL63" s="175"/>
      <c r="GPM63" s="175"/>
      <c r="GPN63" s="175"/>
      <c r="GPO63" s="175"/>
      <c r="GPP63" s="176"/>
      <c r="GPQ63" s="104"/>
      <c r="GPR63" s="106"/>
      <c r="GPS63" s="175"/>
      <c r="GPT63" s="175"/>
      <c r="GPU63" s="175"/>
      <c r="GPV63" s="175"/>
      <c r="GPW63" s="176"/>
      <c r="GPX63" s="104"/>
      <c r="GPY63" s="106"/>
      <c r="GPZ63" s="175"/>
      <c r="GQA63" s="175"/>
      <c r="GQB63" s="175"/>
      <c r="GQC63" s="175"/>
      <c r="GQD63" s="176"/>
      <c r="GQE63" s="104"/>
      <c r="GQF63" s="106"/>
      <c r="GQG63" s="175"/>
      <c r="GQH63" s="175"/>
      <c r="GQI63" s="175"/>
      <c r="GQJ63" s="175"/>
      <c r="GQK63" s="176"/>
      <c r="GQL63" s="104"/>
      <c r="GQM63" s="106"/>
      <c r="GQN63" s="175"/>
      <c r="GQO63" s="175"/>
      <c r="GQP63" s="175"/>
      <c r="GQQ63" s="175"/>
      <c r="GQR63" s="176"/>
      <c r="GQS63" s="104"/>
      <c r="GQT63" s="106"/>
      <c r="GQU63" s="175"/>
      <c r="GQV63" s="175"/>
      <c r="GQW63" s="175"/>
      <c r="GQX63" s="175"/>
      <c r="GQY63" s="176"/>
      <c r="GQZ63" s="104"/>
      <c r="GRA63" s="106"/>
      <c r="GRB63" s="175"/>
      <c r="GRC63" s="175"/>
      <c r="GRD63" s="175"/>
      <c r="GRE63" s="175"/>
      <c r="GRF63" s="176"/>
      <c r="GRG63" s="104"/>
      <c r="GRH63" s="106"/>
      <c r="GRI63" s="175"/>
      <c r="GRJ63" s="175"/>
      <c r="GRK63" s="175"/>
      <c r="GRL63" s="175"/>
      <c r="GRM63" s="176"/>
      <c r="GRN63" s="104"/>
      <c r="GRO63" s="106"/>
      <c r="GRP63" s="175"/>
      <c r="GRQ63" s="175"/>
      <c r="GRR63" s="175"/>
      <c r="GRS63" s="175"/>
      <c r="GRT63" s="176"/>
      <c r="GRU63" s="104"/>
      <c r="GRV63" s="106"/>
      <c r="GRW63" s="175"/>
      <c r="GRX63" s="175"/>
      <c r="GRY63" s="175"/>
      <c r="GRZ63" s="175"/>
      <c r="GSA63" s="176"/>
      <c r="GSB63" s="104"/>
      <c r="GSC63" s="106"/>
      <c r="GSD63" s="175"/>
      <c r="GSE63" s="175"/>
      <c r="GSF63" s="175"/>
      <c r="GSG63" s="175"/>
      <c r="GSH63" s="176"/>
      <c r="GSI63" s="104"/>
      <c r="GSJ63" s="106"/>
      <c r="GSK63" s="175"/>
      <c r="GSL63" s="175"/>
      <c r="GSM63" s="175"/>
      <c r="GSN63" s="175"/>
      <c r="GSO63" s="176"/>
      <c r="GSP63" s="104"/>
      <c r="GSQ63" s="106"/>
      <c r="GSR63" s="175"/>
      <c r="GSS63" s="175"/>
      <c r="GST63" s="175"/>
      <c r="GSU63" s="175"/>
      <c r="GSV63" s="176"/>
      <c r="GSW63" s="104"/>
      <c r="GSX63" s="106"/>
      <c r="GSY63" s="175"/>
      <c r="GSZ63" s="175"/>
      <c r="GTA63" s="175"/>
      <c r="GTB63" s="175"/>
      <c r="GTC63" s="176"/>
      <c r="GTD63" s="104"/>
      <c r="GTE63" s="106"/>
      <c r="GTF63" s="175"/>
      <c r="GTG63" s="175"/>
      <c r="GTH63" s="175"/>
      <c r="GTI63" s="175"/>
      <c r="GTJ63" s="176"/>
      <c r="GTK63" s="104"/>
      <c r="GTL63" s="106"/>
      <c r="GTM63" s="175"/>
      <c r="GTN63" s="175"/>
      <c r="GTO63" s="175"/>
      <c r="GTP63" s="175"/>
      <c r="GTQ63" s="176"/>
      <c r="GTR63" s="104"/>
      <c r="GTS63" s="106"/>
      <c r="GTT63" s="175"/>
      <c r="GTU63" s="175"/>
      <c r="GTV63" s="175"/>
      <c r="GTW63" s="175"/>
      <c r="GTX63" s="176"/>
      <c r="GTY63" s="104"/>
      <c r="GTZ63" s="106"/>
      <c r="GUA63" s="175"/>
      <c r="GUB63" s="175"/>
      <c r="GUC63" s="175"/>
      <c r="GUD63" s="175"/>
      <c r="GUE63" s="176"/>
      <c r="GUF63" s="104"/>
      <c r="GUG63" s="106"/>
      <c r="GUH63" s="175"/>
      <c r="GUI63" s="175"/>
      <c r="GUJ63" s="175"/>
      <c r="GUK63" s="175"/>
      <c r="GUL63" s="176"/>
      <c r="GUM63" s="104"/>
      <c r="GUN63" s="106"/>
      <c r="GUO63" s="175"/>
      <c r="GUP63" s="175"/>
      <c r="GUQ63" s="175"/>
      <c r="GUR63" s="175"/>
      <c r="GUS63" s="176"/>
      <c r="GUT63" s="104"/>
      <c r="GUU63" s="106"/>
      <c r="GUV63" s="175"/>
      <c r="GUW63" s="175"/>
      <c r="GUX63" s="175"/>
      <c r="GUY63" s="175"/>
      <c r="GUZ63" s="176"/>
      <c r="GVA63" s="104"/>
      <c r="GVB63" s="106"/>
      <c r="GVC63" s="175"/>
      <c r="GVD63" s="175"/>
      <c r="GVE63" s="175"/>
      <c r="GVF63" s="175"/>
      <c r="GVG63" s="176"/>
      <c r="GVH63" s="104"/>
      <c r="GVI63" s="106"/>
      <c r="GVJ63" s="175"/>
      <c r="GVK63" s="175"/>
      <c r="GVL63" s="175"/>
      <c r="GVM63" s="175"/>
      <c r="GVN63" s="176"/>
      <c r="GVO63" s="104"/>
      <c r="GVP63" s="106"/>
      <c r="GVQ63" s="175"/>
      <c r="GVR63" s="175"/>
      <c r="GVS63" s="175"/>
      <c r="GVT63" s="175"/>
      <c r="GVU63" s="176"/>
      <c r="GVV63" s="104"/>
      <c r="GVW63" s="106"/>
      <c r="GVX63" s="175"/>
      <c r="GVY63" s="175"/>
      <c r="GVZ63" s="175"/>
      <c r="GWA63" s="175"/>
      <c r="GWB63" s="176"/>
      <c r="GWC63" s="104"/>
      <c r="GWD63" s="106"/>
      <c r="GWE63" s="175"/>
      <c r="GWF63" s="175"/>
      <c r="GWG63" s="175"/>
      <c r="GWH63" s="175"/>
      <c r="GWI63" s="176"/>
      <c r="GWJ63" s="104"/>
      <c r="GWK63" s="106"/>
      <c r="GWL63" s="175"/>
      <c r="GWM63" s="175"/>
      <c r="GWN63" s="175"/>
      <c r="GWO63" s="175"/>
      <c r="GWP63" s="176"/>
      <c r="GWQ63" s="104"/>
      <c r="GWR63" s="106"/>
      <c r="GWS63" s="175"/>
      <c r="GWT63" s="175"/>
      <c r="GWU63" s="175"/>
      <c r="GWV63" s="175"/>
      <c r="GWW63" s="176"/>
      <c r="GWX63" s="104"/>
      <c r="GWY63" s="106"/>
      <c r="GWZ63" s="175"/>
      <c r="GXA63" s="175"/>
      <c r="GXB63" s="175"/>
      <c r="GXC63" s="175"/>
      <c r="GXD63" s="176"/>
      <c r="GXE63" s="104"/>
      <c r="GXF63" s="106"/>
      <c r="GXG63" s="175"/>
      <c r="GXH63" s="175"/>
      <c r="GXI63" s="175"/>
      <c r="GXJ63" s="175"/>
      <c r="GXK63" s="176"/>
      <c r="GXL63" s="104"/>
      <c r="GXM63" s="106"/>
      <c r="GXN63" s="175"/>
      <c r="GXO63" s="175"/>
      <c r="GXP63" s="175"/>
      <c r="GXQ63" s="175"/>
      <c r="GXR63" s="176"/>
      <c r="GXS63" s="104"/>
      <c r="GXT63" s="106"/>
      <c r="GXU63" s="175"/>
      <c r="GXV63" s="175"/>
      <c r="GXW63" s="175"/>
      <c r="GXX63" s="175"/>
      <c r="GXY63" s="176"/>
      <c r="GXZ63" s="104"/>
      <c r="GYA63" s="106"/>
      <c r="GYB63" s="175"/>
      <c r="GYC63" s="175"/>
      <c r="GYD63" s="175"/>
      <c r="GYE63" s="175"/>
      <c r="GYF63" s="176"/>
      <c r="GYG63" s="104"/>
      <c r="GYH63" s="106"/>
      <c r="GYI63" s="175"/>
      <c r="GYJ63" s="175"/>
      <c r="GYK63" s="175"/>
      <c r="GYL63" s="175"/>
      <c r="GYM63" s="176"/>
      <c r="GYN63" s="104"/>
      <c r="GYO63" s="106"/>
      <c r="GYP63" s="175"/>
      <c r="GYQ63" s="175"/>
      <c r="GYR63" s="175"/>
      <c r="GYS63" s="175"/>
      <c r="GYT63" s="176"/>
      <c r="GYU63" s="104"/>
      <c r="GYV63" s="106"/>
      <c r="GYW63" s="175"/>
      <c r="GYX63" s="175"/>
      <c r="GYY63" s="175"/>
      <c r="GYZ63" s="175"/>
      <c r="GZA63" s="176"/>
      <c r="GZB63" s="104"/>
      <c r="GZC63" s="106"/>
      <c r="GZD63" s="175"/>
      <c r="GZE63" s="175"/>
      <c r="GZF63" s="175"/>
      <c r="GZG63" s="175"/>
      <c r="GZH63" s="176"/>
      <c r="GZI63" s="104"/>
      <c r="GZJ63" s="106"/>
      <c r="GZK63" s="175"/>
      <c r="GZL63" s="175"/>
      <c r="GZM63" s="175"/>
      <c r="GZN63" s="175"/>
      <c r="GZO63" s="176"/>
      <c r="GZP63" s="104"/>
      <c r="GZQ63" s="106"/>
      <c r="GZR63" s="175"/>
      <c r="GZS63" s="175"/>
      <c r="GZT63" s="175"/>
      <c r="GZU63" s="175"/>
      <c r="GZV63" s="176"/>
      <c r="GZW63" s="104"/>
      <c r="GZX63" s="106"/>
      <c r="GZY63" s="175"/>
      <c r="GZZ63" s="175"/>
      <c r="HAA63" s="175"/>
      <c r="HAB63" s="175"/>
      <c r="HAC63" s="176"/>
      <c r="HAD63" s="104"/>
      <c r="HAE63" s="106"/>
      <c r="HAF63" s="175"/>
      <c r="HAG63" s="175"/>
      <c r="HAH63" s="175"/>
      <c r="HAI63" s="175"/>
      <c r="HAJ63" s="176"/>
      <c r="HAK63" s="104"/>
      <c r="HAL63" s="106"/>
      <c r="HAM63" s="175"/>
      <c r="HAN63" s="175"/>
      <c r="HAO63" s="175"/>
      <c r="HAP63" s="175"/>
      <c r="HAQ63" s="176"/>
      <c r="HAR63" s="104"/>
      <c r="HAS63" s="106"/>
      <c r="HAT63" s="175"/>
      <c r="HAU63" s="175"/>
      <c r="HAV63" s="175"/>
      <c r="HAW63" s="175"/>
      <c r="HAX63" s="176"/>
      <c r="HAY63" s="104"/>
      <c r="HAZ63" s="106"/>
      <c r="HBA63" s="175"/>
      <c r="HBB63" s="175"/>
      <c r="HBC63" s="175"/>
      <c r="HBD63" s="175"/>
      <c r="HBE63" s="176"/>
      <c r="HBF63" s="104"/>
      <c r="HBG63" s="106"/>
      <c r="HBH63" s="175"/>
      <c r="HBI63" s="175"/>
      <c r="HBJ63" s="175"/>
      <c r="HBK63" s="175"/>
      <c r="HBL63" s="176"/>
      <c r="HBM63" s="104"/>
      <c r="HBN63" s="106"/>
      <c r="HBO63" s="175"/>
      <c r="HBP63" s="175"/>
      <c r="HBQ63" s="175"/>
      <c r="HBR63" s="175"/>
      <c r="HBS63" s="176"/>
      <c r="HBT63" s="104"/>
      <c r="HBU63" s="106"/>
      <c r="HBV63" s="175"/>
      <c r="HBW63" s="175"/>
      <c r="HBX63" s="175"/>
      <c r="HBY63" s="175"/>
      <c r="HBZ63" s="176"/>
      <c r="HCA63" s="104"/>
      <c r="HCB63" s="106"/>
      <c r="HCC63" s="175"/>
      <c r="HCD63" s="175"/>
      <c r="HCE63" s="175"/>
      <c r="HCF63" s="175"/>
      <c r="HCG63" s="176"/>
      <c r="HCH63" s="104"/>
      <c r="HCI63" s="106"/>
      <c r="HCJ63" s="175"/>
      <c r="HCK63" s="175"/>
      <c r="HCL63" s="175"/>
      <c r="HCM63" s="175"/>
      <c r="HCN63" s="176"/>
      <c r="HCO63" s="104"/>
      <c r="HCP63" s="106"/>
      <c r="HCQ63" s="175"/>
      <c r="HCR63" s="175"/>
      <c r="HCS63" s="175"/>
      <c r="HCT63" s="175"/>
      <c r="HCU63" s="176"/>
      <c r="HCV63" s="104"/>
      <c r="HCW63" s="106"/>
      <c r="HCX63" s="175"/>
      <c r="HCY63" s="175"/>
      <c r="HCZ63" s="175"/>
      <c r="HDA63" s="175"/>
      <c r="HDB63" s="176"/>
      <c r="HDC63" s="104"/>
      <c r="HDD63" s="106"/>
      <c r="HDE63" s="175"/>
      <c r="HDF63" s="175"/>
      <c r="HDG63" s="175"/>
      <c r="HDH63" s="175"/>
      <c r="HDI63" s="176"/>
      <c r="HDJ63" s="104"/>
      <c r="HDK63" s="106"/>
      <c r="HDL63" s="175"/>
      <c r="HDM63" s="175"/>
      <c r="HDN63" s="175"/>
      <c r="HDO63" s="175"/>
      <c r="HDP63" s="176"/>
      <c r="HDQ63" s="104"/>
      <c r="HDR63" s="106"/>
      <c r="HDS63" s="175"/>
      <c r="HDT63" s="175"/>
      <c r="HDU63" s="175"/>
      <c r="HDV63" s="175"/>
      <c r="HDW63" s="176"/>
      <c r="HDX63" s="104"/>
      <c r="HDY63" s="106"/>
      <c r="HDZ63" s="175"/>
      <c r="HEA63" s="175"/>
      <c r="HEB63" s="175"/>
      <c r="HEC63" s="175"/>
      <c r="HED63" s="176"/>
      <c r="HEE63" s="104"/>
      <c r="HEF63" s="106"/>
      <c r="HEG63" s="175"/>
      <c r="HEH63" s="175"/>
      <c r="HEI63" s="175"/>
      <c r="HEJ63" s="175"/>
      <c r="HEK63" s="176"/>
      <c r="HEL63" s="104"/>
      <c r="HEM63" s="106"/>
      <c r="HEN63" s="175"/>
      <c r="HEO63" s="175"/>
      <c r="HEP63" s="175"/>
      <c r="HEQ63" s="175"/>
      <c r="HER63" s="176"/>
      <c r="HES63" s="104"/>
      <c r="HET63" s="106"/>
      <c r="HEU63" s="175"/>
      <c r="HEV63" s="175"/>
      <c r="HEW63" s="175"/>
      <c r="HEX63" s="175"/>
      <c r="HEY63" s="176"/>
      <c r="HEZ63" s="104"/>
      <c r="HFA63" s="106"/>
      <c r="HFB63" s="175"/>
      <c r="HFC63" s="175"/>
      <c r="HFD63" s="175"/>
      <c r="HFE63" s="175"/>
      <c r="HFF63" s="176"/>
      <c r="HFG63" s="104"/>
      <c r="HFH63" s="106"/>
      <c r="HFI63" s="175"/>
      <c r="HFJ63" s="175"/>
      <c r="HFK63" s="175"/>
      <c r="HFL63" s="175"/>
      <c r="HFM63" s="176"/>
      <c r="HFN63" s="104"/>
      <c r="HFO63" s="106"/>
      <c r="HFP63" s="175"/>
      <c r="HFQ63" s="175"/>
      <c r="HFR63" s="175"/>
      <c r="HFS63" s="175"/>
      <c r="HFT63" s="176"/>
      <c r="HFU63" s="104"/>
      <c r="HFV63" s="106"/>
      <c r="HFW63" s="175"/>
      <c r="HFX63" s="175"/>
      <c r="HFY63" s="175"/>
      <c r="HFZ63" s="175"/>
      <c r="HGA63" s="176"/>
      <c r="HGB63" s="104"/>
      <c r="HGC63" s="106"/>
      <c r="HGD63" s="175"/>
      <c r="HGE63" s="175"/>
      <c r="HGF63" s="175"/>
      <c r="HGG63" s="175"/>
      <c r="HGH63" s="176"/>
      <c r="HGI63" s="104"/>
      <c r="HGJ63" s="106"/>
      <c r="HGK63" s="175"/>
      <c r="HGL63" s="175"/>
      <c r="HGM63" s="175"/>
      <c r="HGN63" s="175"/>
      <c r="HGO63" s="176"/>
      <c r="HGP63" s="104"/>
      <c r="HGQ63" s="106"/>
      <c r="HGR63" s="175"/>
      <c r="HGS63" s="175"/>
      <c r="HGT63" s="175"/>
      <c r="HGU63" s="175"/>
      <c r="HGV63" s="176"/>
      <c r="HGW63" s="104"/>
      <c r="HGX63" s="106"/>
      <c r="HGY63" s="175"/>
      <c r="HGZ63" s="175"/>
      <c r="HHA63" s="175"/>
      <c r="HHB63" s="175"/>
      <c r="HHC63" s="176"/>
      <c r="HHD63" s="104"/>
      <c r="HHE63" s="106"/>
      <c r="HHF63" s="175"/>
      <c r="HHG63" s="175"/>
      <c r="HHH63" s="175"/>
      <c r="HHI63" s="175"/>
      <c r="HHJ63" s="176"/>
      <c r="HHK63" s="104"/>
      <c r="HHL63" s="106"/>
      <c r="HHM63" s="175"/>
      <c r="HHN63" s="175"/>
      <c r="HHO63" s="175"/>
      <c r="HHP63" s="175"/>
      <c r="HHQ63" s="176"/>
      <c r="HHR63" s="104"/>
      <c r="HHS63" s="106"/>
      <c r="HHT63" s="175"/>
      <c r="HHU63" s="175"/>
      <c r="HHV63" s="175"/>
      <c r="HHW63" s="175"/>
      <c r="HHX63" s="176"/>
      <c r="HHY63" s="104"/>
      <c r="HHZ63" s="106"/>
      <c r="HIA63" s="175"/>
      <c r="HIB63" s="175"/>
      <c r="HIC63" s="175"/>
      <c r="HID63" s="175"/>
      <c r="HIE63" s="176"/>
      <c r="HIF63" s="104"/>
      <c r="HIG63" s="106"/>
      <c r="HIH63" s="175"/>
      <c r="HII63" s="175"/>
      <c r="HIJ63" s="175"/>
      <c r="HIK63" s="175"/>
      <c r="HIL63" s="176"/>
      <c r="HIM63" s="104"/>
      <c r="HIN63" s="106"/>
      <c r="HIO63" s="175"/>
      <c r="HIP63" s="175"/>
      <c r="HIQ63" s="175"/>
      <c r="HIR63" s="175"/>
      <c r="HIS63" s="176"/>
      <c r="HIT63" s="104"/>
      <c r="HIU63" s="106"/>
      <c r="HIV63" s="175"/>
      <c r="HIW63" s="175"/>
      <c r="HIX63" s="175"/>
      <c r="HIY63" s="175"/>
      <c r="HIZ63" s="176"/>
      <c r="HJA63" s="104"/>
      <c r="HJB63" s="106"/>
      <c r="HJC63" s="175"/>
      <c r="HJD63" s="175"/>
      <c r="HJE63" s="175"/>
      <c r="HJF63" s="175"/>
      <c r="HJG63" s="176"/>
      <c r="HJH63" s="104"/>
      <c r="HJI63" s="106"/>
      <c r="HJJ63" s="175"/>
      <c r="HJK63" s="175"/>
      <c r="HJL63" s="175"/>
      <c r="HJM63" s="175"/>
      <c r="HJN63" s="176"/>
      <c r="HJO63" s="104"/>
      <c r="HJP63" s="106"/>
      <c r="HJQ63" s="175"/>
      <c r="HJR63" s="175"/>
      <c r="HJS63" s="175"/>
      <c r="HJT63" s="175"/>
      <c r="HJU63" s="176"/>
      <c r="HJV63" s="104"/>
      <c r="HJW63" s="106"/>
      <c r="HJX63" s="175"/>
      <c r="HJY63" s="175"/>
      <c r="HJZ63" s="175"/>
      <c r="HKA63" s="175"/>
      <c r="HKB63" s="176"/>
      <c r="HKC63" s="104"/>
      <c r="HKD63" s="106"/>
      <c r="HKE63" s="175"/>
      <c r="HKF63" s="175"/>
      <c r="HKG63" s="175"/>
      <c r="HKH63" s="175"/>
      <c r="HKI63" s="176"/>
      <c r="HKJ63" s="104"/>
      <c r="HKK63" s="106"/>
      <c r="HKL63" s="175"/>
      <c r="HKM63" s="175"/>
      <c r="HKN63" s="175"/>
      <c r="HKO63" s="175"/>
      <c r="HKP63" s="176"/>
      <c r="HKQ63" s="104"/>
      <c r="HKR63" s="106"/>
      <c r="HKS63" s="175"/>
      <c r="HKT63" s="175"/>
      <c r="HKU63" s="175"/>
      <c r="HKV63" s="175"/>
      <c r="HKW63" s="176"/>
      <c r="HKX63" s="104"/>
      <c r="HKY63" s="106"/>
      <c r="HKZ63" s="175"/>
      <c r="HLA63" s="175"/>
      <c r="HLB63" s="175"/>
      <c r="HLC63" s="175"/>
      <c r="HLD63" s="176"/>
      <c r="HLE63" s="104"/>
      <c r="HLF63" s="106"/>
      <c r="HLG63" s="175"/>
      <c r="HLH63" s="175"/>
      <c r="HLI63" s="175"/>
      <c r="HLJ63" s="175"/>
      <c r="HLK63" s="176"/>
      <c r="HLL63" s="104"/>
      <c r="HLM63" s="106"/>
      <c r="HLN63" s="175"/>
      <c r="HLO63" s="175"/>
      <c r="HLP63" s="175"/>
      <c r="HLQ63" s="175"/>
      <c r="HLR63" s="176"/>
      <c r="HLS63" s="104"/>
      <c r="HLT63" s="106"/>
      <c r="HLU63" s="175"/>
      <c r="HLV63" s="175"/>
      <c r="HLW63" s="175"/>
      <c r="HLX63" s="175"/>
      <c r="HLY63" s="176"/>
      <c r="HLZ63" s="104"/>
      <c r="HMA63" s="106"/>
      <c r="HMB63" s="175"/>
      <c r="HMC63" s="175"/>
      <c r="HMD63" s="175"/>
      <c r="HME63" s="175"/>
      <c r="HMF63" s="176"/>
      <c r="HMG63" s="104"/>
      <c r="HMH63" s="106"/>
      <c r="HMI63" s="175"/>
      <c r="HMJ63" s="175"/>
      <c r="HMK63" s="175"/>
      <c r="HML63" s="175"/>
      <c r="HMM63" s="176"/>
      <c r="HMN63" s="104"/>
      <c r="HMO63" s="106"/>
      <c r="HMP63" s="175"/>
      <c r="HMQ63" s="175"/>
      <c r="HMR63" s="175"/>
      <c r="HMS63" s="175"/>
      <c r="HMT63" s="176"/>
      <c r="HMU63" s="104"/>
      <c r="HMV63" s="106"/>
      <c r="HMW63" s="175"/>
      <c r="HMX63" s="175"/>
      <c r="HMY63" s="175"/>
      <c r="HMZ63" s="175"/>
      <c r="HNA63" s="176"/>
      <c r="HNB63" s="104"/>
      <c r="HNC63" s="106"/>
      <c r="HND63" s="175"/>
      <c r="HNE63" s="175"/>
      <c r="HNF63" s="175"/>
      <c r="HNG63" s="175"/>
      <c r="HNH63" s="176"/>
      <c r="HNI63" s="104"/>
      <c r="HNJ63" s="106"/>
      <c r="HNK63" s="175"/>
      <c r="HNL63" s="175"/>
      <c r="HNM63" s="175"/>
      <c r="HNN63" s="175"/>
      <c r="HNO63" s="176"/>
      <c r="HNP63" s="104"/>
      <c r="HNQ63" s="106"/>
      <c r="HNR63" s="175"/>
      <c r="HNS63" s="175"/>
      <c r="HNT63" s="175"/>
      <c r="HNU63" s="175"/>
      <c r="HNV63" s="176"/>
      <c r="HNW63" s="104"/>
      <c r="HNX63" s="106"/>
      <c r="HNY63" s="175"/>
      <c r="HNZ63" s="175"/>
      <c r="HOA63" s="175"/>
      <c r="HOB63" s="175"/>
      <c r="HOC63" s="176"/>
      <c r="HOD63" s="104"/>
      <c r="HOE63" s="106"/>
      <c r="HOF63" s="175"/>
      <c r="HOG63" s="175"/>
      <c r="HOH63" s="175"/>
      <c r="HOI63" s="175"/>
      <c r="HOJ63" s="176"/>
      <c r="HOK63" s="104"/>
      <c r="HOL63" s="106"/>
      <c r="HOM63" s="175"/>
      <c r="HON63" s="175"/>
      <c r="HOO63" s="175"/>
      <c r="HOP63" s="175"/>
      <c r="HOQ63" s="176"/>
      <c r="HOR63" s="104"/>
      <c r="HOS63" s="106"/>
      <c r="HOT63" s="175"/>
      <c r="HOU63" s="175"/>
      <c r="HOV63" s="175"/>
      <c r="HOW63" s="175"/>
      <c r="HOX63" s="176"/>
      <c r="HOY63" s="104"/>
      <c r="HOZ63" s="106"/>
      <c r="HPA63" s="175"/>
      <c r="HPB63" s="175"/>
      <c r="HPC63" s="175"/>
      <c r="HPD63" s="175"/>
      <c r="HPE63" s="176"/>
      <c r="HPF63" s="104"/>
      <c r="HPG63" s="106"/>
      <c r="HPH63" s="175"/>
      <c r="HPI63" s="175"/>
      <c r="HPJ63" s="175"/>
      <c r="HPK63" s="175"/>
      <c r="HPL63" s="176"/>
      <c r="HPM63" s="104"/>
      <c r="HPN63" s="106"/>
      <c r="HPO63" s="175"/>
      <c r="HPP63" s="175"/>
      <c r="HPQ63" s="175"/>
      <c r="HPR63" s="175"/>
      <c r="HPS63" s="176"/>
      <c r="HPT63" s="104"/>
      <c r="HPU63" s="106"/>
      <c r="HPV63" s="175"/>
      <c r="HPW63" s="175"/>
      <c r="HPX63" s="175"/>
      <c r="HPY63" s="175"/>
      <c r="HPZ63" s="176"/>
      <c r="HQA63" s="104"/>
      <c r="HQB63" s="106"/>
      <c r="HQC63" s="175"/>
      <c r="HQD63" s="175"/>
      <c r="HQE63" s="175"/>
      <c r="HQF63" s="175"/>
      <c r="HQG63" s="176"/>
      <c r="HQH63" s="104"/>
      <c r="HQI63" s="106"/>
      <c r="HQJ63" s="175"/>
      <c r="HQK63" s="175"/>
      <c r="HQL63" s="175"/>
      <c r="HQM63" s="175"/>
      <c r="HQN63" s="176"/>
      <c r="HQO63" s="104"/>
      <c r="HQP63" s="106"/>
      <c r="HQQ63" s="175"/>
      <c r="HQR63" s="175"/>
      <c r="HQS63" s="175"/>
      <c r="HQT63" s="175"/>
      <c r="HQU63" s="176"/>
      <c r="HQV63" s="104"/>
      <c r="HQW63" s="106"/>
      <c r="HQX63" s="175"/>
      <c r="HQY63" s="175"/>
      <c r="HQZ63" s="175"/>
      <c r="HRA63" s="175"/>
      <c r="HRB63" s="176"/>
      <c r="HRC63" s="104"/>
      <c r="HRD63" s="106"/>
      <c r="HRE63" s="175"/>
      <c r="HRF63" s="175"/>
      <c r="HRG63" s="175"/>
      <c r="HRH63" s="175"/>
      <c r="HRI63" s="176"/>
      <c r="HRJ63" s="104"/>
      <c r="HRK63" s="106"/>
      <c r="HRL63" s="175"/>
      <c r="HRM63" s="175"/>
      <c r="HRN63" s="175"/>
      <c r="HRO63" s="175"/>
      <c r="HRP63" s="176"/>
      <c r="HRQ63" s="104"/>
      <c r="HRR63" s="106"/>
      <c r="HRS63" s="175"/>
      <c r="HRT63" s="175"/>
      <c r="HRU63" s="175"/>
      <c r="HRV63" s="175"/>
      <c r="HRW63" s="176"/>
      <c r="HRX63" s="104"/>
      <c r="HRY63" s="106"/>
      <c r="HRZ63" s="175"/>
      <c r="HSA63" s="175"/>
      <c r="HSB63" s="175"/>
      <c r="HSC63" s="175"/>
      <c r="HSD63" s="176"/>
      <c r="HSE63" s="104"/>
      <c r="HSF63" s="106"/>
      <c r="HSG63" s="175"/>
      <c r="HSH63" s="175"/>
      <c r="HSI63" s="175"/>
      <c r="HSJ63" s="175"/>
      <c r="HSK63" s="176"/>
      <c r="HSL63" s="104"/>
      <c r="HSM63" s="106"/>
      <c r="HSN63" s="175"/>
      <c r="HSO63" s="175"/>
      <c r="HSP63" s="175"/>
      <c r="HSQ63" s="175"/>
      <c r="HSR63" s="176"/>
      <c r="HSS63" s="104"/>
      <c r="HST63" s="106"/>
      <c r="HSU63" s="175"/>
      <c r="HSV63" s="175"/>
      <c r="HSW63" s="175"/>
      <c r="HSX63" s="175"/>
      <c r="HSY63" s="176"/>
      <c r="HSZ63" s="104"/>
      <c r="HTA63" s="106"/>
      <c r="HTB63" s="175"/>
      <c r="HTC63" s="175"/>
      <c r="HTD63" s="175"/>
      <c r="HTE63" s="175"/>
      <c r="HTF63" s="176"/>
      <c r="HTG63" s="104"/>
      <c r="HTH63" s="106"/>
      <c r="HTI63" s="175"/>
      <c r="HTJ63" s="175"/>
      <c r="HTK63" s="175"/>
      <c r="HTL63" s="175"/>
      <c r="HTM63" s="176"/>
      <c r="HTN63" s="104"/>
      <c r="HTO63" s="106"/>
      <c r="HTP63" s="175"/>
      <c r="HTQ63" s="175"/>
      <c r="HTR63" s="175"/>
      <c r="HTS63" s="175"/>
      <c r="HTT63" s="176"/>
      <c r="HTU63" s="104"/>
      <c r="HTV63" s="106"/>
      <c r="HTW63" s="175"/>
      <c r="HTX63" s="175"/>
      <c r="HTY63" s="175"/>
      <c r="HTZ63" s="175"/>
      <c r="HUA63" s="176"/>
      <c r="HUB63" s="104"/>
      <c r="HUC63" s="106"/>
      <c r="HUD63" s="175"/>
      <c r="HUE63" s="175"/>
      <c r="HUF63" s="175"/>
      <c r="HUG63" s="175"/>
      <c r="HUH63" s="176"/>
      <c r="HUI63" s="104"/>
      <c r="HUJ63" s="106"/>
      <c r="HUK63" s="175"/>
      <c r="HUL63" s="175"/>
      <c r="HUM63" s="175"/>
      <c r="HUN63" s="175"/>
      <c r="HUO63" s="176"/>
      <c r="HUP63" s="104"/>
      <c r="HUQ63" s="106"/>
      <c r="HUR63" s="175"/>
      <c r="HUS63" s="175"/>
      <c r="HUT63" s="175"/>
      <c r="HUU63" s="175"/>
      <c r="HUV63" s="176"/>
      <c r="HUW63" s="104"/>
      <c r="HUX63" s="106"/>
      <c r="HUY63" s="175"/>
      <c r="HUZ63" s="175"/>
      <c r="HVA63" s="175"/>
      <c r="HVB63" s="175"/>
      <c r="HVC63" s="176"/>
      <c r="HVD63" s="104"/>
      <c r="HVE63" s="106"/>
      <c r="HVF63" s="175"/>
      <c r="HVG63" s="175"/>
      <c r="HVH63" s="175"/>
      <c r="HVI63" s="175"/>
      <c r="HVJ63" s="176"/>
      <c r="HVK63" s="104"/>
      <c r="HVL63" s="106"/>
      <c r="HVM63" s="175"/>
      <c r="HVN63" s="175"/>
      <c r="HVO63" s="175"/>
      <c r="HVP63" s="175"/>
      <c r="HVQ63" s="176"/>
      <c r="HVR63" s="104"/>
      <c r="HVS63" s="106"/>
      <c r="HVT63" s="175"/>
      <c r="HVU63" s="175"/>
      <c r="HVV63" s="175"/>
      <c r="HVW63" s="175"/>
      <c r="HVX63" s="176"/>
      <c r="HVY63" s="104"/>
      <c r="HVZ63" s="106"/>
      <c r="HWA63" s="175"/>
      <c r="HWB63" s="175"/>
      <c r="HWC63" s="175"/>
      <c r="HWD63" s="175"/>
      <c r="HWE63" s="176"/>
      <c r="HWF63" s="104"/>
      <c r="HWG63" s="106"/>
      <c r="HWH63" s="175"/>
      <c r="HWI63" s="175"/>
      <c r="HWJ63" s="175"/>
      <c r="HWK63" s="175"/>
      <c r="HWL63" s="176"/>
      <c r="HWM63" s="104"/>
      <c r="HWN63" s="106"/>
      <c r="HWO63" s="175"/>
      <c r="HWP63" s="175"/>
      <c r="HWQ63" s="175"/>
      <c r="HWR63" s="175"/>
      <c r="HWS63" s="176"/>
      <c r="HWT63" s="104"/>
      <c r="HWU63" s="106"/>
      <c r="HWV63" s="175"/>
      <c r="HWW63" s="175"/>
      <c r="HWX63" s="175"/>
      <c r="HWY63" s="175"/>
      <c r="HWZ63" s="176"/>
      <c r="HXA63" s="104"/>
      <c r="HXB63" s="106"/>
      <c r="HXC63" s="175"/>
      <c r="HXD63" s="175"/>
      <c r="HXE63" s="175"/>
      <c r="HXF63" s="175"/>
      <c r="HXG63" s="176"/>
      <c r="HXH63" s="104"/>
      <c r="HXI63" s="106"/>
      <c r="HXJ63" s="175"/>
      <c r="HXK63" s="175"/>
      <c r="HXL63" s="175"/>
      <c r="HXM63" s="175"/>
      <c r="HXN63" s="176"/>
      <c r="HXO63" s="104"/>
      <c r="HXP63" s="106"/>
      <c r="HXQ63" s="175"/>
      <c r="HXR63" s="175"/>
      <c r="HXS63" s="175"/>
      <c r="HXT63" s="175"/>
      <c r="HXU63" s="176"/>
      <c r="HXV63" s="104"/>
      <c r="HXW63" s="106"/>
      <c r="HXX63" s="175"/>
      <c r="HXY63" s="175"/>
      <c r="HXZ63" s="175"/>
      <c r="HYA63" s="175"/>
      <c r="HYB63" s="176"/>
      <c r="HYC63" s="104"/>
      <c r="HYD63" s="106"/>
      <c r="HYE63" s="175"/>
      <c r="HYF63" s="175"/>
      <c r="HYG63" s="175"/>
      <c r="HYH63" s="175"/>
      <c r="HYI63" s="176"/>
      <c r="HYJ63" s="104"/>
      <c r="HYK63" s="106"/>
      <c r="HYL63" s="175"/>
      <c r="HYM63" s="175"/>
      <c r="HYN63" s="175"/>
      <c r="HYO63" s="175"/>
      <c r="HYP63" s="176"/>
      <c r="HYQ63" s="104"/>
      <c r="HYR63" s="106"/>
      <c r="HYS63" s="175"/>
      <c r="HYT63" s="175"/>
      <c r="HYU63" s="175"/>
      <c r="HYV63" s="175"/>
      <c r="HYW63" s="176"/>
      <c r="HYX63" s="104"/>
      <c r="HYY63" s="106"/>
      <c r="HYZ63" s="175"/>
      <c r="HZA63" s="175"/>
      <c r="HZB63" s="175"/>
      <c r="HZC63" s="175"/>
      <c r="HZD63" s="176"/>
      <c r="HZE63" s="104"/>
      <c r="HZF63" s="106"/>
      <c r="HZG63" s="175"/>
      <c r="HZH63" s="175"/>
      <c r="HZI63" s="175"/>
      <c r="HZJ63" s="175"/>
      <c r="HZK63" s="176"/>
      <c r="HZL63" s="104"/>
      <c r="HZM63" s="106"/>
      <c r="HZN63" s="175"/>
      <c r="HZO63" s="175"/>
      <c r="HZP63" s="175"/>
      <c r="HZQ63" s="175"/>
      <c r="HZR63" s="176"/>
      <c r="HZS63" s="104"/>
      <c r="HZT63" s="106"/>
      <c r="HZU63" s="175"/>
      <c r="HZV63" s="175"/>
      <c r="HZW63" s="175"/>
      <c r="HZX63" s="175"/>
      <c r="HZY63" s="176"/>
      <c r="HZZ63" s="104"/>
      <c r="IAA63" s="106"/>
      <c r="IAB63" s="175"/>
      <c r="IAC63" s="175"/>
      <c r="IAD63" s="175"/>
      <c r="IAE63" s="175"/>
      <c r="IAF63" s="176"/>
      <c r="IAG63" s="104"/>
      <c r="IAH63" s="106"/>
      <c r="IAI63" s="175"/>
      <c r="IAJ63" s="175"/>
      <c r="IAK63" s="175"/>
      <c r="IAL63" s="175"/>
      <c r="IAM63" s="176"/>
      <c r="IAN63" s="104"/>
      <c r="IAO63" s="106"/>
      <c r="IAP63" s="175"/>
      <c r="IAQ63" s="175"/>
      <c r="IAR63" s="175"/>
      <c r="IAS63" s="175"/>
      <c r="IAT63" s="176"/>
      <c r="IAU63" s="104"/>
      <c r="IAV63" s="106"/>
      <c r="IAW63" s="175"/>
      <c r="IAX63" s="175"/>
      <c r="IAY63" s="175"/>
      <c r="IAZ63" s="175"/>
      <c r="IBA63" s="176"/>
      <c r="IBB63" s="104"/>
      <c r="IBC63" s="106"/>
      <c r="IBD63" s="175"/>
      <c r="IBE63" s="175"/>
      <c r="IBF63" s="175"/>
      <c r="IBG63" s="175"/>
      <c r="IBH63" s="176"/>
      <c r="IBI63" s="104"/>
      <c r="IBJ63" s="106"/>
      <c r="IBK63" s="175"/>
      <c r="IBL63" s="175"/>
      <c r="IBM63" s="175"/>
      <c r="IBN63" s="175"/>
      <c r="IBO63" s="176"/>
      <c r="IBP63" s="104"/>
      <c r="IBQ63" s="106"/>
      <c r="IBR63" s="175"/>
      <c r="IBS63" s="175"/>
      <c r="IBT63" s="175"/>
      <c r="IBU63" s="175"/>
      <c r="IBV63" s="176"/>
      <c r="IBW63" s="104"/>
      <c r="IBX63" s="106"/>
      <c r="IBY63" s="175"/>
      <c r="IBZ63" s="175"/>
      <c r="ICA63" s="175"/>
      <c r="ICB63" s="175"/>
      <c r="ICC63" s="176"/>
      <c r="ICD63" s="104"/>
      <c r="ICE63" s="106"/>
      <c r="ICF63" s="175"/>
      <c r="ICG63" s="175"/>
      <c r="ICH63" s="175"/>
      <c r="ICI63" s="175"/>
      <c r="ICJ63" s="176"/>
      <c r="ICK63" s="104"/>
      <c r="ICL63" s="106"/>
      <c r="ICM63" s="175"/>
      <c r="ICN63" s="175"/>
      <c r="ICO63" s="175"/>
      <c r="ICP63" s="175"/>
      <c r="ICQ63" s="176"/>
      <c r="ICR63" s="104"/>
      <c r="ICS63" s="106"/>
      <c r="ICT63" s="175"/>
      <c r="ICU63" s="175"/>
      <c r="ICV63" s="175"/>
      <c r="ICW63" s="175"/>
      <c r="ICX63" s="176"/>
      <c r="ICY63" s="104"/>
      <c r="ICZ63" s="106"/>
      <c r="IDA63" s="175"/>
      <c r="IDB63" s="175"/>
      <c r="IDC63" s="175"/>
      <c r="IDD63" s="175"/>
      <c r="IDE63" s="176"/>
      <c r="IDF63" s="104"/>
      <c r="IDG63" s="106"/>
      <c r="IDH63" s="175"/>
      <c r="IDI63" s="175"/>
      <c r="IDJ63" s="175"/>
      <c r="IDK63" s="175"/>
      <c r="IDL63" s="176"/>
      <c r="IDM63" s="104"/>
      <c r="IDN63" s="106"/>
      <c r="IDO63" s="175"/>
      <c r="IDP63" s="175"/>
      <c r="IDQ63" s="175"/>
      <c r="IDR63" s="175"/>
      <c r="IDS63" s="176"/>
      <c r="IDT63" s="104"/>
      <c r="IDU63" s="106"/>
      <c r="IDV63" s="175"/>
      <c r="IDW63" s="175"/>
      <c r="IDX63" s="175"/>
      <c r="IDY63" s="175"/>
      <c r="IDZ63" s="176"/>
      <c r="IEA63" s="104"/>
      <c r="IEB63" s="106"/>
      <c r="IEC63" s="175"/>
      <c r="IED63" s="175"/>
      <c r="IEE63" s="175"/>
      <c r="IEF63" s="175"/>
      <c r="IEG63" s="176"/>
      <c r="IEH63" s="104"/>
      <c r="IEI63" s="106"/>
      <c r="IEJ63" s="175"/>
      <c r="IEK63" s="175"/>
      <c r="IEL63" s="175"/>
      <c r="IEM63" s="175"/>
      <c r="IEN63" s="176"/>
      <c r="IEO63" s="104"/>
      <c r="IEP63" s="106"/>
      <c r="IEQ63" s="175"/>
      <c r="IER63" s="175"/>
      <c r="IES63" s="175"/>
      <c r="IET63" s="175"/>
      <c r="IEU63" s="176"/>
      <c r="IEV63" s="104"/>
      <c r="IEW63" s="106"/>
      <c r="IEX63" s="175"/>
      <c r="IEY63" s="175"/>
      <c r="IEZ63" s="175"/>
      <c r="IFA63" s="175"/>
      <c r="IFB63" s="176"/>
      <c r="IFC63" s="104"/>
      <c r="IFD63" s="106"/>
      <c r="IFE63" s="175"/>
      <c r="IFF63" s="175"/>
      <c r="IFG63" s="175"/>
      <c r="IFH63" s="175"/>
      <c r="IFI63" s="176"/>
      <c r="IFJ63" s="104"/>
      <c r="IFK63" s="106"/>
      <c r="IFL63" s="175"/>
      <c r="IFM63" s="175"/>
      <c r="IFN63" s="175"/>
      <c r="IFO63" s="175"/>
      <c r="IFP63" s="176"/>
      <c r="IFQ63" s="104"/>
      <c r="IFR63" s="106"/>
      <c r="IFS63" s="175"/>
      <c r="IFT63" s="175"/>
      <c r="IFU63" s="175"/>
      <c r="IFV63" s="175"/>
      <c r="IFW63" s="176"/>
      <c r="IFX63" s="104"/>
      <c r="IFY63" s="106"/>
      <c r="IFZ63" s="175"/>
      <c r="IGA63" s="175"/>
      <c r="IGB63" s="175"/>
      <c r="IGC63" s="175"/>
      <c r="IGD63" s="176"/>
      <c r="IGE63" s="104"/>
      <c r="IGF63" s="106"/>
      <c r="IGG63" s="175"/>
      <c r="IGH63" s="175"/>
      <c r="IGI63" s="175"/>
      <c r="IGJ63" s="175"/>
      <c r="IGK63" s="176"/>
      <c r="IGL63" s="104"/>
      <c r="IGM63" s="106"/>
      <c r="IGN63" s="175"/>
      <c r="IGO63" s="175"/>
      <c r="IGP63" s="175"/>
      <c r="IGQ63" s="175"/>
      <c r="IGR63" s="176"/>
      <c r="IGS63" s="104"/>
      <c r="IGT63" s="106"/>
      <c r="IGU63" s="175"/>
      <c r="IGV63" s="175"/>
      <c r="IGW63" s="175"/>
      <c r="IGX63" s="175"/>
      <c r="IGY63" s="176"/>
      <c r="IGZ63" s="104"/>
      <c r="IHA63" s="106"/>
      <c r="IHB63" s="175"/>
      <c r="IHC63" s="175"/>
      <c r="IHD63" s="175"/>
      <c r="IHE63" s="175"/>
      <c r="IHF63" s="176"/>
      <c r="IHG63" s="104"/>
      <c r="IHH63" s="106"/>
      <c r="IHI63" s="175"/>
      <c r="IHJ63" s="175"/>
      <c r="IHK63" s="175"/>
      <c r="IHL63" s="175"/>
      <c r="IHM63" s="176"/>
      <c r="IHN63" s="104"/>
      <c r="IHO63" s="106"/>
      <c r="IHP63" s="175"/>
      <c r="IHQ63" s="175"/>
      <c r="IHR63" s="175"/>
      <c r="IHS63" s="175"/>
      <c r="IHT63" s="176"/>
      <c r="IHU63" s="104"/>
      <c r="IHV63" s="106"/>
      <c r="IHW63" s="175"/>
      <c r="IHX63" s="175"/>
      <c r="IHY63" s="175"/>
      <c r="IHZ63" s="175"/>
      <c r="IIA63" s="176"/>
      <c r="IIB63" s="104"/>
      <c r="IIC63" s="106"/>
      <c r="IID63" s="175"/>
      <c r="IIE63" s="175"/>
      <c r="IIF63" s="175"/>
      <c r="IIG63" s="175"/>
      <c r="IIH63" s="176"/>
      <c r="III63" s="104"/>
      <c r="IIJ63" s="106"/>
      <c r="IIK63" s="175"/>
      <c r="IIL63" s="175"/>
      <c r="IIM63" s="175"/>
      <c r="IIN63" s="175"/>
      <c r="IIO63" s="176"/>
      <c r="IIP63" s="104"/>
      <c r="IIQ63" s="106"/>
      <c r="IIR63" s="175"/>
      <c r="IIS63" s="175"/>
      <c r="IIT63" s="175"/>
      <c r="IIU63" s="175"/>
      <c r="IIV63" s="176"/>
      <c r="IIW63" s="104"/>
      <c r="IIX63" s="106"/>
      <c r="IIY63" s="175"/>
      <c r="IIZ63" s="175"/>
      <c r="IJA63" s="175"/>
      <c r="IJB63" s="175"/>
      <c r="IJC63" s="176"/>
      <c r="IJD63" s="104"/>
      <c r="IJE63" s="106"/>
      <c r="IJF63" s="175"/>
      <c r="IJG63" s="175"/>
      <c r="IJH63" s="175"/>
      <c r="IJI63" s="175"/>
      <c r="IJJ63" s="176"/>
      <c r="IJK63" s="104"/>
      <c r="IJL63" s="106"/>
      <c r="IJM63" s="175"/>
      <c r="IJN63" s="175"/>
      <c r="IJO63" s="175"/>
      <c r="IJP63" s="175"/>
      <c r="IJQ63" s="176"/>
      <c r="IJR63" s="104"/>
      <c r="IJS63" s="106"/>
      <c r="IJT63" s="175"/>
      <c r="IJU63" s="175"/>
      <c r="IJV63" s="175"/>
      <c r="IJW63" s="175"/>
      <c r="IJX63" s="176"/>
      <c r="IJY63" s="104"/>
      <c r="IJZ63" s="106"/>
      <c r="IKA63" s="175"/>
      <c r="IKB63" s="175"/>
      <c r="IKC63" s="175"/>
      <c r="IKD63" s="175"/>
      <c r="IKE63" s="176"/>
      <c r="IKF63" s="104"/>
      <c r="IKG63" s="106"/>
      <c r="IKH63" s="175"/>
      <c r="IKI63" s="175"/>
      <c r="IKJ63" s="175"/>
      <c r="IKK63" s="175"/>
      <c r="IKL63" s="176"/>
      <c r="IKM63" s="104"/>
      <c r="IKN63" s="106"/>
      <c r="IKO63" s="175"/>
      <c r="IKP63" s="175"/>
      <c r="IKQ63" s="175"/>
      <c r="IKR63" s="175"/>
      <c r="IKS63" s="176"/>
      <c r="IKT63" s="104"/>
      <c r="IKU63" s="106"/>
      <c r="IKV63" s="175"/>
      <c r="IKW63" s="175"/>
      <c r="IKX63" s="175"/>
      <c r="IKY63" s="175"/>
      <c r="IKZ63" s="176"/>
      <c r="ILA63" s="104"/>
      <c r="ILB63" s="106"/>
      <c r="ILC63" s="175"/>
      <c r="ILD63" s="175"/>
      <c r="ILE63" s="175"/>
      <c r="ILF63" s="175"/>
      <c r="ILG63" s="176"/>
      <c r="ILH63" s="104"/>
      <c r="ILI63" s="106"/>
      <c r="ILJ63" s="175"/>
      <c r="ILK63" s="175"/>
      <c r="ILL63" s="175"/>
      <c r="ILM63" s="175"/>
      <c r="ILN63" s="176"/>
      <c r="ILO63" s="104"/>
      <c r="ILP63" s="106"/>
      <c r="ILQ63" s="175"/>
      <c r="ILR63" s="175"/>
      <c r="ILS63" s="175"/>
      <c r="ILT63" s="175"/>
      <c r="ILU63" s="176"/>
      <c r="ILV63" s="104"/>
      <c r="ILW63" s="106"/>
      <c r="ILX63" s="175"/>
      <c r="ILY63" s="175"/>
      <c r="ILZ63" s="175"/>
      <c r="IMA63" s="175"/>
      <c r="IMB63" s="176"/>
      <c r="IMC63" s="104"/>
      <c r="IMD63" s="106"/>
      <c r="IME63" s="175"/>
      <c r="IMF63" s="175"/>
      <c r="IMG63" s="175"/>
      <c r="IMH63" s="175"/>
      <c r="IMI63" s="176"/>
      <c r="IMJ63" s="104"/>
      <c r="IMK63" s="106"/>
      <c r="IML63" s="175"/>
      <c r="IMM63" s="175"/>
      <c r="IMN63" s="175"/>
      <c r="IMO63" s="175"/>
      <c r="IMP63" s="176"/>
      <c r="IMQ63" s="104"/>
      <c r="IMR63" s="106"/>
      <c r="IMS63" s="175"/>
      <c r="IMT63" s="175"/>
      <c r="IMU63" s="175"/>
      <c r="IMV63" s="175"/>
      <c r="IMW63" s="176"/>
      <c r="IMX63" s="104"/>
      <c r="IMY63" s="106"/>
      <c r="IMZ63" s="175"/>
      <c r="INA63" s="175"/>
      <c r="INB63" s="175"/>
      <c r="INC63" s="175"/>
      <c r="IND63" s="176"/>
      <c r="INE63" s="104"/>
      <c r="INF63" s="106"/>
      <c r="ING63" s="175"/>
      <c r="INH63" s="175"/>
      <c r="INI63" s="175"/>
      <c r="INJ63" s="175"/>
      <c r="INK63" s="176"/>
      <c r="INL63" s="104"/>
      <c r="INM63" s="106"/>
      <c r="INN63" s="175"/>
      <c r="INO63" s="175"/>
      <c r="INP63" s="175"/>
      <c r="INQ63" s="175"/>
      <c r="INR63" s="176"/>
      <c r="INS63" s="104"/>
      <c r="INT63" s="106"/>
      <c r="INU63" s="175"/>
      <c r="INV63" s="175"/>
      <c r="INW63" s="175"/>
      <c r="INX63" s="175"/>
      <c r="INY63" s="176"/>
      <c r="INZ63" s="104"/>
      <c r="IOA63" s="106"/>
      <c r="IOB63" s="175"/>
      <c r="IOC63" s="175"/>
      <c r="IOD63" s="175"/>
      <c r="IOE63" s="175"/>
      <c r="IOF63" s="176"/>
      <c r="IOG63" s="104"/>
      <c r="IOH63" s="106"/>
      <c r="IOI63" s="175"/>
      <c r="IOJ63" s="175"/>
      <c r="IOK63" s="175"/>
      <c r="IOL63" s="175"/>
      <c r="IOM63" s="176"/>
      <c r="ION63" s="104"/>
      <c r="IOO63" s="106"/>
      <c r="IOP63" s="175"/>
      <c r="IOQ63" s="175"/>
      <c r="IOR63" s="175"/>
      <c r="IOS63" s="175"/>
      <c r="IOT63" s="176"/>
      <c r="IOU63" s="104"/>
      <c r="IOV63" s="106"/>
      <c r="IOW63" s="175"/>
      <c r="IOX63" s="175"/>
      <c r="IOY63" s="175"/>
      <c r="IOZ63" s="175"/>
      <c r="IPA63" s="176"/>
      <c r="IPB63" s="104"/>
      <c r="IPC63" s="106"/>
      <c r="IPD63" s="175"/>
      <c r="IPE63" s="175"/>
      <c r="IPF63" s="175"/>
      <c r="IPG63" s="175"/>
      <c r="IPH63" s="176"/>
      <c r="IPI63" s="104"/>
      <c r="IPJ63" s="106"/>
      <c r="IPK63" s="175"/>
      <c r="IPL63" s="175"/>
      <c r="IPM63" s="175"/>
      <c r="IPN63" s="175"/>
      <c r="IPO63" s="176"/>
      <c r="IPP63" s="104"/>
      <c r="IPQ63" s="106"/>
      <c r="IPR63" s="175"/>
      <c r="IPS63" s="175"/>
      <c r="IPT63" s="175"/>
      <c r="IPU63" s="175"/>
      <c r="IPV63" s="176"/>
      <c r="IPW63" s="104"/>
      <c r="IPX63" s="106"/>
      <c r="IPY63" s="175"/>
      <c r="IPZ63" s="175"/>
      <c r="IQA63" s="175"/>
      <c r="IQB63" s="175"/>
      <c r="IQC63" s="176"/>
      <c r="IQD63" s="104"/>
      <c r="IQE63" s="106"/>
      <c r="IQF63" s="175"/>
      <c r="IQG63" s="175"/>
      <c r="IQH63" s="175"/>
      <c r="IQI63" s="175"/>
      <c r="IQJ63" s="176"/>
      <c r="IQK63" s="104"/>
      <c r="IQL63" s="106"/>
      <c r="IQM63" s="175"/>
      <c r="IQN63" s="175"/>
      <c r="IQO63" s="175"/>
      <c r="IQP63" s="175"/>
      <c r="IQQ63" s="176"/>
      <c r="IQR63" s="104"/>
      <c r="IQS63" s="106"/>
      <c r="IQT63" s="175"/>
      <c r="IQU63" s="175"/>
      <c r="IQV63" s="175"/>
      <c r="IQW63" s="175"/>
      <c r="IQX63" s="176"/>
      <c r="IQY63" s="104"/>
      <c r="IQZ63" s="106"/>
      <c r="IRA63" s="175"/>
      <c r="IRB63" s="175"/>
      <c r="IRC63" s="175"/>
      <c r="IRD63" s="175"/>
      <c r="IRE63" s="176"/>
      <c r="IRF63" s="104"/>
      <c r="IRG63" s="106"/>
      <c r="IRH63" s="175"/>
      <c r="IRI63" s="175"/>
      <c r="IRJ63" s="175"/>
      <c r="IRK63" s="175"/>
      <c r="IRL63" s="176"/>
      <c r="IRM63" s="104"/>
      <c r="IRN63" s="106"/>
      <c r="IRO63" s="175"/>
      <c r="IRP63" s="175"/>
      <c r="IRQ63" s="175"/>
      <c r="IRR63" s="175"/>
      <c r="IRS63" s="176"/>
      <c r="IRT63" s="104"/>
      <c r="IRU63" s="106"/>
      <c r="IRV63" s="175"/>
      <c r="IRW63" s="175"/>
      <c r="IRX63" s="175"/>
      <c r="IRY63" s="175"/>
      <c r="IRZ63" s="176"/>
      <c r="ISA63" s="104"/>
      <c r="ISB63" s="106"/>
      <c r="ISC63" s="175"/>
      <c r="ISD63" s="175"/>
      <c r="ISE63" s="175"/>
      <c r="ISF63" s="175"/>
      <c r="ISG63" s="176"/>
      <c r="ISH63" s="104"/>
      <c r="ISI63" s="106"/>
      <c r="ISJ63" s="175"/>
      <c r="ISK63" s="175"/>
      <c r="ISL63" s="175"/>
      <c r="ISM63" s="175"/>
      <c r="ISN63" s="176"/>
      <c r="ISO63" s="104"/>
      <c r="ISP63" s="106"/>
      <c r="ISQ63" s="175"/>
      <c r="ISR63" s="175"/>
      <c r="ISS63" s="175"/>
      <c r="IST63" s="175"/>
      <c r="ISU63" s="176"/>
      <c r="ISV63" s="104"/>
      <c r="ISW63" s="106"/>
      <c r="ISX63" s="175"/>
      <c r="ISY63" s="175"/>
      <c r="ISZ63" s="175"/>
      <c r="ITA63" s="175"/>
      <c r="ITB63" s="176"/>
      <c r="ITC63" s="104"/>
      <c r="ITD63" s="106"/>
      <c r="ITE63" s="175"/>
      <c r="ITF63" s="175"/>
      <c r="ITG63" s="175"/>
      <c r="ITH63" s="175"/>
      <c r="ITI63" s="176"/>
      <c r="ITJ63" s="104"/>
      <c r="ITK63" s="106"/>
      <c r="ITL63" s="175"/>
      <c r="ITM63" s="175"/>
      <c r="ITN63" s="175"/>
      <c r="ITO63" s="175"/>
      <c r="ITP63" s="176"/>
      <c r="ITQ63" s="104"/>
      <c r="ITR63" s="106"/>
      <c r="ITS63" s="175"/>
      <c r="ITT63" s="175"/>
      <c r="ITU63" s="175"/>
      <c r="ITV63" s="175"/>
      <c r="ITW63" s="176"/>
      <c r="ITX63" s="104"/>
      <c r="ITY63" s="106"/>
      <c r="ITZ63" s="175"/>
      <c r="IUA63" s="175"/>
      <c r="IUB63" s="175"/>
      <c r="IUC63" s="175"/>
      <c r="IUD63" s="176"/>
      <c r="IUE63" s="104"/>
      <c r="IUF63" s="106"/>
      <c r="IUG63" s="175"/>
      <c r="IUH63" s="175"/>
      <c r="IUI63" s="175"/>
      <c r="IUJ63" s="175"/>
      <c r="IUK63" s="176"/>
      <c r="IUL63" s="104"/>
      <c r="IUM63" s="106"/>
      <c r="IUN63" s="175"/>
      <c r="IUO63" s="175"/>
      <c r="IUP63" s="175"/>
      <c r="IUQ63" s="175"/>
      <c r="IUR63" s="176"/>
      <c r="IUS63" s="104"/>
      <c r="IUT63" s="106"/>
      <c r="IUU63" s="175"/>
      <c r="IUV63" s="175"/>
      <c r="IUW63" s="175"/>
      <c r="IUX63" s="175"/>
      <c r="IUY63" s="176"/>
      <c r="IUZ63" s="104"/>
      <c r="IVA63" s="106"/>
      <c r="IVB63" s="175"/>
      <c r="IVC63" s="175"/>
      <c r="IVD63" s="175"/>
      <c r="IVE63" s="175"/>
      <c r="IVF63" s="176"/>
      <c r="IVG63" s="104"/>
      <c r="IVH63" s="106"/>
      <c r="IVI63" s="175"/>
      <c r="IVJ63" s="175"/>
      <c r="IVK63" s="175"/>
      <c r="IVL63" s="175"/>
      <c r="IVM63" s="176"/>
      <c r="IVN63" s="104"/>
      <c r="IVO63" s="106"/>
      <c r="IVP63" s="175"/>
      <c r="IVQ63" s="175"/>
      <c r="IVR63" s="175"/>
      <c r="IVS63" s="175"/>
      <c r="IVT63" s="176"/>
      <c r="IVU63" s="104"/>
      <c r="IVV63" s="106"/>
      <c r="IVW63" s="175"/>
      <c r="IVX63" s="175"/>
      <c r="IVY63" s="175"/>
      <c r="IVZ63" s="175"/>
      <c r="IWA63" s="176"/>
      <c r="IWB63" s="104"/>
      <c r="IWC63" s="106"/>
      <c r="IWD63" s="175"/>
      <c r="IWE63" s="175"/>
      <c r="IWF63" s="175"/>
      <c r="IWG63" s="175"/>
      <c r="IWH63" s="176"/>
      <c r="IWI63" s="104"/>
      <c r="IWJ63" s="106"/>
      <c r="IWK63" s="175"/>
      <c r="IWL63" s="175"/>
      <c r="IWM63" s="175"/>
      <c r="IWN63" s="175"/>
      <c r="IWO63" s="176"/>
      <c r="IWP63" s="104"/>
      <c r="IWQ63" s="106"/>
      <c r="IWR63" s="175"/>
      <c r="IWS63" s="175"/>
      <c r="IWT63" s="175"/>
      <c r="IWU63" s="175"/>
      <c r="IWV63" s="176"/>
      <c r="IWW63" s="104"/>
      <c r="IWX63" s="106"/>
      <c r="IWY63" s="175"/>
      <c r="IWZ63" s="175"/>
      <c r="IXA63" s="175"/>
      <c r="IXB63" s="175"/>
      <c r="IXC63" s="176"/>
      <c r="IXD63" s="104"/>
      <c r="IXE63" s="106"/>
      <c r="IXF63" s="175"/>
      <c r="IXG63" s="175"/>
      <c r="IXH63" s="175"/>
      <c r="IXI63" s="175"/>
      <c r="IXJ63" s="176"/>
      <c r="IXK63" s="104"/>
      <c r="IXL63" s="106"/>
      <c r="IXM63" s="175"/>
      <c r="IXN63" s="175"/>
      <c r="IXO63" s="175"/>
      <c r="IXP63" s="175"/>
      <c r="IXQ63" s="176"/>
      <c r="IXR63" s="104"/>
      <c r="IXS63" s="106"/>
      <c r="IXT63" s="175"/>
      <c r="IXU63" s="175"/>
      <c r="IXV63" s="175"/>
      <c r="IXW63" s="175"/>
      <c r="IXX63" s="176"/>
      <c r="IXY63" s="104"/>
      <c r="IXZ63" s="106"/>
      <c r="IYA63" s="175"/>
      <c r="IYB63" s="175"/>
      <c r="IYC63" s="175"/>
      <c r="IYD63" s="175"/>
      <c r="IYE63" s="176"/>
      <c r="IYF63" s="104"/>
      <c r="IYG63" s="106"/>
      <c r="IYH63" s="175"/>
      <c r="IYI63" s="175"/>
      <c r="IYJ63" s="175"/>
      <c r="IYK63" s="175"/>
      <c r="IYL63" s="176"/>
      <c r="IYM63" s="104"/>
      <c r="IYN63" s="106"/>
      <c r="IYO63" s="175"/>
      <c r="IYP63" s="175"/>
      <c r="IYQ63" s="175"/>
      <c r="IYR63" s="175"/>
      <c r="IYS63" s="176"/>
      <c r="IYT63" s="104"/>
      <c r="IYU63" s="106"/>
      <c r="IYV63" s="175"/>
      <c r="IYW63" s="175"/>
      <c r="IYX63" s="175"/>
      <c r="IYY63" s="175"/>
      <c r="IYZ63" s="176"/>
      <c r="IZA63" s="104"/>
      <c r="IZB63" s="106"/>
      <c r="IZC63" s="175"/>
      <c r="IZD63" s="175"/>
      <c r="IZE63" s="175"/>
      <c r="IZF63" s="175"/>
      <c r="IZG63" s="176"/>
      <c r="IZH63" s="104"/>
      <c r="IZI63" s="106"/>
      <c r="IZJ63" s="175"/>
      <c r="IZK63" s="175"/>
      <c r="IZL63" s="175"/>
      <c r="IZM63" s="175"/>
      <c r="IZN63" s="176"/>
      <c r="IZO63" s="104"/>
      <c r="IZP63" s="106"/>
      <c r="IZQ63" s="175"/>
      <c r="IZR63" s="175"/>
      <c r="IZS63" s="175"/>
      <c r="IZT63" s="175"/>
      <c r="IZU63" s="176"/>
      <c r="IZV63" s="104"/>
      <c r="IZW63" s="106"/>
      <c r="IZX63" s="175"/>
      <c r="IZY63" s="175"/>
      <c r="IZZ63" s="175"/>
      <c r="JAA63" s="175"/>
      <c r="JAB63" s="176"/>
      <c r="JAC63" s="104"/>
      <c r="JAD63" s="106"/>
      <c r="JAE63" s="175"/>
      <c r="JAF63" s="175"/>
      <c r="JAG63" s="175"/>
      <c r="JAH63" s="175"/>
      <c r="JAI63" s="176"/>
      <c r="JAJ63" s="104"/>
      <c r="JAK63" s="106"/>
      <c r="JAL63" s="175"/>
      <c r="JAM63" s="175"/>
      <c r="JAN63" s="175"/>
      <c r="JAO63" s="175"/>
      <c r="JAP63" s="176"/>
      <c r="JAQ63" s="104"/>
      <c r="JAR63" s="106"/>
      <c r="JAS63" s="175"/>
      <c r="JAT63" s="175"/>
      <c r="JAU63" s="175"/>
      <c r="JAV63" s="175"/>
      <c r="JAW63" s="176"/>
      <c r="JAX63" s="104"/>
      <c r="JAY63" s="106"/>
      <c r="JAZ63" s="175"/>
      <c r="JBA63" s="175"/>
      <c r="JBB63" s="175"/>
      <c r="JBC63" s="175"/>
      <c r="JBD63" s="176"/>
      <c r="JBE63" s="104"/>
      <c r="JBF63" s="106"/>
      <c r="JBG63" s="175"/>
      <c r="JBH63" s="175"/>
      <c r="JBI63" s="175"/>
      <c r="JBJ63" s="175"/>
      <c r="JBK63" s="176"/>
      <c r="JBL63" s="104"/>
      <c r="JBM63" s="106"/>
      <c r="JBN63" s="175"/>
      <c r="JBO63" s="175"/>
      <c r="JBP63" s="175"/>
      <c r="JBQ63" s="175"/>
      <c r="JBR63" s="176"/>
      <c r="JBS63" s="104"/>
      <c r="JBT63" s="106"/>
      <c r="JBU63" s="175"/>
      <c r="JBV63" s="175"/>
      <c r="JBW63" s="175"/>
      <c r="JBX63" s="175"/>
      <c r="JBY63" s="176"/>
      <c r="JBZ63" s="104"/>
      <c r="JCA63" s="106"/>
      <c r="JCB63" s="175"/>
      <c r="JCC63" s="175"/>
      <c r="JCD63" s="175"/>
      <c r="JCE63" s="175"/>
      <c r="JCF63" s="176"/>
      <c r="JCG63" s="104"/>
      <c r="JCH63" s="106"/>
      <c r="JCI63" s="175"/>
      <c r="JCJ63" s="175"/>
      <c r="JCK63" s="175"/>
      <c r="JCL63" s="175"/>
      <c r="JCM63" s="176"/>
      <c r="JCN63" s="104"/>
      <c r="JCO63" s="106"/>
      <c r="JCP63" s="175"/>
      <c r="JCQ63" s="175"/>
      <c r="JCR63" s="175"/>
      <c r="JCS63" s="175"/>
      <c r="JCT63" s="176"/>
      <c r="JCU63" s="104"/>
      <c r="JCV63" s="106"/>
      <c r="JCW63" s="175"/>
      <c r="JCX63" s="175"/>
      <c r="JCY63" s="175"/>
      <c r="JCZ63" s="175"/>
      <c r="JDA63" s="176"/>
      <c r="JDB63" s="104"/>
      <c r="JDC63" s="106"/>
      <c r="JDD63" s="175"/>
      <c r="JDE63" s="175"/>
      <c r="JDF63" s="175"/>
      <c r="JDG63" s="175"/>
      <c r="JDH63" s="176"/>
      <c r="JDI63" s="104"/>
      <c r="JDJ63" s="106"/>
      <c r="JDK63" s="175"/>
      <c r="JDL63" s="175"/>
      <c r="JDM63" s="175"/>
      <c r="JDN63" s="175"/>
      <c r="JDO63" s="176"/>
      <c r="JDP63" s="104"/>
      <c r="JDQ63" s="106"/>
      <c r="JDR63" s="175"/>
      <c r="JDS63" s="175"/>
      <c r="JDT63" s="175"/>
      <c r="JDU63" s="175"/>
      <c r="JDV63" s="176"/>
      <c r="JDW63" s="104"/>
      <c r="JDX63" s="106"/>
      <c r="JDY63" s="175"/>
      <c r="JDZ63" s="175"/>
      <c r="JEA63" s="175"/>
      <c r="JEB63" s="175"/>
      <c r="JEC63" s="176"/>
      <c r="JED63" s="104"/>
      <c r="JEE63" s="106"/>
      <c r="JEF63" s="175"/>
      <c r="JEG63" s="175"/>
      <c r="JEH63" s="175"/>
      <c r="JEI63" s="175"/>
      <c r="JEJ63" s="176"/>
      <c r="JEK63" s="104"/>
      <c r="JEL63" s="106"/>
      <c r="JEM63" s="175"/>
      <c r="JEN63" s="175"/>
      <c r="JEO63" s="175"/>
      <c r="JEP63" s="175"/>
      <c r="JEQ63" s="176"/>
      <c r="JER63" s="104"/>
      <c r="JES63" s="106"/>
      <c r="JET63" s="175"/>
      <c r="JEU63" s="175"/>
      <c r="JEV63" s="175"/>
      <c r="JEW63" s="175"/>
      <c r="JEX63" s="176"/>
      <c r="JEY63" s="104"/>
      <c r="JEZ63" s="106"/>
      <c r="JFA63" s="175"/>
      <c r="JFB63" s="175"/>
      <c r="JFC63" s="175"/>
      <c r="JFD63" s="175"/>
      <c r="JFE63" s="176"/>
      <c r="JFF63" s="104"/>
      <c r="JFG63" s="106"/>
      <c r="JFH63" s="175"/>
      <c r="JFI63" s="175"/>
      <c r="JFJ63" s="175"/>
      <c r="JFK63" s="175"/>
      <c r="JFL63" s="176"/>
      <c r="JFM63" s="104"/>
      <c r="JFN63" s="106"/>
      <c r="JFO63" s="175"/>
      <c r="JFP63" s="175"/>
      <c r="JFQ63" s="175"/>
      <c r="JFR63" s="175"/>
      <c r="JFS63" s="176"/>
      <c r="JFT63" s="104"/>
      <c r="JFU63" s="106"/>
      <c r="JFV63" s="175"/>
      <c r="JFW63" s="175"/>
      <c r="JFX63" s="175"/>
      <c r="JFY63" s="175"/>
      <c r="JFZ63" s="176"/>
      <c r="JGA63" s="104"/>
      <c r="JGB63" s="106"/>
      <c r="JGC63" s="175"/>
      <c r="JGD63" s="175"/>
      <c r="JGE63" s="175"/>
      <c r="JGF63" s="175"/>
      <c r="JGG63" s="176"/>
      <c r="JGH63" s="104"/>
      <c r="JGI63" s="106"/>
      <c r="JGJ63" s="175"/>
      <c r="JGK63" s="175"/>
      <c r="JGL63" s="175"/>
      <c r="JGM63" s="175"/>
      <c r="JGN63" s="176"/>
      <c r="JGO63" s="104"/>
      <c r="JGP63" s="106"/>
      <c r="JGQ63" s="175"/>
      <c r="JGR63" s="175"/>
      <c r="JGS63" s="175"/>
      <c r="JGT63" s="175"/>
      <c r="JGU63" s="176"/>
      <c r="JGV63" s="104"/>
      <c r="JGW63" s="106"/>
      <c r="JGX63" s="175"/>
      <c r="JGY63" s="175"/>
      <c r="JGZ63" s="175"/>
      <c r="JHA63" s="175"/>
      <c r="JHB63" s="176"/>
      <c r="JHC63" s="104"/>
      <c r="JHD63" s="106"/>
      <c r="JHE63" s="175"/>
      <c r="JHF63" s="175"/>
      <c r="JHG63" s="175"/>
      <c r="JHH63" s="175"/>
      <c r="JHI63" s="176"/>
      <c r="JHJ63" s="104"/>
      <c r="JHK63" s="106"/>
      <c r="JHL63" s="175"/>
      <c r="JHM63" s="175"/>
      <c r="JHN63" s="175"/>
      <c r="JHO63" s="175"/>
      <c r="JHP63" s="176"/>
      <c r="JHQ63" s="104"/>
      <c r="JHR63" s="106"/>
      <c r="JHS63" s="175"/>
      <c r="JHT63" s="175"/>
      <c r="JHU63" s="175"/>
      <c r="JHV63" s="175"/>
      <c r="JHW63" s="176"/>
      <c r="JHX63" s="104"/>
      <c r="JHY63" s="106"/>
      <c r="JHZ63" s="175"/>
      <c r="JIA63" s="175"/>
      <c r="JIB63" s="175"/>
      <c r="JIC63" s="175"/>
      <c r="JID63" s="176"/>
      <c r="JIE63" s="104"/>
      <c r="JIF63" s="106"/>
      <c r="JIG63" s="175"/>
      <c r="JIH63" s="175"/>
      <c r="JII63" s="175"/>
      <c r="JIJ63" s="175"/>
      <c r="JIK63" s="176"/>
      <c r="JIL63" s="104"/>
      <c r="JIM63" s="106"/>
      <c r="JIN63" s="175"/>
      <c r="JIO63" s="175"/>
      <c r="JIP63" s="175"/>
      <c r="JIQ63" s="175"/>
      <c r="JIR63" s="176"/>
      <c r="JIS63" s="104"/>
      <c r="JIT63" s="106"/>
      <c r="JIU63" s="175"/>
      <c r="JIV63" s="175"/>
      <c r="JIW63" s="175"/>
      <c r="JIX63" s="175"/>
      <c r="JIY63" s="176"/>
      <c r="JIZ63" s="104"/>
      <c r="JJA63" s="106"/>
      <c r="JJB63" s="175"/>
      <c r="JJC63" s="175"/>
      <c r="JJD63" s="175"/>
      <c r="JJE63" s="175"/>
      <c r="JJF63" s="176"/>
      <c r="JJG63" s="104"/>
      <c r="JJH63" s="106"/>
      <c r="JJI63" s="175"/>
      <c r="JJJ63" s="175"/>
      <c r="JJK63" s="175"/>
      <c r="JJL63" s="175"/>
      <c r="JJM63" s="176"/>
      <c r="JJN63" s="104"/>
      <c r="JJO63" s="106"/>
      <c r="JJP63" s="175"/>
      <c r="JJQ63" s="175"/>
      <c r="JJR63" s="175"/>
      <c r="JJS63" s="175"/>
      <c r="JJT63" s="176"/>
      <c r="JJU63" s="104"/>
      <c r="JJV63" s="106"/>
      <c r="JJW63" s="175"/>
      <c r="JJX63" s="175"/>
      <c r="JJY63" s="175"/>
      <c r="JJZ63" s="175"/>
      <c r="JKA63" s="176"/>
      <c r="JKB63" s="104"/>
      <c r="JKC63" s="106"/>
      <c r="JKD63" s="175"/>
      <c r="JKE63" s="175"/>
      <c r="JKF63" s="175"/>
      <c r="JKG63" s="175"/>
      <c r="JKH63" s="176"/>
      <c r="JKI63" s="104"/>
      <c r="JKJ63" s="106"/>
      <c r="JKK63" s="175"/>
      <c r="JKL63" s="175"/>
      <c r="JKM63" s="175"/>
      <c r="JKN63" s="175"/>
      <c r="JKO63" s="176"/>
      <c r="JKP63" s="104"/>
      <c r="JKQ63" s="106"/>
      <c r="JKR63" s="175"/>
      <c r="JKS63" s="175"/>
      <c r="JKT63" s="175"/>
      <c r="JKU63" s="175"/>
      <c r="JKV63" s="176"/>
      <c r="JKW63" s="104"/>
      <c r="JKX63" s="106"/>
      <c r="JKY63" s="175"/>
      <c r="JKZ63" s="175"/>
      <c r="JLA63" s="175"/>
      <c r="JLB63" s="175"/>
      <c r="JLC63" s="176"/>
      <c r="JLD63" s="104"/>
      <c r="JLE63" s="106"/>
      <c r="JLF63" s="175"/>
      <c r="JLG63" s="175"/>
      <c r="JLH63" s="175"/>
      <c r="JLI63" s="175"/>
      <c r="JLJ63" s="176"/>
      <c r="JLK63" s="104"/>
      <c r="JLL63" s="106"/>
      <c r="JLM63" s="175"/>
      <c r="JLN63" s="175"/>
      <c r="JLO63" s="175"/>
      <c r="JLP63" s="175"/>
      <c r="JLQ63" s="176"/>
      <c r="JLR63" s="104"/>
      <c r="JLS63" s="106"/>
      <c r="JLT63" s="175"/>
      <c r="JLU63" s="175"/>
      <c r="JLV63" s="175"/>
      <c r="JLW63" s="175"/>
      <c r="JLX63" s="176"/>
      <c r="JLY63" s="104"/>
      <c r="JLZ63" s="106"/>
      <c r="JMA63" s="175"/>
      <c r="JMB63" s="175"/>
      <c r="JMC63" s="175"/>
      <c r="JMD63" s="175"/>
      <c r="JME63" s="176"/>
      <c r="JMF63" s="104"/>
      <c r="JMG63" s="106"/>
      <c r="JMH63" s="175"/>
      <c r="JMI63" s="175"/>
      <c r="JMJ63" s="175"/>
      <c r="JMK63" s="175"/>
      <c r="JML63" s="176"/>
      <c r="JMM63" s="104"/>
      <c r="JMN63" s="106"/>
      <c r="JMO63" s="175"/>
      <c r="JMP63" s="175"/>
      <c r="JMQ63" s="175"/>
      <c r="JMR63" s="175"/>
      <c r="JMS63" s="176"/>
      <c r="JMT63" s="104"/>
      <c r="JMU63" s="106"/>
      <c r="JMV63" s="175"/>
      <c r="JMW63" s="175"/>
      <c r="JMX63" s="175"/>
      <c r="JMY63" s="175"/>
      <c r="JMZ63" s="176"/>
      <c r="JNA63" s="104"/>
      <c r="JNB63" s="106"/>
      <c r="JNC63" s="175"/>
      <c r="JND63" s="175"/>
      <c r="JNE63" s="175"/>
      <c r="JNF63" s="175"/>
      <c r="JNG63" s="176"/>
      <c r="JNH63" s="104"/>
      <c r="JNI63" s="106"/>
      <c r="JNJ63" s="175"/>
      <c r="JNK63" s="175"/>
      <c r="JNL63" s="175"/>
      <c r="JNM63" s="175"/>
      <c r="JNN63" s="176"/>
      <c r="JNO63" s="104"/>
      <c r="JNP63" s="106"/>
      <c r="JNQ63" s="175"/>
      <c r="JNR63" s="175"/>
      <c r="JNS63" s="175"/>
      <c r="JNT63" s="175"/>
      <c r="JNU63" s="176"/>
      <c r="JNV63" s="104"/>
      <c r="JNW63" s="106"/>
      <c r="JNX63" s="175"/>
      <c r="JNY63" s="175"/>
      <c r="JNZ63" s="175"/>
      <c r="JOA63" s="175"/>
      <c r="JOB63" s="176"/>
      <c r="JOC63" s="104"/>
      <c r="JOD63" s="106"/>
      <c r="JOE63" s="175"/>
      <c r="JOF63" s="175"/>
      <c r="JOG63" s="175"/>
      <c r="JOH63" s="175"/>
      <c r="JOI63" s="176"/>
      <c r="JOJ63" s="104"/>
      <c r="JOK63" s="106"/>
      <c r="JOL63" s="175"/>
      <c r="JOM63" s="175"/>
      <c r="JON63" s="175"/>
      <c r="JOO63" s="175"/>
      <c r="JOP63" s="176"/>
      <c r="JOQ63" s="104"/>
      <c r="JOR63" s="106"/>
      <c r="JOS63" s="175"/>
      <c r="JOT63" s="175"/>
      <c r="JOU63" s="175"/>
      <c r="JOV63" s="175"/>
      <c r="JOW63" s="176"/>
      <c r="JOX63" s="104"/>
      <c r="JOY63" s="106"/>
      <c r="JOZ63" s="175"/>
      <c r="JPA63" s="175"/>
      <c r="JPB63" s="175"/>
      <c r="JPC63" s="175"/>
      <c r="JPD63" s="176"/>
      <c r="JPE63" s="104"/>
      <c r="JPF63" s="106"/>
      <c r="JPG63" s="175"/>
      <c r="JPH63" s="175"/>
      <c r="JPI63" s="175"/>
      <c r="JPJ63" s="175"/>
      <c r="JPK63" s="176"/>
      <c r="JPL63" s="104"/>
      <c r="JPM63" s="106"/>
      <c r="JPN63" s="175"/>
      <c r="JPO63" s="175"/>
      <c r="JPP63" s="175"/>
      <c r="JPQ63" s="175"/>
      <c r="JPR63" s="176"/>
      <c r="JPS63" s="104"/>
      <c r="JPT63" s="106"/>
      <c r="JPU63" s="175"/>
      <c r="JPV63" s="175"/>
      <c r="JPW63" s="175"/>
      <c r="JPX63" s="175"/>
      <c r="JPY63" s="176"/>
      <c r="JPZ63" s="104"/>
      <c r="JQA63" s="106"/>
      <c r="JQB63" s="175"/>
      <c r="JQC63" s="175"/>
      <c r="JQD63" s="175"/>
      <c r="JQE63" s="175"/>
      <c r="JQF63" s="176"/>
      <c r="JQG63" s="104"/>
      <c r="JQH63" s="106"/>
      <c r="JQI63" s="175"/>
      <c r="JQJ63" s="175"/>
      <c r="JQK63" s="175"/>
      <c r="JQL63" s="175"/>
      <c r="JQM63" s="176"/>
      <c r="JQN63" s="104"/>
      <c r="JQO63" s="106"/>
      <c r="JQP63" s="175"/>
      <c r="JQQ63" s="175"/>
      <c r="JQR63" s="175"/>
      <c r="JQS63" s="175"/>
      <c r="JQT63" s="176"/>
      <c r="JQU63" s="104"/>
      <c r="JQV63" s="106"/>
      <c r="JQW63" s="175"/>
      <c r="JQX63" s="175"/>
      <c r="JQY63" s="175"/>
      <c r="JQZ63" s="175"/>
      <c r="JRA63" s="176"/>
      <c r="JRB63" s="104"/>
      <c r="JRC63" s="106"/>
      <c r="JRD63" s="175"/>
      <c r="JRE63" s="175"/>
      <c r="JRF63" s="175"/>
      <c r="JRG63" s="175"/>
      <c r="JRH63" s="176"/>
      <c r="JRI63" s="104"/>
      <c r="JRJ63" s="106"/>
      <c r="JRK63" s="175"/>
      <c r="JRL63" s="175"/>
      <c r="JRM63" s="175"/>
      <c r="JRN63" s="175"/>
      <c r="JRO63" s="176"/>
      <c r="JRP63" s="104"/>
      <c r="JRQ63" s="106"/>
      <c r="JRR63" s="175"/>
      <c r="JRS63" s="175"/>
      <c r="JRT63" s="175"/>
      <c r="JRU63" s="175"/>
      <c r="JRV63" s="176"/>
      <c r="JRW63" s="104"/>
      <c r="JRX63" s="106"/>
      <c r="JRY63" s="175"/>
      <c r="JRZ63" s="175"/>
      <c r="JSA63" s="175"/>
      <c r="JSB63" s="175"/>
      <c r="JSC63" s="176"/>
      <c r="JSD63" s="104"/>
      <c r="JSE63" s="106"/>
      <c r="JSF63" s="175"/>
      <c r="JSG63" s="175"/>
      <c r="JSH63" s="175"/>
      <c r="JSI63" s="175"/>
      <c r="JSJ63" s="176"/>
      <c r="JSK63" s="104"/>
      <c r="JSL63" s="106"/>
      <c r="JSM63" s="175"/>
      <c r="JSN63" s="175"/>
      <c r="JSO63" s="175"/>
      <c r="JSP63" s="175"/>
      <c r="JSQ63" s="176"/>
      <c r="JSR63" s="104"/>
      <c r="JSS63" s="106"/>
      <c r="JST63" s="175"/>
      <c r="JSU63" s="175"/>
      <c r="JSV63" s="175"/>
      <c r="JSW63" s="175"/>
      <c r="JSX63" s="176"/>
      <c r="JSY63" s="104"/>
      <c r="JSZ63" s="106"/>
      <c r="JTA63" s="175"/>
      <c r="JTB63" s="175"/>
      <c r="JTC63" s="175"/>
      <c r="JTD63" s="175"/>
      <c r="JTE63" s="176"/>
      <c r="JTF63" s="104"/>
      <c r="JTG63" s="106"/>
      <c r="JTH63" s="175"/>
      <c r="JTI63" s="175"/>
      <c r="JTJ63" s="175"/>
      <c r="JTK63" s="175"/>
      <c r="JTL63" s="176"/>
      <c r="JTM63" s="104"/>
      <c r="JTN63" s="106"/>
      <c r="JTO63" s="175"/>
      <c r="JTP63" s="175"/>
      <c r="JTQ63" s="175"/>
      <c r="JTR63" s="175"/>
      <c r="JTS63" s="176"/>
      <c r="JTT63" s="104"/>
      <c r="JTU63" s="106"/>
      <c r="JTV63" s="175"/>
      <c r="JTW63" s="175"/>
      <c r="JTX63" s="175"/>
      <c r="JTY63" s="175"/>
      <c r="JTZ63" s="176"/>
      <c r="JUA63" s="104"/>
      <c r="JUB63" s="106"/>
      <c r="JUC63" s="175"/>
      <c r="JUD63" s="175"/>
      <c r="JUE63" s="175"/>
      <c r="JUF63" s="175"/>
      <c r="JUG63" s="176"/>
      <c r="JUH63" s="104"/>
      <c r="JUI63" s="106"/>
      <c r="JUJ63" s="175"/>
      <c r="JUK63" s="175"/>
      <c r="JUL63" s="175"/>
      <c r="JUM63" s="175"/>
      <c r="JUN63" s="176"/>
      <c r="JUO63" s="104"/>
      <c r="JUP63" s="106"/>
      <c r="JUQ63" s="175"/>
      <c r="JUR63" s="175"/>
      <c r="JUS63" s="175"/>
      <c r="JUT63" s="175"/>
      <c r="JUU63" s="176"/>
      <c r="JUV63" s="104"/>
      <c r="JUW63" s="106"/>
      <c r="JUX63" s="175"/>
      <c r="JUY63" s="175"/>
      <c r="JUZ63" s="175"/>
      <c r="JVA63" s="175"/>
      <c r="JVB63" s="176"/>
      <c r="JVC63" s="104"/>
      <c r="JVD63" s="106"/>
      <c r="JVE63" s="175"/>
      <c r="JVF63" s="175"/>
      <c r="JVG63" s="175"/>
      <c r="JVH63" s="175"/>
      <c r="JVI63" s="176"/>
      <c r="JVJ63" s="104"/>
      <c r="JVK63" s="106"/>
      <c r="JVL63" s="175"/>
      <c r="JVM63" s="175"/>
      <c r="JVN63" s="175"/>
      <c r="JVO63" s="175"/>
      <c r="JVP63" s="176"/>
      <c r="JVQ63" s="104"/>
      <c r="JVR63" s="106"/>
      <c r="JVS63" s="175"/>
      <c r="JVT63" s="175"/>
      <c r="JVU63" s="175"/>
      <c r="JVV63" s="175"/>
      <c r="JVW63" s="176"/>
      <c r="JVX63" s="104"/>
      <c r="JVY63" s="106"/>
      <c r="JVZ63" s="175"/>
      <c r="JWA63" s="175"/>
      <c r="JWB63" s="175"/>
      <c r="JWC63" s="175"/>
      <c r="JWD63" s="176"/>
      <c r="JWE63" s="104"/>
      <c r="JWF63" s="106"/>
      <c r="JWG63" s="175"/>
      <c r="JWH63" s="175"/>
      <c r="JWI63" s="175"/>
      <c r="JWJ63" s="175"/>
      <c r="JWK63" s="176"/>
      <c r="JWL63" s="104"/>
      <c r="JWM63" s="106"/>
      <c r="JWN63" s="175"/>
      <c r="JWO63" s="175"/>
      <c r="JWP63" s="175"/>
      <c r="JWQ63" s="175"/>
      <c r="JWR63" s="176"/>
      <c r="JWS63" s="104"/>
      <c r="JWT63" s="106"/>
      <c r="JWU63" s="175"/>
      <c r="JWV63" s="175"/>
      <c r="JWW63" s="175"/>
      <c r="JWX63" s="175"/>
      <c r="JWY63" s="176"/>
      <c r="JWZ63" s="104"/>
      <c r="JXA63" s="106"/>
      <c r="JXB63" s="175"/>
      <c r="JXC63" s="175"/>
      <c r="JXD63" s="175"/>
      <c r="JXE63" s="175"/>
      <c r="JXF63" s="176"/>
      <c r="JXG63" s="104"/>
      <c r="JXH63" s="106"/>
      <c r="JXI63" s="175"/>
      <c r="JXJ63" s="175"/>
      <c r="JXK63" s="175"/>
      <c r="JXL63" s="175"/>
      <c r="JXM63" s="176"/>
      <c r="JXN63" s="104"/>
      <c r="JXO63" s="106"/>
      <c r="JXP63" s="175"/>
      <c r="JXQ63" s="175"/>
      <c r="JXR63" s="175"/>
      <c r="JXS63" s="175"/>
      <c r="JXT63" s="176"/>
      <c r="JXU63" s="104"/>
      <c r="JXV63" s="106"/>
      <c r="JXW63" s="175"/>
      <c r="JXX63" s="175"/>
      <c r="JXY63" s="175"/>
      <c r="JXZ63" s="175"/>
      <c r="JYA63" s="176"/>
      <c r="JYB63" s="104"/>
      <c r="JYC63" s="106"/>
      <c r="JYD63" s="175"/>
      <c r="JYE63" s="175"/>
      <c r="JYF63" s="175"/>
      <c r="JYG63" s="175"/>
      <c r="JYH63" s="176"/>
      <c r="JYI63" s="104"/>
      <c r="JYJ63" s="106"/>
      <c r="JYK63" s="175"/>
      <c r="JYL63" s="175"/>
      <c r="JYM63" s="175"/>
      <c r="JYN63" s="175"/>
      <c r="JYO63" s="176"/>
      <c r="JYP63" s="104"/>
      <c r="JYQ63" s="106"/>
      <c r="JYR63" s="175"/>
      <c r="JYS63" s="175"/>
      <c r="JYT63" s="175"/>
      <c r="JYU63" s="175"/>
      <c r="JYV63" s="176"/>
      <c r="JYW63" s="104"/>
      <c r="JYX63" s="106"/>
      <c r="JYY63" s="175"/>
      <c r="JYZ63" s="175"/>
      <c r="JZA63" s="175"/>
      <c r="JZB63" s="175"/>
      <c r="JZC63" s="176"/>
      <c r="JZD63" s="104"/>
      <c r="JZE63" s="106"/>
      <c r="JZF63" s="175"/>
      <c r="JZG63" s="175"/>
      <c r="JZH63" s="175"/>
      <c r="JZI63" s="175"/>
      <c r="JZJ63" s="176"/>
      <c r="JZK63" s="104"/>
      <c r="JZL63" s="106"/>
      <c r="JZM63" s="175"/>
      <c r="JZN63" s="175"/>
      <c r="JZO63" s="175"/>
      <c r="JZP63" s="175"/>
      <c r="JZQ63" s="176"/>
      <c r="JZR63" s="104"/>
      <c r="JZS63" s="106"/>
      <c r="JZT63" s="175"/>
      <c r="JZU63" s="175"/>
      <c r="JZV63" s="175"/>
      <c r="JZW63" s="175"/>
      <c r="JZX63" s="176"/>
      <c r="JZY63" s="104"/>
      <c r="JZZ63" s="106"/>
      <c r="KAA63" s="175"/>
      <c r="KAB63" s="175"/>
      <c r="KAC63" s="175"/>
      <c r="KAD63" s="175"/>
      <c r="KAE63" s="176"/>
      <c r="KAF63" s="104"/>
      <c r="KAG63" s="106"/>
      <c r="KAH63" s="175"/>
      <c r="KAI63" s="175"/>
      <c r="KAJ63" s="175"/>
      <c r="KAK63" s="175"/>
      <c r="KAL63" s="176"/>
      <c r="KAM63" s="104"/>
      <c r="KAN63" s="106"/>
      <c r="KAO63" s="175"/>
      <c r="KAP63" s="175"/>
      <c r="KAQ63" s="175"/>
      <c r="KAR63" s="175"/>
      <c r="KAS63" s="176"/>
      <c r="KAT63" s="104"/>
      <c r="KAU63" s="106"/>
      <c r="KAV63" s="175"/>
      <c r="KAW63" s="175"/>
      <c r="KAX63" s="175"/>
      <c r="KAY63" s="175"/>
      <c r="KAZ63" s="176"/>
      <c r="KBA63" s="104"/>
      <c r="KBB63" s="106"/>
      <c r="KBC63" s="175"/>
      <c r="KBD63" s="175"/>
      <c r="KBE63" s="175"/>
      <c r="KBF63" s="175"/>
      <c r="KBG63" s="176"/>
      <c r="KBH63" s="104"/>
      <c r="KBI63" s="106"/>
      <c r="KBJ63" s="175"/>
      <c r="KBK63" s="175"/>
      <c r="KBL63" s="175"/>
      <c r="KBM63" s="175"/>
      <c r="KBN63" s="176"/>
      <c r="KBO63" s="104"/>
      <c r="KBP63" s="106"/>
      <c r="KBQ63" s="175"/>
      <c r="KBR63" s="175"/>
      <c r="KBS63" s="175"/>
      <c r="KBT63" s="175"/>
      <c r="KBU63" s="176"/>
      <c r="KBV63" s="104"/>
      <c r="KBW63" s="106"/>
      <c r="KBX63" s="175"/>
      <c r="KBY63" s="175"/>
      <c r="KBZ63" s="175"/>
      <c r="KCA63" s="175"/>
      <c r="KCB63" s="176"/>
      <c r="KCC63" s="104"/>
      <c r="KCD63" s="106"/>
      <c r="KCE63" s="175"/>
      <c r="KCF63" s="175"/>
      <c r="KCG63" s="175"/>
      <c r="KCH63" s="175"/>
      <c r="KCI63" s="176"/>
      <c r="KCJ63" s="104"/>
      <c r="KCK63" s="106"/>
      <c r="KCL63" s="175"/>
      <c r="KCM63" s="175"/>
      <c r="KCN63" s="175"/>
      <c r="KCO63" s="175"/>
      <c r="KCP63" s="176"/>
      <c r="KCQ63" s="104"/>
      <c r="KCR63" s="106"/>
      <c r="KCS63" s="175"/>
      <c r="KCT63" s="175"/>
      <c r="KCU63" s="175"/>
      <c r="KCV63" s="175"/>
      <c r="KCW63" s="176"/>
      <c r="KCX63" s="104"/>
      <c r="KCY63" s="106"/>
      <c r="KCZ63" s="175"/>
      <c r="KDA63" s="175"/>
      <c r="KDB63" s="175"/>
      <c r="KDC63" s="175"/>
      <c r="KDD63" s="176"/>
      <c r="KDE63" s="104"/>
      <c r="KDF63" s="106"/>
      <c r="KDG63" s="175"/>
      <c r="KDH63" s="175"/>
      <c r="KDI63" s="175"/>
      <c r="KDJ63" s="175"/>
      <c r="KDK63" s="176"/>
      <c r="KDL63" s="104"/>
      <c r="KDM63" s="106"/>
      <c r="KDN63" s="175"/>
      <c r="KDO63" s="175"/>
      <c r="KDP63" s="175"/>
      <c r="KDQ63" s="175"/>
      <c r="KDR63" s="176"/>
      <c r="KDS63" s="104"/>
      <c r="KDT63" s="106"/>
      <c r="KDU63" s="175"/>
      <c r="KDV63" s="175"/>
      <c r="KDW63" s="175"/>
      <c r="KDX63" s="175"/>
      <c r="KDY63" s="176"/>
      <c r="KDZ63" s="104"/>
      <c r="KEA63" s="106"/>
      <c r="KEB63" s="175"/>
      <c r="KEC63" s="175"/>
      <c r="KED63" s="175"/>
      <c r="KEE63" s="175"/>
      <c r="KEF63" s="176"/>
      <c r="KEG63" s="104"/>
      <c r="KEH63" s="106"/>
      <c r="KEI63" s="175"/>
      <c r="KEJ63" s="175"/>
      <c r="KEK63" s="175"/>
      <c r="KEL63" s="175"/>
      <c r="KEM63" s="176"/>
      <c r="KEN63" s="104"/>
      <c r="KEO63" s="106"/>
      <c r="KEP63" s="175"/>
      <c r="KEQ63" s="175"/>
      <c r="KER63" s="175"/>
      <c r="KES63" s="175"/>
      <c r="KET63" s="176"/>
      <c r="KEU63" s="104"/>
      <c r="KEV63" s="106"/>
      <c r="KEW63" s="175"/>
      <c r="KEX63" s="175"/>
      <c r="KEY63" s="175"/>
      <c r="KEZ63" s="175"/>
      <c r="KFA63" s="176"/>
      <c r="KFB63" s="104"/>
      <c r="KFC63" s="106"/>
      <c r="KFD63" s="175"/>
      <c r="KFE63" s="175"/>
      <c r="KFF63" s="175"/>
      <c r="KFG63" s="175"/>
      <c r="KFH63" s="176"/>
      <c r="KFI63" s="104"/>
      <c r="KFJ63" s="106"/>
      <c r="KFK63" s="175"/>
      <c r="KFL63" s="175"/>
      <c r="KFM63" s="175"/>
      <c r="KFN63" s="175"/>
      <c r="KFO63" s="176"/>
      <c r="KFP63" s="104"/>
      <c r="KFQ63" s="106"/>
      <c r="KFR63" s="175"/>
      <c r="KFS63" s="175"/>
      <c r="KFT63" s="175"/>
      <c r="KFU63" s="175"/>
      <c r="KFV63" s="176"/>
      <c r="KFW63" s="104"/>
      <c r="KFX63" s="106"/>
      <c r="KFY63" s="175"/>
      <c r="KFZ63" s="175"/>
      <c r="KGA63" s="175"/>
      <c r="KGB63" s="175"/>
      <c r="KGC63" s="176"/>
      <c r="KGD63" s="104"/>
      <c r="KGE63" s="106"/>
      <c r="KGF63" s="175"/>
      <c r="KGG63" s="175"/>
      <c r="KGH63" s="175"/>
      <c r="KGI63" s="175"/>
      <c r="KGJ63" s="176"/>
      <c r="KGK63" s="104"/>
      <c r="KGL63" s="106"/>
      <c r="KGM63" s="175"/>
      <c r="KGN63" s="175"/>
      <c r="KGO63" s="175"/>
      <c r="KGP63" s="175"/>
      <c r="KGQ63" s="176"/>
      <c r="KGR63" s="104"/>
      <c r="KGS63" s="106"/>
      <c r="KGT63" s="175"/>
      <c r="KGU63" s="175"/>
      <c r="KGV63" s="175"/>
      <c r="KGW63" s="175"/>
      <c r="KGX63" s="176"/>
      <c r="KGY63" s="104"/>
      <c r="KGZ63" s="106"/>
      <c r="KHA63" s="175"/>
      <c r="KHB63" s="175"/>
      <c r="KHC63" s="175"/>
      <c r="KHD63" s="175"/>
      <c r="KHE63" s="176"/>
      <c r="KHF63" s="104"/>
      <c r="KHG63" s="106"/>
      <c r="KHH63" s="175"/>
      <c r="KHI63" s="175"/>
      <c r="KHJ63" s="175"/>
      <c r="KHK63" s="175"/>
      <c r="KHL63" s="176"/>
      <c r="KHM63" s="104"/>
      <c r="KHN63" s="106"/>
      <c r="KHO63" s="175"/>
      <c r="KHP63" s="175"/>
      <c r="KHQ63" s="175"/>
      <c r="KHR63" s="175"/>
      <c r="KHS63" s="176"/>
      <c r="KHT63" s="104"/>
      <c r="KHU63" s="106"/>
      <c r="KHV63" s="175"/>
      <c r="KHW63" s="175"/>
      <c r="KHX63" s="175"/>
      <c r="KHY63" s="175"/>
      <c r="KHZ63" s="176"/>
      <c r="KIA63" s="104"/>
      <c r="KIB63" s="106"/>
      <c r="KIC63" s="175"/>
      <c r="KID63" s="175"/>
      <c r="KIE63" s="175"/>
      <c r="KIF63" s="175"/>
      <c r="KIG63" s="176"/>
      <c r="KIH63" s="104"/>
      <c r="KII63" s="106"/>
      <c r="KIJ63" s="175"/>
      <c r="KIK63" s="175"/>
      <c r="KIL63" s="175"/>
      <c r="KIM63" s="175"/>
      <c r="KIN63" s="176"/>
      <c r="KIO63" s="104"/>
      <c r="KIP63" s="106"/>
      <c r="KIQ63" s="175"/>
      <c r="KIR63" s="175"/>
      <c r="KIS63" s="175"/>
      <c r="KIT63" s="175"/>
      <c r="KIU63" s="176"/>
      <c r="KIV63" s="104"/>
      <c r="KIW63" s="106"/>
      <c r="KIX63" s="175"/>
      <c r="KIY63" s="175"/>
      <c r="KIZ63" s="175"/>
      <c r="KJA63" s="175"/>
      <c r="KJB63" s="176"/>
      <c r="KJC63" s="104"/>
      <c r="KJD63" s="106"/>
      <c r="KJE63" s="175"/>
      <c r="KJF63" s="175"/>
      <c r="KJG63" s="175"/>
      <c r="KJH63" s="175"/>
      <c r="KJI63" s="176"/>
      <c r="KJJ63" s="104"/>
      <c r="KJK63" s="106"/>
      <c r="KJL63" s="175"/>
      <c r="KJM63" s="175"/>
      <c r="KJN63" s="175"/>
      <c r="KJO63" s="175"/>
      <c r="KJP63" s="176"/>
      <c r="KJQ63" s="104"/>
      <c r="KJR63" s="106"/>
      <c r="KJS63" s="175"/>
      <c r="KJT63" s="175"/>
      <c r="KJU63" s="175"/>
      <c r="KJV63" s="175"/>
      <c r="KJW63" s="176"/>
      <c r="KJX63" s="104"/>
      <c r="KJY63" s="106"/>
      <c r="KJZ63" s="175"/>
      <c r="KKA63" s="175"/>
      <c r="KKB63" s="175"/>
      <c r="KKC63" s="175"/>
      <c r="KKD63" s="176"/>
      <c r="KKE63" s="104"/>
      <c r="KKF63" s="106"/>
      <c r="KKG63" s="175"/>
      <c r="KKH63" s="175"/>
      <c r="KKI63" s="175"/>
      <c r="KKJ63" s="175"/>
      <c r="KKK63" s="176"/>
      <c r="KKL63" s="104"/>
      <c r="KKM63" s="106"/>
      <c r="KKN63" s="175"/>
      <c r="KKO63" s="175"/>
      <c r="KKP63" s="175"/>
      <c r="KKQ63" s="175"/>
      <c r="KKR63" s="176"/>
      <c r="KKS63" s="104"/>
      <c r="KKT63" s="106"/>
      <c r="KKU63" s="175"/>
      <c r="KKV63" s="175"/>
      <c r="KKW63" s="175"/>
      <c r="KKX63" s="175"/>
      <c r="KKY63" s="176"/>
      <c r="KKZ63" s="104"/>
      <c r="KLA63" s="106"/>
      <c r="KLB63" s="175"/>
      <c r="KLC63" s="175"/>
      <c r="KLD63" s="175"/>
      <c r="KLE63" s="175"/>
      <c r="KLF63" s="176"/>
      <c r="KLG63" s="104"/>
      <c r="KLH63" s="106"/>
      <c r="KLI63" s="175"/>
      <c r="KLJ63" s="175"/>
      <c r="KLK63" s="175"/>
      <c r="KLL63" s="175"/>
      <c r="KLM63" s="176"/>
      <c r="KLN63" s="104"/>
      <c r="KLO63" s="106"/>
      <c r="KLP63" s="175"/>
      <c r="KLQ63" s="175"/>
      <c r="KLR63" s="175"/>
      <c r="KLS63" s="175"/>
      <c r="KLT63" s="176"/>
      <c r="KLU63" s="104"/>
      <c r="KLV63" s="106"/>
      <c r="KLW63" s="175"/>
      <c r="KLX63" s="175"/>
      <c r="KLY63" s="175"/>
      <c r="KLZ63" s="175"/>
      <c r="KMA63" s="176"/>
      <c r="KMB63" s="104"/>
      <c r="KMC63" s="106"/>
      <c r="KMD63" s="175"/>
      <c r="KME63" s="175"/>
      <c r="KMF63" s="175"/>
      <c r="KMG63" s="175"/>
      <c r="KMH63" s="176"/>
      <c r="KMI63" s="104"/>
      <c r="KMJ63" s="106"/>
      <c r="KMK63" s="175"/>
      <c r="KML63" s="175"/>
      <c r="KMM63" s="175"/>
      <c r="KMN63" s="175"/>
      <c r="KMO63" s="176"/>
      <c r="KMP63" s="104"/>
      <c r="KMQ63" s="106"/>
      <c r="KMR63" s="175"/>
      <c r="KMS63" s="175"/>
      <c r="KMT63" s="175"/>
      <c r="KMU63" s="175"/>
      <c r="KMV63" s="176"/>
      <c r="KMW63" s="104"/>
      <c r="KMX63" s="106"/>
      <c r="KMY63" s="175"/>
      <c r="KMZ63" s="175"/>
      <c r="KNA63" s="175"/>
      <c r="KNB63" s="175"/>
      <c r="KNC63" s="176"/>
      <c r="KND63" s="104"/>
      <c r="KNE63" s="106"/>
      <c r="KNF63" s="175"/>
      <c r="KNG63" s="175"/>
      <c r="KNH63" s="175"/>
      <c r="KNI63" s="175"/>
      <c r="KNJ63" s="176"/>
      <c r="KNK63" s="104"/>
      <c r="KNL63" s="106"/>
      <c r="KNM63" s="175"/>
      <c r="KNN63" s="175"/>
      <c r="KNO63" s="175"/>
      <c r="KNP63" s="175"/>
      <c r="KNQ63" s="176"/>
      <c r="KNR63" s="104"/>
      <c r="KNS63" s="106"/>
      <c r="KNT63" s="175"/>
      <c r="KNU63" s="175"/>
      <c r="KNV63" s="175"/>
      <c r="KNW63" s="175"/>
      <c r="KNX63" s="176"/>
      <c r="KNY63" s="104"/>
      <c r="KNZ63" s="106"/>
      <c r="KOA63" s="175"/>
      <c r="KOB63" s="175"/>
      <c r="KOC63" s="175"/>
      <c r="KOD63" s="175"/>
      <c r="KOE63" s="176"/>
      <c r="KOF63" s="104"/>
      <c r="KOG63" s="106"/>
      <c r="KOH63" s="175"/>
      <c r="KOI63" s="175"/>
      <c r="KOJ63" s="175"/>
      <c r="KOK63" s="175"/>
      <c r="KOL63" s="176"/>
      <c r="KOM63" s="104"/>
      <c r="KON63" s="106"/>
      <c r="KOO63" s="175"/>
      <c r="KOP63" s="175"/>
      <c r="KOQ63" s="175"/>
      <c r="KOR63" s="175"/>
      <c r="KOS63" s="176"/>
      <c r="KOT63" s="104"/>
      <c r="KOU63" s="106"/>
      <c r="KOV63" s="175"/>
      <c r="KOW63" s="175"/>
      <c r="KOX63" s="175"/>
      <c r="KOY63" s="175"/>
      <c r="KOZ63" s="176"/>
      <c r="KPA63" s="104"/>
      <c r="KPB63" s="106"/>
      <c r="KPC63" s="175"/>
      <c r="KPD63" s="175"/>
      <c r="KPE63" s="175"/>
      <c r="KPF63" s="175"/>
      <c r="KPG63" s="176"/>
      <c r="KPH63" s="104"/>
      <c r="KPI63" s="106"/>
      <c r="KPJ63" s="175"/>
      <c r="KPK63" s="175"/>
      <c r="KPL63" s="175"/>
      <c r="KPM63" s="175"/>
      <c r="KPN63" s="176"/>
      <c r="KPO63" s="104"/>
      <c r="KPP63" s="106"/>
      <c r="KPQ63" s="175"/>
      <c r="KPR63" s="175"/>
      <c r="KPS63" s="175"/>
      <c r="KPT63" s="175"/>
      <c r="KPU63" s="176"/>
      <c r="KPV63" s="104"/>
      <c r="KPW63" s="106"/>
      <c r="KPX63" s="175"/>
      <c r="KPY63" s="175"/>
      <c r="KPZ63" s="175"/>
      <c r="KQA63" s="175"/>
      <c r="KQB63" s="176"/>
      <c r="KQC63" s="104"/>
      <c r="KQD63" s="106"/>
      <c r="KQE63" s="175"/>
      <c r="KQF63" s="175"/>
      <c r="KQG63" s="175"/>
      <c r="KQH63" s="175"/>
      <c r="KQI63" s="176"/>
      <c r="KQJ63" s="104"/>
      <c r="KQK63" s="106"/>
      <c r="KQL63" s="175"/>
      <c r="KQM63" s="175"/>
      <c r="KQN63" s="175"/>
      <c r="KQO63" s="175"/>
      <c r="KQP63" s="176"/>
      <c r="KQQ63" s="104"/>
      <c r="KQR63" s="106"/>
      <c r="KQS63" s="175"/>
      <c r="KQT63" s="175"/>
      <c r="KQU63" s="175"/>
      <c r="KQV63" s="175"/>
      <c r="KQW63" s="176"/>
      <c r="KQX63" s="104"/>
      <c r="KQY63" s="106"/>
      <c r="KQZ63" s="175"/>
      <c r="KRA63" s="175"/>
      <c r="KRB63" s="175"/>
      <c r="KRC63" s="175"/>
      <c r="KRD63" s="176"/>
      <c r="KRE63" s="104"/>
      <c r="KRF63" s="106"/>
      <c r="KRG63" s="175"/>
      <c r="KRH63" s="175"/>
      <c r="KRI63" s="175"/>
      <c r="KRJ63" s="175"/>
      <c r="KRK63" s="176"/>
      <c r="KRL63" s="104"/>
      <c r="KRM63" s="106"/>
      <c r="KRN63" s="175"/>
      <c r="KRO63" s="175"/>
      <c r="KRP63" s="175"/>
      <c r="KRQ63" s="175"/>
      <c r="KRR63" s="176"/>
      <c r="KRS63" s="104"/>
      <c r="KRT63" s="106"/>
      <c r="KRU63" s="175"/>
      <c r="KRV63" s="175"/>
      <c r="KRW63" s="175"/>
      <c r="KRX63" s="175"/>
      <c r="KRY63" s="176"/>
      <c r="KRZ63" s="104"/>
      <c r="KSA63" s="106"/>
      <c r="KSB63" s="175"/>
      <c r="KSC63" s="175"/>
      <c r="KSD63" s="175"/>
      <c r="KSE63" s="175"/>
      <c r="KSF63" s="176"/>
      <c r="KSG63" s="104"/>
      <c r="KSH63" s="106"/>
      <c r="KSI63" s="175"/>
      <c r="KSJ63" s="175"/>
      <c r="KSK63" s="175"/>
      <c r="KSL63" s="175"/>
      <c r="KSM63" s="176"/>
      <c r="KSN63" s="104"/>
      <c r="KSO63" s="106"/>
      <c r="KSP63" s="175"/>
      <c r="KSQ63" s="175"/>
      <c r="KSR63" s="175"/>
      <c r="KSS63" s="175"/>
      <c r="KST63" s="176"/>
      <c r="KSU63" s="104"/>
      <c r="KSV63" s="106"/>
      <c r="KSW63" s="175"/>
      <c r="KSX63" s="175"/>
      <c r="KSY63" s="175"/>
      <c r="KSZ63" s="175"/>
      <c r="KTA63" s="176"/>
      <c r="KTB63" s="104"/>
      <c r="KTC63" s="106"/>
      <c r="KTD63" s="175"/>
      <c r="KTE63" s="175"/>
      <c r="KTF63" s="175"/>
      <c r="KTG63" s="175"/>
      <c r="KTH63" s="176"/>
      <c r="KTI63" s="104"/>
      <c r="KTJ63" s="106"/>
      <c r="KTK63" s="175"/>
      <c r="KTL63" s="175"/>
      <c r="KTM63" s="175"/>
      <c r="KTN63" s="175"/>
      <c r="KTO63" s="176"/>
      <c r="KTP63" s="104"/>
      <c r="KTQ63" s="106"/>
      <c r="KTR63" s="175"/>
      <c r="KTS63" s="175"/>
      <c r="KTT63" s="175"/>
      <c r="KTU63" s="175"/>
      <c r="KTV63" s="176"/>
      <c r="KTW63" s="104"/>
      <c r="KTX63" s="106"/>
      <c r="KTY63" s="175"/>
      <c r="KTZ63" s="175"/>
      <c r="KUA63" s="175"/>
      <c r="KUB63" s="175"/>
      <c r="KUC63" s="176"/>
      <c r="KUD63" s="104"/>
      <c r="KUE63" s="106"/>
      <c r="KUF63" s="175"/>
      <c r="KUG63" s="175"/>
      <c r="KUH63" s="175"/>
      <c r="KUI63" s="175"/>
      <c r="KUJ63" s="176"/>
      <c r="KUK63" s="104"/>
      <c r="KUL63" s="106"/>
      <c r="KUM63" s="175"/>
      <c r="KUN63" s="175"/>
      <c r="KUO63" s="175"/>
      <c r="KUP63" s="175"/>
      <c r="KUQ63" s="176"/>
      <c r="KUR63" s="104"/>
      <c r="KUS63" s="106"/>
      <c r="KUT63" s="175"/>
      <c r="KUU63" s="175"/>
      <c r="KUV63" s="175"/>
      <c r="KUW63" s="175"/>
      <c r="KUX63" s="176"/>
      <c r="KUY63" s="104"/>
      <c r="KUZ63" s="106"/>
      <c r="KVA63" s="175"/>
      <c r="KVB63" s="175"/>
      <c r="KVC63" s="175"/>
      <c r="KVD63" s="175"/>
      <c r="KVE63" s="176"/>
      <c r="KVF63" s="104"/>
      <c r="KVG63" s="106"/>
      <c r="KVH63" s="175"/>
      <c r="KVI63" s="175"/>
      <c r="KVJ63" s="175"/>
      <c r="KVK63" s="175"/>
      <c r="KVL63" s="176"/>
      <c r="KVM63" s="104"/>
      <c r="KVN63" s="106"/>
      <c r="KVO63" s="175"/>
      <c r="KVP63" s="175"/>
      <c r="KVQ63" s="175"/>
      <c r="KVR63" s="175"/>
      <c r="KVS63" s="176"/>
      <c r="KVT63" s="104"/>
      <c r="KVU63" s="106"/>
      <c r="KVV63" s="175"/>
      <c r="KVW63" s="175"/>
      <c r="KVX63" s="175"/>
      <c r="KVY63" s="175"/>
      <c r="KVZ63" s="176"/>
      <c r="KWA63" s="104"/>
      <c r="KWB63" s="106"/>
      <c r="KWC63" s="175"/>
      <c r="KWD63" s="175"/>
      <c r="KWE63" s="175"/>
      <c r="KWF63" s="175"/>
      <c r="KWG63" s="176"/>
      <c r="KWH63" s="104"/>
      <c r="KWI63" s="106"/>
      <c r="KWJ63" s="175"/>
      <c r="KWK63" s="175"/>
      <c r="KWL63" s="175"/>
      <c r="KWM63" s="175"/>
      <c r="KWN63" s="176"/>
      <c r="KWO63" s="104"/>
      <c r="KWP63" s="106"/>
      <c r="KWQ63" s="175"/>
      <c r="KWR63" s="175"/>
      <c r="KWS63" s="175"/>
      <c r="KWT63" s="175"/>
      <c r="KWU63" s="176"/>
      <c r="KWV63" s="104"/>
      <c r="KWW63" s="106"/>
      <c r="KWX63" s="175"/>
      <c r="KWY63" s="175"/>
      <c r="KWZ63" s="175"/>
      <c r="KXA63" s="175"/>
      <c r="KXB63" s="176"/>
      <c r="KXC63" s="104"/>
      <c r="KXD63" s="106"/>
      <c r="KXE63" s="175"/>
      <c r="KXF63" s="175"/>
      <c r="KXG63" s="175"/>
      <c r="KXH63" s="175"/>
      <c r="KXI63" s="176"/>
      <c r="KXJ63" s="104"/>
      <c r="KXK63" s="106"/>
      <c r="KXL63" s="175"/>
      <c r="KXM63" s="175"/>
      <c r="KXN63" s="175"/>
      <c r="KXO63" s="175"/>
      <c r="KXP63" s="176"/>
      <c r="KXQ63" s="104"/>
      <c r="KXR63" s="106"/>
      <c r="KXS63" s="175"/>
      <c r="KXT63" s="175"/>
      <c r="KXU63" s="175"/>
      <c r="KXV63" s="175"/>
      <c r="KXW63" s="176"/>
      <c r="KXX63" s="104"/>
      <c r="KXY63" s="106"/>
      <c r="KXZ63" s="175"/>
      <c r="KYA63" s="175"/>
      <c r="KYB63" s="175"/>
      <c r="KYC63" s="175"/>
      <c r="KYD63" s="176"/>
      <c r="KYE63" s="104"/>
      <c r="KYF63" s="106"/>
      <c r="KYG63" s="175"/>
      <c r="KYH63" s="175"/>
      <c r="KYI63" s="175"/>
      <c r="KYJ63" s="175"/>
      <c r="KYK63" s="176"/>
      <c r="KYL63" s="104"/>
      <c r="KYM63" s="106"/>
      <c r="KYN63" s="175"/>
      <c r="KYO63" s="175"/>
      <c r="KYP63" s="175"/>
      <c r="KYQ63" s="175"/>
      <c r="KYR63" s="176"/>
      <c r="KYS63" s="104"/>
      <c r="KYT63" s="106"/>
      <c r="KYU63" s="175"/>
      <c r="KYV63" s="175"/>
      <c r="KYW63" s="175"/>
      <c r="KYX63" s="175"/>
      <c r="KYY63" s="176"/>
      <c r="KYZ63" s="104"/>
      <c r="KZA63" s="106"/>
      <c r="KZB63" s="175"/>
      <c r="KZC63" s="175"/>
      <c r="KZD63" s="175"/>
      <c r="KZE63" s="175"/>
      <c r="KZF63" s="176"/>
      <c r="KZG63" s="104"/>
      <c r="KZH63" s="106"/>
      <c r="KZI63" s="175"/>
      <c r="KZJ63" s="175"/>
      <c r="KZK63" s="175"/>
      <c r="KZL63" s="175"/>
      <c r="KZM63" s="176"/>
      <c r="KZN63" s="104"/>
      <c r="KZO63" s="106"/>
      <c r="KZP63" s="175"/>
      <c r="KZQ63" s="175"/>
      <c r="KZR63" s="175"/>
      <c r="KZS63" s="175"/>
      <c r="KZT63" s="176"/>
      <c r="KZU63" s="104"/>
      <c r="KZV63" s="106"/>
      <c r="KZW63" s="175"/>
      <c r="KZX63" s="175"/>
      <c r="KZY63" s="175"/>
      <c r="KZZ63" s="175"/>
      <c r="LAA63" s="176"/>
      <c r="LAB63" s="104"/>
      <c r="LAC63" s="106"/>
      <c r="LAD63" s="175"/>
      <c r="LAE63" s="175"/>
      <c r="LAF63" s="175"/>
      <c r="LAG63" s="175"/>
      <c r="LAH63" s="176"/>
      <c r="LAI63" s="104"/>
      <c r="LAJ63" s="106"/>
      <c r="LAK63" s="175"/>
      <c r="LAL63" s="175"/>
      <c r="LAM63" s="175"/>
      <c r="LAN63" s="175"/>
      <c r="LAO63" s="176"/>
      <c r="LAP63" s="104"/>
      <c r="LAQ63" s="106"/>
      <c r="LAR63" s="175"/>
      <c r="LAS63" s="175"/>
      <c r="LAT63" s="175"/>
      <c r="LAU63" s="175"/>
      <c r="LAV63" s="176"/>
      <c r="LAW63" s="104"/>
      <c r="LAX63" s="106"/>
      <c r="LAY63" s="175"/>
      <c r="LAZ63" s="175"/>
      <c r="LBA63" s="175"/>
      <c r="LBB63" s="175"/>
      <c r="LBC63" s="176"/>
      <c r="LBD63" s="104"/>
      <c r="LBE63" s="106"/>
      <c r="LBF63" s="175"/>
      <c r="LBG63" s="175"/>
      <c r="LBH63" s="175"/>
      <c r="LBI63" s="175"/>
      <c r="LBJ63" s="176"/>
      <c r="LBK63" s="104"/>
      <c r="LBL63" s="106"/>
      <c r="LBM63" s="175"/>
      <c r="LBN63" s="175"/>
      <c r="LBO63" s="175"/>
      <c r="LBP63" s="175"/>
      <c r="LBQ63" s="176"/>
      <c r="LBR63" s="104"/>
      <c r="LBS63" s="106"/>
      <c r="LBT63" s="175"/>
      <c r="LBU63" s="175"/>
      <c r="LBV63" s="175"/>
      <c r="LBW63" s="175"/>
      <c r="LBX63" s="176"/>
      <c r="LBY63" s="104"/>
      <c r="LBZ63" s="106"/>
      <c r="LCA63" s="175"/>
      <c r="LCB63" s="175"/>
      <c r="LCC63" s="175"/>
      <c r="LCD63" s="175"/>
      <c r="LCE63" s="176"/>
      <c r="LCF63" s="104"/>
      <c r="LCG63" s="106"/>
      <c r="LCH63" s="175"/>
      <c r="LCI63" s="175"/>
      <c r="LCJ63" s="175"/>
      <c r="LCK63" s="175"/>
      <c r="LCL63" s="176"/>
      <c r="LCM63" s="104"/>
      <c r="LCN63" s="106"/>
      <c r="LCO63" s="175"/>
      <c r="LCP63" s="175"/>
      <c r="LCQ63" s="175"/>
      <c r="LCR63" s="175"/>
      <c r="LCS63" s="176"/>
      <c r="LCT63" s="104"/>
      <c r="LCU63" s="106"/>
      <c r="LCV63" s="175"/>
      <c r="LCW63" s="175"/>
      <c r="LCX63" s="175"/>
      <c r="LCY63" s="175"/>
      <c r="LCZ63" s="176"/>
      <c r="LDA63" s="104"/>
      <c r="LDB63" s="106"/>
      <c r="LDC63" s="175"/>
      <c r="LDD63" s="175"/>
      <c r="LDE63" s="175"/>
      <c r="LDF63" s="175"/>
      <c r="LDG63" s="176"/>
      <c r="LDH63" s="104"/>
      <c r="LDI63" s="106"/>
      <c r="LDJ63" s="175"/>
      <c r="LDK63" s="175"/>
      <c r="LDL63" s="175"/>
      <c r="LDM63" s="175"/>
      <c r="LDN63" s="176"/>
      <c r="LDO63" s="104"/>
      <c r="LDP63" s="106"/>
      <c r="LDQ63" s="175"/>
      <c r="LDR63" s="175"/>
      <c r="LDS63" s="175"/>
      <c r="LDT63" s="175"/>
      <c r="LDU63" s="176"/>
      <c r="LDV63" s="104"/>
      <c r="LDW63" s="106"/>
      <c r="LDX63" s="175"/>
      <c r="LDY63" s="175"/>
      <c r="LDZ63" s="175"/>
      <c r="LEA63" s="175"/>
      <c r="LEB63" s="176"/>
      <c r="LEC63" s="104"/>
      <c r="LED63" s="106"/>
      <c r="LEE63" s="175"/>
      <c r="LEF63" s="175"/>
      <c r="LEG63" s="175"/>
      <c r="LEH63" s="175"/>
      <c r="LEI63" s="176"/>
      <c r="LEJ63" s="104"/>
      <c r="LEK63" s="106"/>
      <c r="LEL63" s="175"/>
      <c r="LEM63" s="175"/>
      <c r="LEN63" s="175"/>
      <c r="LEO63" s="175"/>
      <c r="LEP63" s="176"/>
      <c r="LEQ63" s="104"/>
      <c r="LER63" s="106"/>
      <c r="LES63" s="175"/>
      <c r="LET63" s="175"/>
      <c r="LEU63" s="175"/>
      <c r="LEV63" s="175"/>
      <c r="LEW63" s="176"/>
      <c r="LEX63" s="104"/>
      <c r="LEY63" s="106"/>
      <c r="LEZ63" s="175"/>
      <c r="LFA63" s="175"/>
      <c r="LFB63" s="175"/>
      <c r="LFC63" s="175"/>
      <c r="LFD63" s="176"/>
      <c r="LFE63" s="104"/>
      <c r="LFF63" s="106"/>
      <c r="LFG63" s="175"/>
      <c r="LFH63" s="175"/>
      <c r="LFI63" s="175"/>
      <c r="LFJ63" s="175"/>
      <c r="LFK63" s="176"/>
      <c r="LFL63" s="104"/>
      <c r="LFM63" s="106"/>
      <c r="LFN63" s="175"/>
      <c r="LFO63" s="175"/>
      <c r="LFP63" s="175"/>
      <c r="LFQ63" s="175"/>
      <c r="LFR63" s="176"/>
      <c r="LFS63" s="104"/>
      <c r="LFT63" s="106"/>
      <c r="LFU63" s="175"/>
      <c r="LFV63" s="175"/>
      <c r="LFW63" s="175"/>
      <c r="LFX63" s="175"/>
      <c r="LFY63" s="176"/>
      <c r="LFZ63" s="104"/>
      <c r="LGA63" s="106"/>
      <c r="LGB63" s="175"/>
      <c r="LGC63" s="175"/>
      <c r="LGD63" s="175"/>
      <c r="LGE63" s="175"/>
      <c r="LGF63" s="176"/>
      <c r="LGG63" s="104"/>
      <c r="LGH63" s="106"/>
      <c r="LGI63" s="175"/>
      <c r="LGJ63" s="175"/>
      <c r="LGK63" s="175"/>
      <c r="LGL63" s="175"/>
      <c r="LGM63" s="176"/>
      <c r="LGN63" s="104"/>
      <c r="LGO63" s="106"/>
      <c r="LGP63" s="175"/>
      <c r="LGQ63" s="175"/>
      <c r="LGR63" s="175"/>
      <c r="LGS63" s="175"/>
      <c r="LGT63" s="176"/>
      <c r="LGU63" s="104"/>
      <c r="LGV63" s="106"/>
      <c r="LGW63" s="175"/>
      <c r="LGX63" s="175"/>
      <c r="LGY63" s="175"/>
      <c r="LGZ63" s="175"/>
      <c r="LHA63" s="176"/>
      <c r="LHB63" s="104"/>
      <c r="LHC63" s="106"/>
      <c r="LHD63" s="175"/>
      <c r="LHE63" s="175"/>
      <c r="LHF63" s="175"/>
      <c r="LHG63" s="175"/>
      <c r="LHH63" s="176"/>
      <c r="LHI63" s="104"/>
      <c r="LHJ63" s="106"/>
      <c r="LHK63" s="175"/>
      <c r="LHL63" s="175"/>
      <c r="LHM63" s="175"/>
      <c r="LHN63" s="175"/>
      <c r="LHO63" s="176"/>
      <c r="LHP63" s="104"/>
      <c r="LHQ63" s="106"/>
      <c r="LHR63" s="175"/>
      <c r="LHS63" s="175"/>
      <c r="LHT63" s="175"/>
      <c r="LHU63" s="175"/>
      <c r="LHV63" s="176"/>
      <c r="LHW63" s="104"/>
      <c r="LHX63" s="106"/>
      <c r="LHY63" s="175"/>
      <c r="LHZ63" s="175"/>
      <c r="LIA63" s="175"/>
      <c r="LIB63" s="175"/>
      <c r="LIC63" s="176"/>
      <c r="LID63" s="104"/>
      <c r="LIE63" s="106"/>
      <c r="LIF63" s="175"/>
      <c r="LIG63" s="175"/>
      <c r="LIH63" s="175"/>
      <c r="LII63" s="175"/>
      <c r="LIJ63" s="176"/>
      <c r="LIK63" s="104"/>
      <c r="LIL63" s="106"/>
      <c r="LIM63" s="175"/>
      <c r="LIN63" s="175"/>
      <c r="LIO63" s="175"/>
      <c r="LIP63" s="175"/>
      <c r="LIQ63" s="176"/>
      <c r="LIR63" s="104"/>
      <c r="LIS63" s="106"/>
      <c r="LIT63" s="175"/>
      <c r="LIU63" s="175"/>
      <c r="LIV63" s="175"/>
      <c r="LIW63" s="175"/>
      <c r="LIX63" s="176"/>
      <c r="LIY63" s="104"/>
      <c r="LIZ63" s="106"/>
      <c r="LJA63" s="175"/>
      <c r="LJB63" s="175"/>
      <c r="LJC63" s="175"/>
      <c r="LJD63" s="175"/>
      <c r="LJE63" s="176"/>
      <c r="LJF63" s="104"/>
      <c r="LJG63" s="106"/>
      <c r="LJH63" s="175"/>
      <c r="LJI63" s="175"/>
      <c r="LJJ63" s="175"/>
      <c r="LJK63" s="175"/>
      <c r="LJL63" s="176"/>
      <c r="LJM63" s="104"/>
      <c r="LJN63" s="106"/>
      <c r="LJO63" s="175"/>
      <c r="LJP63" s="175"/>
      <c r="LJQ63" s="175"/>
      <c r="LJR63" s="175"/>
      <c r="LJS63" s="176"/>
      <c r="LJT63" s="104"/>
      <c r="LJU63" s="106"/>
      <c r="LJV63" s="175"/>
      <c r="LJW63" s="175"/>
      <c r="LJX63" s="175"/>
      <c r="LJY63" s="175"/>
      <c r="LJZ63" s="176"/>
      <c r="LKA63" s="104"/>
      <c r="LKB63" s="106"/>
      <c r="LKC63" s="175"/>
      <c r="LKD63" s="175"/>
      <c r="LKE63" s="175"/>
      <c r="LKF63" s="175"/>
      <c r="LKG63" s="176"/>
      <c r="LKH63" s="104"/>
      <c r="LKI63" s="106"/>
      <c r="LKJ63" s="175"/>
      <c r="LKK63" s="175"/>
      <c r="LKL63" s="175"/>
      <c r="LKM63" s="175"/>
      <c r="LKN63" s="176"/>
      <c r="LKO63" s="104"/>
      <c r="LKP63" s="106"/>
      <c r="LKQ63" s="175"/>
      <c r="LKR63" s="175"/>
      <c r="LKS63" s="175"/>
      <c r="LKT63" s="175"/>
      <c r="LKU63" s="176"/>
      <c r="LKV63" s="104"/>
      <c r="LKW63" s="106"/>
      <c r="LKX63" s="175"/>
      <c r="LKY63" s="175"/>
      <c r="LKZ63" s="175"/>
      <c r="LLA63" s="175"/>
      <c r="LLB63" s="176"/>
      <c r="LLC63" s="104"/>
      <c r="LLD63" s="106"/>
      <c r="LLE63" s="175"/>
      <c r="LLF63" s="175"/>
      <c r="LLG63" s="175"/>
      <c r="LLH63" s="175"/>
      <c r="LLI63" s="176"/>
      <c r="LLJ63" s="104"/>
      <c r="LLK63" s="106"/>
      <c r="LLL63" s="175"/>
      <c r="LLM63" s="175"/>
      <c r="LLN63" s="175"/>
      <c r="LLO63" s="175"/>
      <c r="LLP63" s="176"/>
      <c r="LLQ63" s="104"/>
      <c r="LLR63" s="106"/>
      <c r="LLS63" s="175"/>
      <c r="LLT63" s="175"/>
      <c r="LLU63" s="175"/>
      <c r="LLV63" s="175"/>
      <c r="LLW63" s="176"/>
      <c r="LLX63" s="104"/>
      <c r="LLY63" s="106"/>
      <c r="LLZ63" s="175"/>
      <c r="LMA63" s="175"/>
      <c r="LMB63" s="175"/>
      <c r="LMC63" s="175"/>
      <c r="LMD63" s="176"/>
      <c r="LME63" s="104"/>
      <c r="LMF63" s="106"/>
      <c r="LMG63" s="175"/>
      <c r="LMH63" s="175"/>
      <c r="LMI63" s="175"/>
      <c r="LMJ63" s="175"/>
      <c r="LMK63" s="176"/>
      <c r="LML63" s="104"/>
      <c r="LMM63" s="106"/>
      <c r="LMN63" s="175"/>
      <c r="LMO63" s="175"/>
      <c r="LMP63" s="175"/>
      <c r="LMQ63" s="175"/>
      <c r="LMR63" s="176"/>
      <c r="LMS63" s="104"/>
      <c r="LMT63" s="106"/>
      <c r="LMU63" s="175"/>
      <c r="LMV63" s="175"/>
      <c r="LMW63" s="175"/>
      <c r="LMX63" s="175"/>
      <c r="LMY63" s="176"/>
      <c r="LMZ63" s="104"/>
      <c r="LNA63" s="106"/>
      <c r="LNB63" s="175"/>
      <c r="LNC63" s="175"/>
      <c r="LND63" s="175"/>
      <c r="LNE63" s="175"/>
      <c r="LNF63" s="176"/>
      <c r="LNG63" s="104"/>
      <c r="LNH63" s="106"/>
      <c r="LNI63" s="175"/>
      <c r="LNJ63" s="175"/>
      <c r="LNK63" s="175"/>
      <c r="LNL63" s="175"/>
      <c r="LNM63" s="176"/>
      <c r="LNN63" s="104"/>
      <c r="LNO63" s="106"/>
      <c r="LNP63" s="175"/>
      <c r="LNQ63" s="175"/>
      <c r="LNR63" s="175"/>
      <c r="LNS63" s="175"/>
      <c r="LNT63" s="176"/>
      <c r="LNU63" s="104"/>
      <c r="LNV63" s="106"/>
      <c r="LNW63" s="175"/>
      <c r="LNX63" s="175"/>
      <c r="LNY63" s="175"/>
      <c r="LNZ63" s="175"/>
      <c r="LOA63" s="176"/>
      <c r="LOB63" s="104"/>
      <c r="LOC63" s="106"/>
      <c r="LOD63" s="175"/>
      <c r="LOE63" s="175"/>
      <c r="LOF63" s="175"/>
      <c r="LOG63" s="175"/>
      <c r="LOH63" s="176"/>
      <c r="LOI63" s="104"/>
      <c r="LOJ63" s="106"/>
      <c r="LOK63" s="175"/>
      <c r="LOL63" s="175"/>
      <c r="LOM63" s="175"/>
      <c r="LON63" s="175"/>
      <c r="LOO63" s="176"/>
      <c r="LOP63" s="104"/>
      <c r="LOQ63" s="106"/>
      <c r="LOR63" s="175"/>
      <c r="LOS63" s="175"/>
      <c r="LOT63" s="175"/>
      <c r="LOU63" s="175"/>
      <c r="LOV63" s="176"/>
      <c r="LOW63" s="104"/>
      <c r="LOX63" s="106"/>
      <c r="LOY63" s="175"/>
      <c r="LOZ63" s="175"/>
      <c r="LPA63" s="175"/>
      <c r="LPB63" s="175"/>
      <c r="LPC63" s="176"/>
      <c r="LPD63" s="104"/>
      <c r="LPE63" s="106"/>
      <c r="LPF63" s="175"/>
      <c r="LPG63" s="175"/>
      <c r="LPH63" s="175"/>
      <c r="LPI63" s="175"/>
      <c r="LPJ63" s="176"/>
      <c r="LPK63" s="104"/>
      <c r="LPL63" s="106"/>
      <c r="LPM63" s="175"/>
      <c r="LPN63" s="175"/>
      <c r="LPO63" s="175"/>
      <c r="LPP63" s="175"/>
      <c r="LPQ63" s="176"/>
      <c r="LPR63" s="104"/>
      <c r="LPS63" s="106"/>
      <c r="LPT63" s="175"/>
      <c r="LPU63" s="175"/>
      <c r="LPV63" s="175"/>
      <c r="LPW63" s="175"/>
      <c r="LPX63" s="176"/>
      <c r="LPY63" s="104"/>
      <c r="LPZ63" s="106"/>
      <c r="LQA63" s="175"/>
      <c r="LQB63" s="175"/>
      <c r="LQC63" s="175"/>
      <c r="LQD63" s="175"/>
      <c r="LQE63" s="176"/>
      <c r="LQF63" s="104"/>
      <c r="LQG63" s="106"/>
      <c r="LQH63" s="175"/>
      <c r="LQI63" s="175"/>
      <c r="LQJ63" s="175"/>
      <c r="LQK63" s="175"/>
      <c r="LQL63" s="176"/>
      <c r="LQM63" s="104"/>
      <c r="LQN63" s="106"/>
      <c r="LQO63" s="175"/>
      <c r="LQP63" s="175"/>
      <c r="LQQ63" s="175"/>
      <c r="LQR63" s="175"/>
      <c r="LQS63" s="176"/>
      <c r="LQT63" s="104"/>
      <c r="LQU63" s="106"/>
      <c r="LQV63" s="175"/>
      <c r="LQW63" s="175"/>
      <c r="LQX63" s="175"/>
      <c r="LQY63" s="175"/>
      <c r="LQZ63" s="176"/>
      <c r="LRA63" s="104"/>
      <c r="LRB63" s="106"/>
      <c r="LRC63" s="175"/>
      <c r="LRD63" s="175"/>
      <c r="LRE63" s="175"/>
      <c r="LRF63" s="175"/>
      <c r="LRG63" s="176"/>
      <c r="LRH63" s="104"/>
      <c r="LRI63" s="106"/>
      <c r="LRJ63" s="175"/>
      <c r="LRK63" s="175"/>
      <c r="LRL63" s="175"/>
      <c r="LRM63" s="175"/>
      <c r="LRN63" s="176"/>
      <c r="LRO63" s="104"/>
      <c r="LRP63" s="106"/>
      <c r="LRQ63" s="175"/>
      <c r="LRR63" s="175"/>
      <c r="LRS63" s="175"/>
      <c r="LRT63" s="175"/>
      <c r="LRU63" s="176"/>
      <c r="LRV63" s="104"/>
      <c r="LRW63" s="106"/>
      <c r="LRX63" s="175"/>
      <c r="LRY63" s="175"/>
      <c r="LRZ63" s="175"/>
      <c r="LSA63" s="175"/>
      <c r="LSB63" s="176"/>
      <c r="LSC63" s="104"/>
      <c r="LSD63" s="106"/>
      <c r="LSE63" s="175"/>
      <c r="LSF63" s="175"/>
      <c r="LSG63" s="175"/>
      <c r="LSH63" s="175"/>
      <c r="LSI63" s="176"/>
      <c r="LSJ63" s="104"/>
      <c r="LSK63" s="106"/>
      <c r="LSL63" s="175"/>
      <c r="LSM63" s="175"/>
      <c r="LSN63" s="175"/>
      <c r="LSO63" s="175"/>
      <c r="LSP63" s="176"/>
      <c r="LSQ63" s="104"/>
      <c r="LSR63" s="106"/>
      <c r="LSS63" s="175"/>
      <c r="LST63" s="175"/>
      <c r="LSU63" s="175"/>
      <c r="LSV63" s="175"/>
      <c r="LSW63" s="176"/>
      <c r="LSX63" s="104"/>
      <c r="LSY63" s="106"/>
      <c r="LSZ63" s="175"/>
      <c r="LTA63" s="175"/>
      <c r="LTB63" s="175"/>
      <c r="LTC63" s="175"/>
      <c r="LTD63" s="176"/>
      <c r="LTE63" s="104"/>
      <c r="LTF63" s="106"/>
      <c r="LTG63" s="175"/>
      <c r="LTH63" s="175"/>
      <c r="LTI63" s="175"/>
      <c r="LTJ63" s="175"/>
      <c r="LTK63" s="176"/>
      <c r="LTL63" s="104"/>
      <c r="LTM63" s="106"/>
      <c r="LTN63" s="175"/>
      <c r="LTO63" s="175"/>
      <c r="LTP63" s="175"/>
      <c r="LTQ63" s="175"/>
      <c r="LTR63" s="176"/>
      <c r="LTS63" s="104"/>
      <c r="LTT63" s="106"/>
      <c r="LTU63" s="175"/>
      <c r="LTV63" s="175"/>
      <c r="LTW63" s="175"/>
      <c r="LTX63" s="175"/>
      <c r="LTY63" s="176"/>
      <c r="LTZ63" s="104"/>
      <c r="LUA63" s="106"/>
      <c r="LUB63" s="175"/>
      <c r="LUC63" s="175"/>
      <c r="LUD63" s="175"/>
      <c r="LUE63" s="175"/>
      <c r="LUF63" s="176"/>
      <c r="LUG63" s="104"/>
      <c r="LUH63" s="106"/>
      <c r="LUI63" s="175"/>
      <c r="LUJ63" s="175"/>
      <c r="LUK63" s="175"/>
      <c r="LUL63" s="175"/>
      <c r="LUM63" s="176"/>
      <c r="LUN63" s="104"/>
      <c r="LUO63" s="106"/>
      <c r="LUP63" s="175"/>
      <c r="LUQ63" s="175"/>
      <c r="LUR63" s="175"/>
      <c r="LUS63" s="175"/>
      <c r="LUT63" s="176"/>
      <c r="LUU63" s="104"/>
      <c r="LUV63" s="106"/>
      <c r="LUW63" s="175"/>
      <c r="LUX63" s="175"/>
      <c r="LUY63" s="175"/>
      <c r="LUZ63" s="175"/>
      <c r="LVA63" s="176"/>
      <c r="LVB63" s="104"/>
      <c r="LVC63" s="106"/>
      <c r="LVD63" s="175"/>
      <c r="LVE63" s="175"/>
      <c r="LVF63" s="175"/>
      <c r="LVG63" s="175"/>
      <c r="LVH63" s="176"/>
      <c r="LVI63" s="104"/>
      <c r="LVJ63" s="106"/>
      <c r="LVK63" s="175"/>
      <c r="LVL63" s="175"/>
      <c r="LVM63" s="175"/>
      <c r="LVN63" s="175"/>
      <c r="LVO63" s="176"/>
      <c r="LVP63" s="104"/>
      <c r="LVQ63" s="106"/>
      <c r="LVR63" s="175"/>
      <c r="LVS63" s="175"/>
      <c r="LVT63" s="175"/>
      <c r="LVU63" s="175"/>
      <c r="LVV63" s="176"/>
      <c r="LVW63" s="104"/>
      <c r="LVX63" s="106"/>
      <c r="LVY63" s="175"/>
      <c r="LVZ63" s="175"/>
      <c r="LWA63" s="175"/>
      <c r="LWB63" s="175"/>
      <c r="LWC63" s="176"/>
      <c r="LWD63" s="104"/>
      <c r="LWE63" s="106"/>
      <c r="LWF63" s="175"/>
      <c r="LWG63" s="175"/>
      <c r="LWH63" s="175"/>
      <c r="LWI63" s="175"/>
      <c r="LWJ63" s="176"/>
      <c r="LWK63" s="104"/>
      <c r="LWL63" s="106"/>
      <c r="LWM63" s="175"/>
      <c r="LWN63" s="175"/>
      <c r="LWO63" s="175"/>
      <c r="LWP63" s="175"/>
      <c r="LWQ63" s="176"/>
      <c r="LWR63" s="104"/>
      <c r="LWS63" s="106"/>
      <c r="LWT63" s="175"/>
      <c r="LWU63" s="175"/>
      <c r="LWV63" s="175"/>
      <c r="LWW63" s="175"/>
      <c r="LWX63" s="176"/>
      <c r="LWY63" s="104"/>
      <c r="LWZ63" s="106"/>
      <c r="LXA63" s="175"/>
      <c r="LXB63" s="175"/>
      <c r="LXC63" s="175"/>
      <c r="LXD63" s="175"/>
      <c r="LXE63" s="176"/>
      <c r="LXF63" s="104"/>
      <c r="LXG63" s="106"/>
      <c r="LXH63" s="175"/>
      <c r="LXI63" s="175"/>
      <c r="LXJ63" s="175"/>
      <c r="LXK63" s="175"/>
      <c r="LXL63" s="176"/>
      <c r="LXM63" s="104"/>
      <c r="LXN63" s="106"/>
      <c r="LXO63" s="175"/>
      <c r="LXP63" s="175"/>
      <c r="LXQ63" s="175"/>
      <c r="LXR63" s="175"/>
      <c r="LXS63" s="176"/>
      <c r="LXT63" s="104"/>
      <c r="LXU63" s="106"/>
      <c r="LXV63" s="175"/>
      <c r="LXW63" s="175"/>
      <c r="LXX63" s="175"/>
      <c r="LXY63" s="175"/>
      <c r="LXZ63" s="176"/>
      <c r="LYA63" s="104"/>
      <c r="LYB63" s="106"/>
      <c r="LYC63" s="175"/>
      <c r="LYD63" s="175"/>
      <c r="LYE63" s="175"/>
      <c r="LYF63" s="175"/>
      <c r="LYG63" s="176"/>
      <c r="LYH63" s="104"/>
      <c r="LYI63" s="106"/>
      <c r="LYJ63" s="175"/>
      <c r="LYK63" s="175"/>
      <c r="LYL63" s="175"/>
      <c r="LYM63" s="175"/>
      <c r="LYN63" s="176"/>
      <c r="LYO63" s="104"/>
      <c r="LYP63" s="106"/>
      <c r="LYQ63" s="175"/>
      <c r="LYR63" s="175"/>
      <c r="LYS63" s="175"/>
      <c r="LYT63" s="175"/>
      <c r="LYU63" s="176"/>
      <c r="LYV63" s="104"/>
      <c r="LYW63" s="106"/>
      <c r="LYX63" s="175"/>
      <c r="LYY63" s="175"/>
      <c r="LYZ63" s="175"/>
      <c r="LZA63" s="175"/>
      <c r="LZB63" s="176"/>
      <c r="LZC63" s="104"/>
      <c r="LZD63" s="106"/>
      <c r="LZE63" s="175"/>
      <c r="LZF63" s="175"/>
      <c r="LZG63" s="175"/>
      <c r="LZH63" s="175"/>
      <c r="LZI63" s="176"/>
      <c r="LZJ63" s="104"/>
      <c r="LZK63" s="106"/>
      <c r="LZL63" s="175"/>
      <c r="LZM63" s="175"/>
      <c r="LZN63" s="175"/>
      <c r="LZO63" s="175"/>
      <c r="LZP63" s="176"/>
      <c r="LZQ63" s="104"/>
      <c r="LZR63" s="106"/>
      <c r="LZS63" s="175"/>
      <c r="LZT63" s="175"/>
      <c r="LZU63" s="175"/>
      <c r="LZV63" s="175"/>
      <c r="LZW63" s="176"/>
      <c r="LZX63" s="104"/>
      <c r="LZY63" s="106"/>
      <c r="LZZ63" s="175"/>
      <c r="MAA63" s="175"/>
      <c r="MAB63" s="175"/>
      <c r="MAC63" s="175"/>
      <c r="MAD63" s="176"/>
      <c r="MAE63" s="104"/>
      <c r="MAF63" s="106"/>
      <c r="MAG63" s="175"/>
      <c r="MAH63" s="175"/>
      <c r="MAI63" s="175"/>
      <c r="MAJ63" s="175"/>
      <c r="MAK63" s="176"/>
      <c r="MAL63" s="104"/>
      <c r="MAM63" s="106"/>
      <c r="MAN63" s="175"/>
      <c r="MAO63" s="175"/>
      <c r="MAP63" s="175"/>
      <c r="MAQ63" s="175"/>
      <c r="MAR63" s="176"/>
      <c r="MAS63" s="104"/>
      <c r="MAT63" s="106"/>
      <c r="MAU63" s="175"/>
      <c r="MAV63" s="175"/>
      <c r="MAW63" s="175"/>
      <c r="MAX63" s="175"/>
      <c r="MAY63" s="176"/>
      <c r="MAZ63" s="104"/>
      <c r="MBA63" s="106"/>
      <c r="MBB63" s="175"/>
      <c r="MBC63" s="175"/>
      <c r="MBD63" s="175"/>
      <c r="MBE63" s="175"/>
      <c r="MBF63" s="176"/>
      <c r="MBG63" s="104"/>
      <c r="MBH63" s="106"/>
      <c r="MBI63" s="175"/>
      <c r="MBJ63" s="175"/>
      <c r="MBK63" s="175"/>
      <c r="MBL63" s="175"/>
      <c r="MBM63" s="176"/>
      <c r="MBN63" s="104"/>
      <c r="MBO63" s="106"/>
      <c r="MBP63" s="175"/>
      <c r="MBQ63" s="175"/>
      <c r="MBR63" s="175"/>
      <c r="MBS63" s="175"/>
      <c r="MBT63" s="176"/>
      <c r="MBU63" s="104"/>
      <c r="MBV63" s="106"/>
      <c r="MBW63" s="175"/>
      <c r="MBX63" s="175"/>
      <c r="MBY63" s="175"/>
      <c r="MBZ63" s="175"/>
      <c r="MCA63" s="176"/>
      <c r="MCB63" s="104"/>
      <c r="MCC63" s="106"/>
      <c r="MCD63" s="175"/>
      <c r="MCE63" s="175"/>
      <c r="MCF63" s="175"/>
      <c r="MCG63" s="175"/>
      <c r="MCH63" s="176"/>
      <c r="MCI63" s="104"/>
      <c r="MCJ63" s="106"/>
      <c r="MCK63" s="175"/>
      <c r="MCL63" s="175"/>
      <c r="MCM63" s="175"/>
      <c r="MCN63" s="175"/>
      <c r="MCO63" s="176"/>
      <c r="MCP63" s="104"/>
      <c r="MCQ63" s="106"/>
      <c r="MCR63" s="175"/>
      <c r="MCS63" s="175"/>
      <c r="MCT63" s="175"/>
      <c r="MCU63" s="175"/>
      <c r="MCV63" s="176"/>
      <c r="MCW63" s="104"/>
      <c r="MCX63" s="106"/>
      <c r="MCY63" s="175"/>
      <c r="MCZ63" s="175"/>
      <c r="MDA63" s="175"/>
      <c r="MDB63" s="175"/>
      <c r="MDC63" s="176"/>
      <c r="MDD63" s="104"/>
      <c r="MDE63" s="106"/>
      <c r="MDF63" s="175"/>
      <c r="MDG63" s="175"/>
      <c r="MDH63" s="175"/>
      <c r="MDI63" s="175"/>
      <c r="MDJ63" s="176"/>
      <c r="MDK63" s="104"/>
      <c r="MDL63" s="106"/>
      <c r="MDM63" s="175"/>
      <c r="MDN63" s="175"/>
      <c r="MDO63" s="175"/>
      <c r="MDP63" s="175"/>
      <c r="MDQ63" s="176"/>
      <c r="MDR63" s="104"/>
      <c r="MDS63" s="106"/>
      <c r="MDT63" s="175"/>
      <c r="MDU63" s="175"/>
      <c r="MDV63" s="175"/>
      <c r="MDW63" s="175"/>
      <c r="MDX63" s="176"/>
      <c r="MDY63" s="104"/>
      <c r="MDZ63" s="106"/>
      <c r="MEA63" s="175"/>
      <c r="MEB63" s="175"/>
      <c r="MEC63" s="175"/>
      <c r="MED63" s="175"/>
      <c r="MEE63" s="176"/>
      <c r="MEF63" s="104"/>
      <c r="MEG63" s="106"/>
      <c r="MEH63" s="175"/>
      <c r="MEI63" s="175"/>
      <c r="MEJ63" s="175"/>
      <c r="MEK63" s="175"/>
      <c r="MEL63" s="176"/>
      <c r="MEM63" s="104"/>
      <c r="MEN63" s="106"/>
      <c r="MEO63" s="175"/>
      <c r="MEP63" s="175"/>
      <c r="MEQ63" s="175"/>
      <c r="MER63" s="175"/>
      <c r="MES63" s="176"/>
      <c r="MET63" s="104"/>
      <c r="MEU63" s="106"/>
      <c r="MEV63" s="175"/>
      <c r="MEW63" s="175"/>
      <c r="MEX63" s="175"/>
      <c r="MEY63" s="175"/>
      <c r="MEZ63" s="176"/>
      <c r="MFA63" s="104"/>
      <c r="MFB63" s="106"/>
      <c r="MFC63" s="175"/>
      <c r="MFD63" s="175"/>
      <c r="MFE63" s="175"/>
      <c r="MFF63" s="175"/>
      <c r="MFG63" s="176"/>
      <c r="MFH63" s="104"/>
      <c r="MFI63" s="106"/>
      <c r="MFJ63" s="175"/>
      <c r="MFK63" s="175"/>
      <c r="MFL63" s="175"/>
      <c r="MFM63" s="175"/>
      <c r="MFN63" s="176"/>
      <c r="MFO63" s="104"/>
      <c r="MFP63" s="106"/>
      <c r="MFQ63" s="175"/>
      <c r="MFR63" s="175"/>
      <c r="MFS63" s="175"/>
      <c r="MFT63" s="175"/>
      <c r="MFU63" s="176"/>
      <c r="MFV63" s="104"/>
      <c r="MFW63" s="106"/>
      <c r="MFX63" s="175"/>
      <c r="MFY63" s="175"/>
      <c r="MFZ63" s="175"/>
      <c r="MGA63" s="175"/>
      <c r="MGB63" s="176"/>
      <c r="MGC63" s="104"/>
      <c r="MGD63" s="106"/>
      <c r="MGE63" s="175"/>
      <c r="MGF63" s="175"/>
      <c r="MGG63" s="175"/>
      <c r="MGH63" s="175"/>
      <c r="MGI63" s="176"/>
      <c r="MGJ63" s="104"/>
      <c r="MGK63" s="106"/>
      <c r="MGL63" s="175"/>
      <c r="MGM63" s="175"/>
      <c r="MGN63" s="175"/>
      <c r="MGO63" s="175"/>
      <c r="MGP63" s="176"/>
      <c r="MGQ63" s="104"/>
      <c r="MGR63" s="106"/>
      <c r="MGS63" s="175"/>
      <c r="MGT63" s="175"/>
      <c r="MGU63" s="175"/>
      <c r="MGV63" s="175"/>
      <c r="MGW63" s="176"/>
      <c r="MGX63" s="104"/>
      <c r="MGY63" s="106"/>
      <c r="MGZ63" s="175"/>
      <c r="MHA63" s="175"/>
      <c r="MHB63" s="175"/>
      <c r="MHC63" s="175"/>
      <c r="MHD63" s="176"/>
      <c r="MHE63" s="104"/>
      <c r="MHF63" s="106"/>
      <c r="MHG63" s="175"/>
      <c r="MHH63" s="175"/>
      <c r="MHI63" s="175"/>
      <c r="MHJ63" s="175"/>
      <c r="MHK63" s="176"/>
      <c r="MHL63" s="104"/>
      <c r="MHM63" s="106"/>
      <c r="MHN63" s="175"/>
      <c r="MHO63" s="175"/>
      <c r="MHP63" s="175"/>
      <c r="MHQ63" s="175"/>
      <c r="MHR63" s="176"/>
      <c r="MHS63" s="104"/>
      <c r="MHT63" s="106"/>
      <c r="MHU63" s="175"/>
      <c r="MHV63" s="175"/>
      <c r="MHW63" s="175"/>
      <c r="MHX63" s="175"/>
      <c r="MHY63" s="176"/>
      <c r="MHZ63" s="104"/>
      <c r="MIA63" s="106"/>
      <c r="MIB63" s="175"/>
      <c r="MIC63" s="175"/>
      <c r="MID63" s="175"/>
      <c r="MIE63" s="175"/>
      <c r="MIF63" s="176"/>
      <c r="MIG63" s="104"/>
      <c r="MIH63" s="106"/>
      <c r="MII63" s="175"/>
      <c r="MIJ63" s="175"/>
      <c r="MIK63" s="175"/>
      <c r="MIL63" s="175"/>
      <c r="MIM63" s="176"/>
      <c r="MIN63" s="104"/>
      <c r="MIO63" s="106"/>
      <c r="MIP63" s="175"/>
      <c r="MIQ63" s="175"/>
      <c r="MIR63" s="175"/>
      <c r="MIS63" s="175"/>
      <c r="MIT63" s="176"/>
      <c r="MIU63" s="104"/>
      <c r="MIV63" s="106"/>
      <c r="MIW63" s="175"/>
      <c r="MIX63" s="175"/>
      <c r="MIY63" s="175"/>
      <c r="MIZ63" s="175"/>
      <c r="MJA63" s="176"/>
      <c r="MJB63" s="104"/>
      <c r="MJC63" s="106"/>
      <c r="MJD63" s="175"/>
      <c r="MJE63" s="175"/>
      <c r="MJF63" s="175"/>
      <c r="MJG63" s="175"/>
      <c r="MJH63" s="176"/>
      <c r="MJI63" s="104"/>
      <c r="MJJ63" s="106"/>
      <c r="MJK63" s="175"/>
      <c r="MJL63" s="175"/>
      <c r="MJM63" s="175"/>
      <c r="MJN63" s="175"/>
      <c r="MJO63" s="176"/>
      <c r="MJP63" s="104"/>
      <c r="MJQ63" s="106"/>
      <c r="MJR63" s="175"/>
      <c r="MJS63" s="175"/>
      <c r="MJT63" s="175"/>
      <c r="MJU63" s="175"/>
      <c r="MJV63" s="176"/>
      <c r="MJW63" s="104"/>
      <c r="MJX63" s="106"/>
      <c r="MJY63" s="175"/>
      <c r="MJZ63" s="175"/>
      <c r="MKA63" s="175"/>
      <c r="MKB63" s="175"/>
      <c r="MKC63" s="176"/>
      <c r="MKD63" s="104"/>
      <c r="MKE63" s="106"/>
      <c r="MKF63" s="175"/>
      <c r="MKG63" s="175"/>
      <c r="MKH63" s="175"/>
      <c r="MKI63" s="175"/>
      <c r="MKJ63" s="176"/>
      <c r="MKK63" s="104"/>
      <c r="MKL63" s="106"/>
      <c r="MKM63" s="175"/>
      <c r="MKN63" s="175"/>
      <c r="MKO63" s="175"/>
      <c r="MKP63" s="175"/>
      <c r="MKQ63" s="176"/>
      <c r="MKR63" s="104"/>
      <c r="MKS63" s="106"/>
      <c r="MKT63" s="175"/>
      <c r="MKU63" s="175"/>
      <c r="MKV63" s="175"/>
      <c r="MKW63" s="175"/>
      <c r="MKX63" s="176"/>
      <c r="MKY63" s="104"/>
      <c r="MKZ63" s="106"/>
      <c r="MLA63" s="175"/>
      <c r="MLB63" s="175"/>
      <c r="MLC63" s="175"/>
      <c r="MLD63" s="175"/>
      <c r="MLE63" s="176"/>
      <c r="MLF63" s="104"/>
      <c r="MLG63" s="106"/>
      <c r="MLH63" s="175"/>
      <c r="MLI63" s="175"/>
      <c r="MLJ63" s="175"/>
      <c r="MLK63" s="175"/>
      <c r="MLL63" s="176"/>
      <c r="MLM63" s="104"/>
      <c r="MLN63" s="106"/>
      <c r="MLO63" s="175"/>
      <c r="MLP63" s="175"/>
      <c r="MLQ63" s="175"/>
      <c r="MLR63" s="175"/>
      <c r="MLS63" s="176"/>
      <c r="MLT63" s="104"/>
      <c r="MLU63" s="106"/>
      <c r="MLV63" s="175"/>
      <c r="MLW63" s="175"/>
      <c r="MLX63" s="175"/>
      <c r="MLY63" s="175"/>
      <c r="MLZ63" s="176"/>
      <c r="MMA63" s="104"/>
      <c r="MMB63" s="106"/>
      <c r="MMC63" s="175"/>
      <c r="MMD63" s="175"/>
      <c r="MME63" s="175"/>
      <c r="MMF63" s="175"/>
      <c r="MMG63" s="176"/>
      <c r="MMH63" s="104"/>
      <c r="MMI63" s="106"/>
      <c r="MMJ63" s="175"/>
      <c r="MMK63" s="175"/>
      <c r="MML63" s="175"/>
      <c r="MMM63" s="175"/>
      <c r="MMN63" s="176"/>
      <c r="MMO63" s="104"/>
      <c r="MMP63" s="106"/>
      <c r="MMQ63" s="175"/>
      <c r="MMR63" s="175"/>
      <c r="MMS63" s="175"/>
      <c r="MMT63" s="175"/>
      <c r="MMU63" s="176"/>
      <c r="MMV63" s="104"/>
      <c r="MMW63" s="106"/>
      <c r="MMX63" s="175"/>
      <c r="MMY63" s="175"/>
      <c r="MMZ63" s="175"/>
      <c r="MNA63" s="175"/>
      <c r="MNB63" s="176"/>
      <c r="MNC63" s="104"/>
      <c r="MND63" s="106"/>
      <c r="MNE63" s="175"/>
      <c r="MNF63" s="175"/>
      <c r="MNG63" s="175"/>
      <c r="MNH63" s="175"/>
      <c r="MNI63" s="176"/>
      <c r="MNJ63" s="104"/>
      <c r="MNK63" s="106"/>
      <c r="MNL63" s="175"/>
      <c r="MNM63" s="175"/>
      <c r="MNN63" s="175"/>
      <c r="MNO63" s="175"/>
      <c r="MNP63" s="176"/>
      <c r="MNQ63" s="104"/>
      <c r="MNR63" s="106"/>
      <c r="MNS63" s="175"/>
      <c r="MNT63" s="175"/>
      <c r="MNU63" s="175"/>
      <c r="MNV63" s="175"/>
      <c r="MNW63" s="176"/>
      <c r="MNX63" s="104"/>
      <c r="MNY63" s="106"/>
      <c r="MNZ63" s="175"/>
      <c r="MOA63" s="175"/>
      <c r="MOB63" s="175"/>
      <c r="MOC63" s="175"/>
      <c r="MOD63" s="176"/>
      <c r="MOE63" s="104"/>
      <c r="MOF63" s="106"/>
      <c r="MOG63" s="175"/>
      <c r="MOH63" s="175"/>
      <c r="MOI63" s="175"/>
      <c r="MOJ63" s="175"/>
      <c r="MOK63" s="176"/>
      <c r="MOL63" s="104"/>
      <c r="MOM63" s="106"/>
      <c r="MON63" s="175"/>
      <c r="MOO63" s="175"/>
      <c r="MOP63" s="175"/>
      <c r="MOQ63" s="175"/>
      <c r="MOR63" s="176"/>
      <c r="MOS63" s="104"/>
      <c r="MOT63" s="106"/>
      <c r="MOU63" s="175"/>
      <c r="MOV63" s="175"/>
      <c r="MOW63" s="175"/>
      <c r="MOX63" s="175"/>
      <c r="MOY63" s="176"/>
      <c r="MOZ63" s="104"/>
      <c r="MPA63" s="106"/>
      <c r="MPB63" s="175"/>
      <c r="MPC63" s="175"/>
      <c r="MPD63" s="175"/>
      <c r="MPE63" s="175"/>
      <c r="MPF63" s="176"/>
      <c r="MPG63" s="104"/>
      <c r="MPH63" s="106"/>
      <c r="MPI63" s="175"/>
      <c r="MPJ63" s="175"/>
      <c r="MPK63" s="175"/>
      <c r="MPL63" s="175"/>
      <c r="MPM63" s="176"/>
      <c r="MPN63" s="104"/>
      <c r="MPO63" s="106"/>
      <c r="MPP63" s="175"/>
      <c r="MPQ63" s="175"/>
      <c r="MPR63" s="175"/>
      <c r="MPS63" s="175"/>
      <c r="MPT63" s="176"/>
      <c r="MPU63" s="104"/>
      <c r="MPV63" s="106"/>
      <c r="MPW63" s="175"/>
      <c r="MPX63" s="175"/>
      <c r="MPY63" s="175"/>
      <c r="MPZ63" s="175"/>
      <c r="MQA63" s="176"/>
      <c r="MQB63" s="104"/>
      <c r="MQC63" s="106"/>
      <c r="MQD63" s="175"/>
      <c r="MQE63" s="175"/>
      <c r="MQF63" s="175"/>
      <c r="MQG63" s="175"/>
      <c r="MQH63" s="176"/>
      <c r="MQI63" s="104"/>
      <c r="MQJ63" s="106"/>
      <c r="MQK63" s="175"/>
      <c r="MQL63" s="175"/>
      <c r="MQM63" s="175"/>
      <c r="MQN63" s="175"/>
      <c r="MQO63" s="176"/>
      <c r="MQP63" s="104"/>
      <c r="MQQ63" s="106"/>
      <c r="MQR63" s="175"/>
      <c r="MQS63" s="175"/>
      <c r="MQT63" s="175"/>
      <c r="MQU63" s="175"/>
      <c r="MQV63" s="176"/>
      <c r="MQW63" s="104"/>
      <c r="MQX63" s="106"/>
      <c r="MQY63" s="175"/>
      <c r="MQZ63" s="175"/>
      <c r="MRA63" s="175"/>
      <c r="MRB63" s="175"/>
      <c r="MRC63" s="176"/>
      <c r="MRD63" s="104"/>
      <c r="MRE63" s="106"/>
      <c r="MRF63" s="175"/>
      <c r="MRG63" s="175"/>
      <c r="MRH63" s="175"/>
      <c r="MRI63" s="175"/>
      <c r="MRJ63" s="176"/>
      <c r="MRK63" s="104"/>
      <c r="MRL63" s="106"/>
      <c r="MRM63" s="175"/>
      <c r="MRN63" s="175"/>
      <c r="MRO63" s="175"/>
      <c r="MRP63" s="175"/>
      <c r="MRQ63" s="176"/>
      <c r="MRR63" s="104"/>
      <c r="MRS63" s="106"/>
      <c r="MRT63" s="175"/>
      <c r="MRU63" s="175"/>
      <c r="MRV63" s="175"/>
      <c r="MRW63" s="175"/>
      <c r="MRX63" s="176"/>
      <c r="MRY63" s="104"/>
      <c r="MRZ63" s="106"/>
      <c r="MSA63" s="175"/>
      <c r="MSB63" s="175"/>
      <c r="MSC63" s="175"/>
      <c r="MSD63" s="175"/>
      <c r="MSE63" s="176"/>
      <c r="MSF63" s="104"/>
      <c r="MSG63" s="106"/>
      <c r="MSH63" s="175"/>
      <c r="MSI63" s="175"/>
      <c r="MSJ63" s="175"/>
      <c r="MSK63" s="175"/>
      <c r="MSL63" s="176"/>
      <c r="MSM63" s="104"/>
      <c r="MSN63" s="106"/>
      <c r="MSO63" s="175"/>
      <c r="MSP63" s="175"/>
      <c r="MSQ63" s="175"/>
      <c r="MSR63" s="175"/>
      <c r="MSS63" s="176"/>
      <c r="MST63" s="104"/>
      <c r="MSU63" s="106"/>
      <c r="MSV63" s="175"/>
      <c r="MSW63" s="175"/>
      <c r="MSX63" s="175"/>
      <c r="MSY63" s="175"/>
      <c r="MSZ63" s="176"/>
      <c r="MTA63" s="104"/>
      <c r="MTB63" s="106"/>
      <c r="MTC63" s="175"/>
      <c r="MTD63" s="175"/>
      <c r="MTE63" s="175"/>
      <c r="MTF63" s="175"/>
      <c r="MTG63" s="176"/>
      <c r="MTH63" s="104"/>
      <c r="MTI63" s="106"/>
      <c r="MTJ63" s="175"/>
      <c r="MTK63" s="175"/>
      <c r="MTL63" s="175"/>
      <c r="MTM63" s="175"/>
      <c r="MTN63" s="176"/>
      <c r="MTO63" s="104"/>
      <c r="MTP63" s="106"/>
      <c r="MTQ63" s="175"/>
      <c r="MTR63" s="175"/>
      <c r="MTS63" s="175"/>
      <c r="MTT63" s="175"/>
      <c r="MTU63" s="176"/>
      <c r="MTV63" s="104"/>
      <c r="MTW63" s="106"/>
      <c r="MTX63" s="175"/>
      <c r="MTY63" s="175"/>
      <c r="MTZ63" s="175"/>
      <c r="MUA63" s="175"/>
      <c r="MUB63" s="176"/>
      <c r="MUC63" s="104"/>
      <c r="MUD63" s="106"/>
      <c r="MUE63" s="175"/>
      <c r="MUF63" s="175"/>
      <c r="MUG63" s="175"/>
      <c r="MUH63" s="175"/>
      <c r="MUI63" s="176"/>
      <c r="MUJ63" s="104"/>
      <c r="MUK63" s="106"/>
      <c r="MUL63" s="175"/>
      <c r="MUM63" s="175"/>
      <c r="MUN63" s="175"/>
      <c r="MUO63" s="175"/>
      <c r="MUP63" s="176"/>
      <c r="MUQ63" s="104"/>
      <c r="MUR63" s="106"/>
      <c r="MUS63" s="175"/>
      <c r="MUT63" s="175"/>
      <c r="MUU63" s="175"/>
      <c r="MUV63" s="175"/>
      <c r="MUW63" s="176"/>
      <c r="MUX63" s="104"/>
      <c r="MUY63" s="106"/>
      <c r="MUZ63" s="175"/>
      <c r="MVA63" s="175"/>
      <c r="MVB63" s="175"/>
      <c r="MVC63" s="175"/>
      <c r="MVD63" s="176"/>
      <c r="MVE63" s="104"/>
      <c r="MVF63" s="106"/>
      <c r="MVG63" s="175"/>
      <c r="MVH63" s="175"/>
      <c r="MVI63" s="175"/>
      <c r="MVJ63" s="175"/>
      <c r="MVK63" s="176"/>
      <c r="MVL63" s="104"/>
      <c r="MVM63" s="106"/>
      <c r="MVN63" s="175"/>
      <c r="MVO63" s="175"/>
      <c r="MVP63" s="175"/>
      <c r="MVQ63" s="175"/>
      <c r="MVR63" s="176"/>
      <c r="MVS63" s="104"/>
      <c r="MVT63" s="106"/>
      <c r="MVU63" s="175"/>
      <c r="MVV63" s="175"/>
      <c r="MVW63" s="175"/>
      <c r="MVX63" s="175"/>
      <c r="MVY63" s="176"/>
      <c r="MVZ63" s="104"/>
      <c r="MWA63" s="106"/>
      <c r="MWB63" s="175"/>
      <c r="MWC63" s="175"/>
      <c r="MWD63" s="175"/>
      <c r="MWE63" s="175"/>
      <c r="MWF63" s="176"/>
      <c r="MWG63" s="104"/>
      <c r="MWH63" s="106"/>
      <c r="MWI63" s="175"/>
      <c r="MWJ63" s="175"/>
      <c r="MWK63" s="175"/>
      <c r="MWL63" s="175"/>
      <c r="MWM63" s="176"/>
      <c r="MWN63" s="104"/>
      <c r="MWO63" s="106"/>
      <c r="MWP63" s="175"/>
      <c r="MWQ63" s="175"/>
      <c r="MWR63" s="175"/>
      <c r="MWS63" s="175"/>
      <c r="MWT63" s="176"/>
      <c r="MWU63" s="104"/>
      <c r="MWV63" s="106"/>
      <c r="MWW63" s="175"/>
      <c r="MWX63" s="175"/>
      <c r="MWY63" s="175"/>
      <c r="MWZ63" s="175"/>
      <c r="MXA63" s="176"/>
      <c r="MXB63" s="104"/>
      <c r="MXC63" s="106"/>
      <c r="MXD63" s="175"/>
      <c r="MXE63" s="175"/>
      <c r="MXF63" s="175"/>
      <c r="MXG63" s="175"/>
      <c r="MXH63" s="176"/>
      <c r="MXI63" s="104"/>
      <c r="MXJ63" s="106"/>
      <c r="MXK63" s="175"/>
      <c r="MXL63" s="175"/>
      <c r="MXM63" s="175"/>
      <c r="MXN63" s="175"/>
      <c r="MXO63" s="176"/>
      <c r="MXP63" s="104"/>
      <c r="MXQ63" s="106"/>
      <c r="MXR63" s="175"/>
      <c r="MXS63" s="175"/>
      <c r="MXT63" s="175"/>
      <c r="MXU63" s="175"/>
      <c r="MXV63" s="176"/>
      <c r="MXW63" s="104"/>
      <c r="MXX63" s="106"/>
      <c r="MXY63" s="175"/>
      <c r="MXZ63" s="175"/>
      <c r="MYA63" s="175"/>
      <c r="MYB63" s="175"/>
      <c r="MYC63" s="176"/>
      <c r="MYD63" s="104"/>
      <c r="MYE63" s="106"/>
      <c r="MYF63" s="175"/>
      <c r="MYG63" s="175"/>
      <c r="MYH63" s="175"/>
      <c r="MYI63" s="175"/>
      <c r="MYJ63" s="176"/>
      <c r="MYK63" s="104"/>
      <c r="MYL63" s="106"/>
      <c r="MYM63" s="175"/>
      <c r="MYN63" s="175"/>
      <c r="MYO63" s="175"/>
      <c r="MYP63" s="175"/>
      <c r="MYQ63" s="176"/>
      <c r="MYR63" s="104"/>
      <c r="MYS63" s="106"/>
      <c r="MYT63" s="175"/>
      <c r="MYU63" s="175"/>
      <c r="MYV63" s="175"/>
      <c r="MYW63" s="175"/>
      <c r="MYX63" s="176"/>
      <c r="MYY63" s="104"/>
      <c r="MYZ63" s="106"/>
      <c r="MZA63" s="175"/>
      <c r="MZB63" s="175"/>
      <c r="MZC63" s="175"/>
      <c r="MZD63" s="175"/>
      <c r="MZE63" s="176"/>
      <c r="MZF63" s="104"/>
      <c r="MZG63" s="106"/>
      <c r="MZH63" s="175"/>
      <c r="MZI63" s="175"/>
      <c r="MZJ63" s="175"/>
      <c r="MZK63" s="175"/>
      <c r="MZL63" s="176"/>
      <c r="MZM63" s="104"/>
      <c r="MZN63" s="106"/>
      <c r="MZO63" s="175"/>
      <c r="MZP63" s="175"/>
      <c r="MZQ63" s="175"/>
      <c r="MZR63" s="175"/>
      <c r="MZS63" s="176"/>
      <c r="MZT63" s="104"/>
      <c r="MZU63" s="106"/>
      <c r="MZV63" s="175"/>
      <c r="MZW63" s="175"/>
      <c r="MZX63" s="175"/>
      <c r="MZY63" s="175"/>
      <c r="MZZ63" s="176"/>
      <c r="NAA63" s="104"/>
      <c r="NAB63" s="106"/>
      <c r="NAC63" s="175"/>
      <c r="NAD63" s="175"/>
      <c r="NAE63" s="175"/>
      <c r="NAF63" s="175"/>
      <c r="NAG63" s="176"/>
      <c r="NAH63" s="104"/>
      <c r="NAI63" s="106"/>
      <c r="NAJ63" s="175"/>
      <c r="NAK63" s="175"/>
      <c r="NAL63" s="175"/>
      <c r="NAM63" s="175"/>
      <c r="NAN63" s="176"/>
      <c r="NAO63" s="104"/>
      <c r="NAP63" s="106"/>
      <c r="NAQ63" s="175"/>
      <c r="NAR63" s="175"/>
      <c r="NAS63" s="175"/>
      <c r="NAT63" s="175"/>
      <c r="NAU63" s="176"/>
      <c r="NAV63" s="104"/>
      <c r="NAW63" s="106"/>
      <c r="NAX63" s="175"/>
      <c r="NAY63" s="175"/>
      <c r="NAZ63" s="175"/>
      <c r="NBA63" s="175"/>
      <c r="NBB63" s="176"/>
      <c r="NBC63" s="104"/>
      <c r="NBD63" s="106"/>
      <c r="NBE63" s="175"/>
      <c r="NBF63" s="175"/>
      <c r="NBG63" s="175"/>
      <c r="NBH63" s="175"/>
      <c r="NBI63" s="176"/>
      <c r="NBJ63" s="104"/>
      <c r="NBK63" s="106"/>
      <c r="NBL63" s="175"/>
      <c r="NBM63" s="175"/>
      <c r="NBN63" s="175"/>
      <c r="NBO63" s="175"/>
      <c r="NBP63" s="176"/>
      <c r="NBQ63" s="104"/>
      <c r="NBR63" s="106"/>
      <c r="NBS63" s="175"/>
      <c r="NBT63" s="175"/>
      <c r="NBU63" s="175"/>
      <c r="NBV63" s="175"/>
      <c r="NBW63" s="176"/>
      <c r="NBX63" s="104"/>
      <c r="NBY63" s="106"/>
      <c r="NBZ63" s="175"/>
      <c r="NCA63" s="175"/>
      <c r="NCB63" s="175"/>
      <c r="NCC63" s="175"/>
      <c r="NCD63" s="176"/>
      <c r="NCE63" s="104"/>
      <c r="NCF63" s="106"/>
      <c r="NCG63" s="175"/>
      <c r="NCH63" s="175"/>
      <c r="NCI63" s="175"/>
      <c r="NCJ63" s="175"/>
      <c r="NCK63" s="176"/>
      <c r="NCL63" s="104"/>
      <c r="NCM63" s="106"/>
      <c r="NCN63" s="175"/>
      <c r="NCO63" s="175"/>
      <c r="NCP63" s="175"/>
      <c r="NCQ63" s="175"/>
      <c r="NCR63" s="176"/>
      <c r="NCS63" s="104"/>
      <c r="NCT63" s="106"/>
      <c r="NCU63" s="175"/>
      <c r="NCV63" s="175"/>
      <c r="NCW63" s="175"/>
      <c r="NCX63" s="175"/>
      <c r="NCY63" s="176"/>
      <c r="NCZ63" s="104"/>
      <c r="NDA63" s="106"/>
      <c r="NDB63" s="175"/>
      <c r="NDC63" s="175"/>
      <c r="NDD63" s="175"/>
      <c r="NDE63" s="175"/>
      <c r="NDF63" s="176"/>
      <c r="NDG63" s="104"/>
      <c r="NDH63" s="106"/>
      <c r="NDI63" s="175"/>
      <c r="NDJ63" s="175"/>
      <c r="NDK63" s="175"/>
      <c r="NDL63" s="175"/>
      <c r="NDM63" s="176"/>
      <c r="NDN63" s="104"/>
      <c r="NDO63" s="106"/>
      <c r="NDP63" s="175"/>
      <c r="NDQ63" s="175"/>
      <c r="NDR63" s="175"/>
      <c r="NDS63" s="175"/>
      <c r="NDT63" s="176"/>
      <c r="NDU63" s="104"/>
      <c r="NDV63" s="106"/>
      <c r="NDW63" s="175"/>
      <c r="NDX63" s="175"/>
      <c r="NDY63" s="175"/>
      <c r="NDZ63" s="175"/>
      <c r="NEA63" s="176"/>
      <c r="NEB63" s="104"/>
      <c r="NEC63" s="106"/>
      <c r="NED63" s="175"/>
      <c r="NEE63" s="175"/>
      <c r="NEF63" s="175"/>
      <c r="NEG63" s="175"/>
      <c r="NEH63" s="176"/>
      <c r="NEI63" s="104"/>
      <c r="NEJ63" s="106"/>
      <c r="NEK63" s="175"/>
      <c r="NEL63" s="175"/>
      <c r="NEM63" s="175"/>
      <c r="NEN63" s="175"/>
      <c r="NEO63" s="176"/>
      <c r="NEP63" s="104"/>
      <c r="NEQ63" s="106"/>
      <c r="NER63" s="175"/>
      <c r="NES63" s="175"/>
      <c r="NET63" s="175"/>
      <c r="NEU63" s="175"/>
      <c r="NEV63" s="176"/>
      <c r="NEW63" s="104"/>
      <c r="NEX63" s="106"/>
      <c r="NEY63" s="175"/>
      <c r="NEZ63" s="175"/>
      <c r="NFA63" s="175"/>
      <c r="NFB63" s="175"/>
      <c r="NFC63" s="176"/>
      <c r="NFD63" s="104"/>
      <c r="NFE63" s="106"/>
      <c r="NFF63" s="175"/>
      <c r="NFG63" s="175"/>
      <c r="NFH63" s="175"/>
      <c r="NFI63" s="175"/>
      <c r="NFJ63" s="176"/>
      <c r="NFK63" s="104"/>
      <c r="NFL63" s="106"/>
      <c r="NFM63" s="175"/>
      <c r="NFN63" s="175"/>
      <c r="NFO63" s="175"/>
      <c r="NFP63" s="175"/>
      <c r="NFQ63" s="176"/>
      <c r="NFR63" s="104"/>
      <c r="NFS63" s="106"/>
      <c r="NFT63" s="175"/>
      <c r="NFU63" s="175"/>
      <c r="NFV63" s="175"/>
      <c r="NFW63" s="175"/>
      <c r="NFX63" s="176"/>
      <c r="NFY63" s="104"/>
      <c r="NFZ63" s="106"/>
      <c r="NGA63" s="175"/>
      <c r="NGB63" s="175"/>
      <c r="NGC63" s="175"/>
      <c r="NGD63" s="175"/>
      <c r="NGE63" s="176"/>
      <c r="NGF63" s="104"/>
      <c r="NGG63" s="106"/>
      <c r="NGH63" s="175"/>
      <c r="NGI63" s="175"/>
      <c r="NGJ63" s="175"/>
      <c r="NGK63" s="175"/>
      <c r="NGL63" s="176"/>
      <c r="NGM63" s="104"/>
      <c r="NGN63" s="106"/>
      <c r="NGO63" s="175"/>
      <c r="NGP63" s="175"/>
      <c r="NGQ63" s="175"/>
      <c r="NGR63" s="175"/>
      <c r="NGS63" s="176"/>
      <c r="NGT63" s="104"/>
      <c r="NGU63" s="106"/>
      <c r="NGV63" s="175"/>
      <c r="NGW63" s="175"/>
      <c r="NGX63" s="175"/>
      <c r="NGY63" s="175"/>
      <c r="NGZ63" s="176"/>
      <c r="NHA63" s="104"/>
      <c r="NHB63" s="106"/>
      <c r="NHC63" s="175"/>
      <c r="NHD63" s="175"/>
      <c r="NHE63" s="175"/>
      <c r="NHF63" s="175"/>
      <c r="NHG63" s="176"/>
      <c r="NHH63" s="104"/>
      <c r="NHI63" s="106"/>
      <c r="NHJ63" s="175"/>
      <c r="NHK63" s="175"/>
      <c r="NHL63" s="175"/>
      <c r="NHM63" s="175"/>
      <c r="NHN63" s="176"/>
      <c r="NHO63" s="104"/>
      <c r="NHP63" s="106"/>
      <c r="NHQ63" s="175"/>
      <c r="NHR63" s="175"/>
      <c r="NHS63" s="175"/>
      <c r="NHT63" s="175"/>
      <c r="NHU63" s="176"/>
      <c r="NHV63" s="104"/>
      <c r="NHW63" s="106"/>
      <c r="NHX63" s="175"/>
      <c r="NHY63" s="175"/>
      <c r="NHZ63" s="175"/>
      <c r="NIA63" s="175"/>
      <c r="NIB63" s="176"/>
      <c r="NIC63" s="104"/>
      <c r="NID63" s="106"/>
      <c r="NIE63" s="175"/>
      <c r="NIF63" s="175"/>
      <c r="NIG63" s="175"/>
      <c r="NIH63" s="175"/>
      <c r="NII63" s="176"/>
      <c r="NIJ63" s="104"/>
      <c r="NIK63" s="106"/>
      <c r="NIL63" s="175"/>
      <c r="NIM63" s="175"/>
      <c r="NIN63" s="175"/>
      <c r="NIO63" s="175"/>
      <c r="NIP63" s="176"/>
      <c r="NIQ63" s="104"/>
      <c r="NIR63" s="106"/>
      <c r="NIS63" s="175"/>
      <c r="NIT63" s="175"/>
      <c r="NIU63" s="175"/>
      <c r="NIV63" s="175"/>
      <c r="NIW63" s="176"/>
      <c r="NIX63" s="104"/>
      <c r="NIY63" s="106"/>
      <c r="NIZ63" s="175"/>
      <c r="NJA63" s="175"/>
      <c r="NJB63" s="175"/>
      <c r="NJC63" s="175"/>
      <c r="NJD63" s="176"/>
      <c r="NJE63" s="104"/>
      <c r="NJF63" s="106"/>
      <c r="NJG63" s="175"/>
      <c r="NJH63" s="175"/>
      <c r="NJI63" s="175"/>
      <c r="NJJ63" s="175"/>
      <c r="NJK63" s="176"/>
      <c r="NJL63" s="104"/>
      <c r="NJM63" s="106"/>
      <c r="NJN63" s="175"/>
      <c r="NJO63" s="175"/>
      <c r="NJP63" s="175"/>
      <c r="NJQ63" s="175"/>
      <c r="NJR63" s="176"/>
      <c r="NJS63" s="104"/>
      <c r="NJT63" s="106"/>
      <c r="NJU63" s="175"/>
      <c r="NJV63" s="175"/>
      <c r="NJW63" s="175"/>
      <c r="NJX63" s="175"/>
      <c r="NJY63" s="176"/>
      <c r="NJZ63" s="104"/>
      <c r="NKA63" s="106"/>
      <c r="NKB63" s="175"/>
      <c r="NKC63" s="175"/>
      <c r="NKD63" s="175"/>
      <c r="NKE63" s="175"/>
      <c r="NKF63" s="176"/>
      <c r="NKG63" s="104"/>
      <c r="NKH63" s="106"/>
      <c r="NKI63" s="175"/>
      <c r="NKJ63" s="175"/>
      <c r="NKK63" s="175"/>
      <c r="NKL63" s="175"/>
      <c r="NKM63" s="176"/>
      <c r="NKN63" s="104"/>
      <c r="NKO63" s="106"/>
      <c r="NKP63" s="175"/>
      <c r="NKQ63" s="175"/>
      <c r="NKR63" s="175"/>
      <c r="NKS63" s="175"/>
      <c r="NKT63" s="176"/>
      <c r="NKU63" s="104"/>
      <c r="NKV63" s="106"/>
      <c r="NKW63" s="175"/>
      <c r="NKX63" s="175"/>
      <c r="NKY63" s="175"/>
      <c r="NKZ63" s="175"/>
      <c r="NLA63" s="176"/>
      <c r="NLB63" s="104"/>
      <c r="NLC63" s="106"/>
      <c r="NLD63" s="175"/>
      <c r="NLE63" s="175"/>
      <c r="NLF63" s="175"/>
      <c r="NLG63" s="175"/>
      <c r="NLH63" s="176"/>
      <c r="NLI63" s="104"/>
      <c r="NLJ63" s="106"/>
      <c r="NLK63" s="175"/>
      <c r="NLL63" s="175"/>
      <c r="NLM63" s="175"/>
      <c r="NLN63" s="175"/>
      <c r="NLO63" s="176"/>
      <c r="NLP63" s="104"/>
      <c r="NLQ63" s="106"/>
      <c r="NLR63" s="175"/>
      <c r="NLS63" s="175"/>
      <c r="NLT63" s="175"/>
      <c r="NLU63" s="175"/>
      <c r="NLV63" s="176"/>
      <c r="NLW63" s="104"/>
      <c r="NLX63" s="106"/>
      <c r="NLY63" s="175"/>
      <c r="NLZ63" s="175"/>
      <c r="NMA63" s="175"/>
      <c r="NMB63" s="175"/>
      <c r="NMC63" s="176"/>
      <c r="NMD63" s="104"/>
      <c r="NME63" s="106"/>
      <c r="NMF63" s="175"/>
      <c r="NMG63" s="175"/>
      <c r="NMH63" s="175"/>
      <c r="NMI63" s="175"/>
      <c r="NMJ63" s="176"/>
      <c r="NMK63" s="104"/>
      <c r="NML63" s="106"/>
      <c r="NMM63" s="175"/>
      <c r="NMN63" s="175"/>
      <c r="NMO63" s="175"/>
      <c r="NMP63" s="175"/>
      <c r="NMQ63" s="176"/>
      <c r="NMR63" s="104"/>
      <c r="NMS63" s="106"/>
      <c r="NMT63" s="175"/>
      <c r="NMU63" s="175"/>
      <c r="NMV63" s="175"/>
      <c r="NMW63" s="175"/>
      <c r="NMX63" s="176"/>
      <c r="NMY63" s="104"/>
      <c r="NMZ63" s="106"/>
      <c r="NNA63" s="175"/>
      <c r="NNB63" s="175"/>
      <c r="NNC63" s="175"/>
      <c r="NND63" s="175"/>
      <c r="NNE63" s="176"/>
      <c r="NNF63" s="104"/>
      <c r="NNG63" s="106"/>
      <c r="NNH63" s="175"/>
      <c r="NNI63" s="175"/>
      <c r="NNJ63" s="175"/>
      <c r="NNK63" s="175"/>
      <c r="NNL63" s="176"/>
      <c r="NNM63" s="104"/>
      <c r="NNN63" s="106"/>
      <c r="NNO63" s="175"/>
      <c r="NNP63" s="175"/>
      <c r="NNQ63" s="175"/>
      <c r="NNR63" s="175"/>
      <c r="NNS63" s="176"/>
      <c r="NNT63" s="104"/>
      <c r="NNU63" s="106"/>
      <c r="NNV63" s="175"/>
      <c r="NNW63" s="175"/>
      <c r="NNX63" s="175"/>
      <c r="NNY63" s="175"/>
      <c r="NNZ63" s="176"/>
      <c r="NOA63" s="104"/>
      <c r="NOB63" s="106"/>
      <c r="NOC63" s="175"/>
      <c r="NOD63" s="175"/>
      <c r="NOE63" s="175"/>
      <c r="NOF63" s="175"/>
      <c r="NOG63" s="176"/>
      <c r="NOH63" s="104"/>
      <c r="NOI63" s="106"/>
      <c r="NOJ63" s="175"/>
      <c r="NOK63" s="175"/>
      <c r="NOL63" s="175"/>
      <c r="NOM63" s="175"/>
      <c r="NON63" s="176"/>
      <c r="NOO63" s="104"/>
      <c r="NOP63" s="106"/>
      <c r="NOQ63" s="175"/>
      <c r="NOR63" s="175"/>
      <c r="NOS63" s="175"/>
      <c r="NOT63" s="175"/>
      <c r="NOU63" s="176"/>
      <c r="NOV63" s="104"/>
      <c r="NOW63" s="106"/>
      <c r="NOX63" s="175"/>
      <c r="NOY63" s="175"/>
      <c r="NOZ63" s="175"/>
      <c r="NPA63" s="175"/>
      <c r="NPB63" s="176"/>
      <c r="NPC63" s="104"/>
      <c r="NPD63" s="106"/>
      <c r="NPE63" s="175"/>
      <c r="NPF63" s="175"/>
      <c r="NPG63" s="175"/>
      <c r="NPH63" s="175"/>
      <c r="NPI63" s="176"/>
      <c r="NPJ63" s="104"/>
      <c r="NPK63" s="106"/>
      <c r="NPL63" s="175"/>
      <c r="NPM63" s="175"/>
      <c r="NPN63" s="175"/>
      <c r="NPO63" s="175"/>
      <c r="NPP63" s="176"/>
      <c r="NPQ63" s="104"/>
      <c r="NPR63" s="106"/>
      <c r="NPS63" s="175"/>
      <c r="NPT63" s="175"/>
      <c r="NPU63" s="175"/>
      <c r="NPV63" s="175"/>
      <c r="NPW63" s="176"/>
      <c r="NPX63" s="104"/>
      <c r="NPY63" s="106"/>
      <c r="NPZ63" s="175"/>
      <c r="NQA63" s="175"/>
      <c r="NQB63" s="175"/>
      <c r="NQC63" s="175"/>
      <c r="NQD63" s="176"/>
      <c r="NQE63" s="104"/>
      <c r="NQF63" s="106"/>
      <c r="NQG63" s="175"/>
      <c r="NQH63" s="175"/>
      <c r="NQI63" s="175"/>
      <c r="NQJ63" s="175"/>
      <c r="NQK63" s="176"/>
      <c r="NQL63" s="104"/>
      <c r="NQM63" s="106"/>
      <c r="NQN63" s="175"/>
      <c r="NQO63" s="175"/>
      <c r="NQP63" s="175"/>
      <c r="NQQ63" s="175"/>
      <c r="NQR63" s="176"/>
      <c r="NQS63" s="104"/>
      <c r="NQT63" s="106"/>
      <c r="NQU63" s="175"/>
      <c r="NQV63" s="175"/>
      <c r="NQW63" s="175"/>
      <c r="NQX63" s="175"/>
      <c r="NQY63" s="176"/>
      <c r="NQZ63" s="104"/>
      <c r="NRA63" s="106"/>
      <c r="NRB63" s="175"/>
      <c r="NRC63" s="175"/>
      <c r="NRD63" s="175"/>
      <c r="NRE63" s="175"/>
      <c r="NRF63" s="176"/>
      <c r="NRG63" s="104"/>
      <c r="NRH63" s="106"/>
      <c r="NRI63" s="175"/>
      <c r="NRJ63" s="175"/>
      <c r="NRK63" s="175"/>
      <c r="NRL63" s="175"/>
      <c r="NRM63" s="176"/>
      <c r="NRN63" s="104"/>
      <c r="NRO63" s="106"/>
      <c r="NRP63" s="175"/>
      <c r="NRQ63" s="175"/>
      <c r="NRR63" s="175"/>
      <c r="NRS63" s="175"/>
      <c r="NRT63" s="176"/>
      <c r="NRU63" s="104"/>
      <c r="NRV63" s="106"/>
      <c r="NRW63" s="175"/>
      <c r="NRX63" s="175"/>
      <c r="NRY63" s="175"/>
      <c r="NRZ63" s="175"/>
      <c r="NSA63" s="176"/>
      <c r="NSB63" s="104"/>
      <c r="NSC63" s="106"/>
      <c r="NSD63" s="175"/>
      <c r="NSE63" s="175"/>
      <c r="NSF63" s="175"/>
      <c r="NSG63" s="175"/>
      <c r="NSH63" s="176"/>
      <c r="NSI63" s="104"/>
      <c r="NSJ63" s="106"/>
      <c r="NSK63" s="175"/>
      <c r="NSL63" s="175"/>
      <c r="NSM63" s="175"/>
      <c r="NSN63" s="175"/>
      <c r="NSO63" s="176"/>
      <c r="NSP63" s="104"/>
      <c r="NSQ63" s="106"/>
      <c r="NSR63" s="175"/>
      <c r="NSS63" s="175"/>
      <c r="NST63" s="175"/>
      <c r="NSU63" s="175"/>
      <c r="NSV63" s="176"/>
      <c r="NSW63" s="104"/>
      <c r="NSX63" s="106"/>
      <c r="NSY63" s="175"/>
      <c r="NSZ63" s="175"/>
      <c r="NTA63" s="175"/>
      <c r="NTB63" s="175"/>
      <c r="NTC63" s="176"/>
      <c r="NTD63" s="104"/>
      <c r="NTE63" s="106"/>
      <c r="NTF63" s="175"/>
      <c r="NTG63" s="175"/>
      <c r="NTH63" s="175"/>
      <c r="NTI63" s="175"/>
      <c r="NTJ63" s="176"/>
      <c r="NTK63" s="104"/>
      <c r="NTL63" s="106"/>
      <c r="NTM63" s="175"/>
      <c r="NTN63" s="175"/>
      <c r="NTO63" s="175"/>
      <c r="NTP63" s="175"/>
      <c r="NTQ63" s="176"/>
      <c r="NTR63" s="104"/>
      <c r="NTS63" s="106"/>
      <c r="NTT63" s="175"/>
      <c r="NTU63" s="175"/>
      <c r="NTV63" s="175"/>
      <c r="NTW63" s="175"/>
      <c r="NTX63" s="176"/>
      <c r="NTY63" s="104"/>
      <c r="NTZ63" s="106"/>
      <c r="NUA63" s="175"/>
      <c r="NUB63" s="175"/>
      <c r="NUC63" s="175"/>
      <c r="NUD63" s="175"/>
      <c r="NUE63" s="176"/>
      <c r="NUF63" s="104"/>
      <c r="NUG63" s="106"/>
      <c r="NUH63" s="175"/>
      <c r="NUI63" s="175"/>
      <c r="NUJ63" s="175"/>
      <c r="NUK63" s="175"/>
      <c r="NUL63" s="176"/>
      <c r="NUM63" s="104"/>
      <c r="NUN63" s="106"/>
      <c r="NUO63" s="175"/>
      <c r="NUP63" s="175"/>
      <c r="NUQ63" s="175"/>
      <c r="NUR63" s="175"/>
      <c r="NUS63" s="176"/>
      <c r="NUT63" s="104"/>
      <c r="NUU63" s="106"/>
      <c r="NUV63" s="175"/>
      <c r="NUW63" s="175"/>
      <c r="NUX63" s="175"/>
      <c r="NUY63" s="175"/>
      <c r="NUZ63" s="176"/>
      <c r="NVA63" s="104"/>
      <c r="NVB63" s="106"/>
      <c r="NVC63" s="175"/>
      <c r="NVD63" s="175"/>
      <c r="NVE63" s="175"/>
      <c r="NVF63" s="175"/>
      <c r="NVG63" s="176"/>
      <c r="NVH63" s="104"/>
      <c r="NVI63" s="106"/>
      <c r="NVJ63" s="175"/>
      <c r="NVK63" s="175"/>
      <c r="NVL63" s="175"/>
      <c r="NVM63" s="175"/>
      <c r="NVN63" s="176"/>
      <c r="NVO63" s="104"/>
      <c r="NVP63" s="106"/>
      <c r="NVQ63" s="175"/>
      <c r="NVR63" s="175"/>
      <c r="NVS63" s="175"/>
      <c r="NVT63" s="175"/>
      <c r="NVU63" s="176"/>
      <c r="NVV63" s="104"/>
      <c r="NVW63" s="106"/>
      <c r="NVX63" s="175"/>
      <c r="NVY63" s="175"/>
      <c r="NVZ63" s="175"/>
      <c r="NWA63" s="175"/>
      <c r="NWB63" s="176"/>
      <c r="NWC63" s="104"/>
      <c r="NWD63" s="106"/>
      <c r="NWE63" s="175"/>
      <c r="NWF63" s="175"/>
      <c r="NWG63" s="175"/>
      <c r="NWH63" s="175"/>
      <c r="NWI63" s="176"/>
      <c r="NWJ63" s="104"/>
      <c r="NWK63" s="106"/>
      <c r="NWL63" s="175"/>
      <c r="NWM63" s="175"/>
      <c r="NWN63" s="175"/>
      <c r="NWO63" s="175"/>
      <c r="NWP63" s="176"/>
      <c r="NWQ63" s="104"/>
      <c r="NWR63" s="106"/>
      <c r="NWS63" s="175"/>
      <c r="NWT63" s="175"/>
      <c r="NWU63" s="175"/>
      <c r="NWV63" s="175"/>
      <c r="NWW63" s="176"/>
      <c r="NWX63" s="104"/>
      <c r="NWY63" s="106"/>
      <c r="NWZ63" s="175"/>
      <c r="NXA63" s="175"/>
      <c r="NXB63" s="175"/>
      <c r="NXC63" s="175"/>
      <c r="NXD63" s="176"/>
      <c r="NXE63" s="104"/>
      <c r="NXF63" s="106"/>
      <c r="NXG63" s="175"/>
      <c r="NXH63" s="175"/>
      <c r="NXI63" s="175"/>
      <c r="NXJ63" s="175"/>
      <c r="NXK63" s="176"/>
      <c r="NXL63" s="104"/>
      <c r="NXM63" s="106"/>
      <c r="NXN63" s="175"/>
      <c r="NXO63" s="175"/>
      <c r="NXP63" s="175"/>
      <c r="NXQ63" s="175"/>
      <c r="NXR63" s="176"/>
      <c r="NXS63" s="104"/>
      <c r="NXT63" s="106"/>
      <c r="NXU63" s="175"/>
      <c r="NXV63" s="175"/>
      <c r="NXW63" s="175"/>
      <c r="NXX63" s="175"/>
      <c r="NXY63" s="176"/>
      <c r="NXZ63" s="104"/>
      <c r="NYA63" s="106"/>
      <c r="NYB63" s="175"/>
      <c r="NYC63" s="175"/>
      <c r="NYD63" s="175"/>
      <c r="NYE63" s="175"/>
      <c r="NYF63" s="176"/>
      <c r="NYG63" s="104"/>
      <c r="NYH63" s="106"/>
      <c r="NYI63" s="175"/>
      <c r="NYJ63" s="175"/>
      <c r="NYK63" s="175"/>
      <c r="NYL63" s="175"/>
      <c r="NYM63" s="176"/>
      <c r="NYN63" s="104"/>
      <c r="NYO63" s="106"/>
      <c r="NYP63" s="175"/>
      <c r="NYQ63" s="175"/>
      <c r="NYR63" s="175"/>
      <c r="NYS63" s="175"/>
      <c r="NYT63" s="176"/>
      <c r="NYU63" s="104"/>
      <c r="NYV63" s="106"/>
      <c r="NYW63" s="175"/>
      <c r="NYX63" s="175"/>
      <c r="NYY63" s="175"/>
      <c r="NYZ63" s="175"/>
      <c r="NZA63" s="176"/>
      <c r="NZB63" s="104"/>
      <c r="NZC63" s="106"/>
      <c r="NZD63" s="175"/>
      <c r="NZE63" s="175"/>
      <c r="NZF63" s="175"/>
      <c r="NZG63" s="175"/>
      <c r="NZH63" s="176"/>
      <c r="NZI63" s="104"/>
      <c r="NZJ63" s="106"/>
      <c r="NZK63" s="175"/>
      <c r="NZL63" s="175"/>
      <c r="NZM63" s="175"/>
      <c r="NZN63" s="175"/>
      <c r="NZO63" s="176"/>
      <c r="NZP63" s="104"/>
      <c r="NZQ63" s="106"/>
      <c r="NZR63" s="175"/>
      <c r="NZS63" s="175"/>
      <c r="NZT63" s="175"/>
      <c r="NZU63" s="175"/>
      <c r="NZV63" s="176"/>
      <c r="NZW63" s="104"/>
      <c r="NZX63" s="106"/>
      <c r="NZY63" s="175"/>
      <c r="NZZ63" s="175"/>
      <c r="OAA63" s="175"/>
      <c r="OAB63" s="175"/>
      <c r="OAC63" s="176"/>
      <c r="OAD63" s="104"/>
      <c r="OAE63" s="106"/>
      <c r="OAF63" s="175"/>
      <c r="OAG63" s="175"/>
      <c r="OAH63" s="175"/>
      <c r="OAI63" s="175"/>
      <c r="OAJ63" s="176"/>
      <c r="OAK63" s="104"/>
      <c r="OAL63" s="106"/>
      <c r="OAM63" s="175"/>
      <c r="OAN63" s="175"/>
      <c r="OAO63" s="175"/>
      <c r="OAP63" s="175"/>
      <c r="OAQ63" s="176"/>
      <c r="OAR63" s="104"/>
      <c r="OAS63" s="106"/>
      <c r="OAT63" s="175"/>
      <c r="OAU63" s="175"/>
      <c r="OAV63" s="175"/>
      <c r="OAW63" s="175"/>
      <c r="OAX63" s="176"/>
      <c r="OAY63" s="104"/>
      <c r="OAZ63" s="106"/>
      <c r="OBA63" s="175"/>
      <c r="OBB63" s="175"/>
      <c r="OBC63" s="175"/>
      <c r="OBD63" s="175"/>
      <c r="OBE63" s="176"/>
      <c r="OBF63" s="104"/>
      <c r="OBG63" s="106"/>
      <c r="OBH63" s="175"/>
      <c r="OBI63" s="175"/>
      <c r="OBJ63" s="175"/>
      <c r="OBK63" s="175"/>
      <c r="OBL63" s="176"/>
      <c r="OBM63" s="104"/>
      <c r="OBN63" s="106"/>
      <c r="OBO63" s="175"/>
      <c r="OBP63" s="175"/>
      <c r="OBQ63" s="175"/>
      <c r="OBR63" s="175"/>
      <c r="OBS63" s="176"/>
      <c r="OBT63" s="104"/>
      <c r="OBU63" s="106"/>
      <c r="OBV63" s="175"/>
      <c r="OBW63" s="175"/>
      <c r="OBX63" s="175"/>
      <c r="OBY63" s="175"/>
      <c r="OBZ63" s="176"/>
      <c r="OCA63" s="104"/>
      <c r="OCB63" s="106"/>
      <c r="OCC63" s="175"/>
      <c r="OCD63" s="175"/>
      <c r="OCE63" s="175"/>
      <c r="OCF63" s="175"/>
      <c r="OCG63" s="176"/>
      <c r="OCH63" s="104"/>
      <c r="OCI63" s="106"/>
      <c r="OCJ63" s="175"/>
      <c r="OCK63" s="175"/>
      <c r="OCL63" s="175"/>
      <c r="OCM63" s="175"/>
      <c r="OCN63" s="176"/>
      <c r="OCO63" s="104"/>
      <c r="OCP63" s="106"/>
      <c r="OCQ63" s="175"/>
      <c r="OCR63" s="175"/>
      <c r="OCS63" s="175"/>
      <c r="OCT63" s="175"/>
      <c r="OCU63" s="176"/>
      <c r="OCV63" s="104"/>
      <c r="OCW63" s="106"/>
      <c r="OCX63" s="175"/>
      <c r="OCY63" s="175"/>
      <c r="OCZ63" s="175"/>
      <c r="ODA63" s="175"/>
      <c r="ODB63" s="176"/>
      <c r="ODC63" s="104"/>
      <c r="ODD63" s="106"/>
      <c r="ODE63" s="175"/>
      <c r="ODF63" s="175"/>
      <c r="ODG63" s="175"/>
      <c r="ODH63" s="175"/>
      <c r="ODI63" s="176"/>
      <c r="ODJ63" s="104"/>
      <c r="ODK63" s="106"/>
      <c r="ODL63" s="175"/>
      <c r="ODM63" s="175"/>
      <c r="ODN63" s="175"/>
      <c r="ODO63" s="175"/>
      <c r="ODP63" s="176"/>
      <c r="ODQ63" s="104"/>
      <c r="ODR63" s="106"/>
      <c r="ODS63" s="175"/>
      <c r="ODT63" s="175"/>
      <c r="ODU63" s="175"/>
      <c r="ODV63" s="175"/>
      <c r="ODW63" s="176"/>
      <c r="ODX63" s="104"/>
      <c r="ODY63" s="106"/>
      <c r="ODZ63" s="175"/>
      <c r="OEA63" s="175"/>
      <c r="OEB63" s="175"/>
      <c r="OEC63" s="175"/>
      <c r="OED63" s="176"/>
      <c r="OEE63" s="104"/>
      <c r="OEF63" s="106"/>
      <c r="OEG63" s="175"/>
      <c r="OEH63" s="175"/>
      <c r="OEI63" s="175"/>
      <c r="OEJ63" s="175"/>
      <c r="OEK63" s="176"/>
      <c r="OEL63" s="104"/>
      <c r="OEM63" s="106"/>
      <c r="OEN63" s="175"/>
      <c r="OEO63" s="175"/>
      <c r="OEP63" s="175"/>
      <c r="OEQ63" s="175"/>
      <c r="OER63" s="176"/>
      <c r="OES63" s="104"/>
      <c r="OET63" s="106"/>
      <c r="OEU63" s="175"/>
      <c r="OEV63" s="175"/>
      <c r="OEW63" s="175"/>
      <c r="OEX63" s="175"/>
      <c r="OEY63" s="176"/>
      <c r="OEZ63" s="104"/>
      <c r="OFA63" s="106"/>
      <c r="OFB63" s="175"/>
      <c r="OFC63" s="175"/>
      <c r="OFD63" s="175"/>
      <c r="OFE63" s="175"/>
      <c r="OFF63" s="176"/>
      <c r="OFG63" s="104"/>
      <c r="OFH63" s="106"/>
      <c r="OFI63" s="175"/>
      <c r="OFJ63" s="175"/>
      <c r="OFK63" s="175"/>
      <c r="OFL63" s="175"/>
      <c r="OFM63" s="176"/>
      <c r="OFN63" s="104"/>
      <c r="OFO63" s="106"/>
      <c r="OFP63" s="175"/>
      <c r="OFQ63" s="175"/>
      <c r="OFR63" s="175"/>
      <c r="OFS63" s="175"/>
      <c r="OFT63" s="176"/>
      <c r="OFU63" s="104"/>
      <c r="OFV63" s="106"/>
      <c r="OFW63" s="175"/>
      <c r="OFX63" s="175"/>
      <c r="OFY63" s="175"/>
      <c r="OFZ63" s="175"/>
      <c r="OGA63" s="176"/>
      <c r="OGB63" s="104"/>
      <c r="OGC63" s="106"/>
      <c r="OGD63" s="175"/>
      <c r="OGE63" s="175"/>
      <c r="OGF63" s="175"/>
      <c r="OGG63" s="175"/>
      <c r="OGH63" s="176"/>
      <c r="OGI63" s="104"/>
      <c r="OGJ63" s="106"/>
      <c r="OGK63" s="175"/>
      <c r="OGL63" s="175"/>
      <c r="OGM63" s="175"/>
      <c r="OGN63" s="175"/>
      <c r="OGO63" s="176"/>
      <c r="OGP63" s="104"/>
      <c r="OGQ63" s="106"/>
      <c r="OGR63" s="175"/>
      <c r="OGS63" s="175"/>
      <c r="OGT63" s="175"/>
      <c r="OGU63" s="175"/>
      <c r="OGV63" s="176"/>
      <c r="OGW63" s="104"/>
      <c r="OGX63" s="106"/>
      <c r="OGY63" s="175"/>
      <c r="OGZ63" s="175"/>
      <c r="OHA63" s="175"/>
      <c r="OHB63" s="175"/>
      <c r="OHC63" s="176"/>
      <c r="OHD63" s="104"/>
      <c r="OHE63" s="106"/>
      <c r="OHF63" s="175"/>
      <c r="OHG63" s="175"/>
      <c r="OHH63" s="175"/>
      <c r="OHI63" s="175"/>
      <c r="OHJ63" s="176"/>
      <c r="OHK63" s="104"/>
      <c r="OHL63" s="106"/>
      <c r="OHM63" s="175"/>
      <c r="OHN63" s="175"/>
      <c r="OHO63" s="175"/>
      <c r="OHP63" s="175"/>
      <c r="OHQ63" s="176"/>
      <c r="OHR63" s="104"/>
      <c r="OHS63" s="106"/>
      <c r="OHT63" s="175"/>
      <c r="OHU63" s="175"/>
      <c r="OHV63" s="175"/>
      <c r="OHW63" s="175"/>
      <c r="OHX63" s="176"/>
      <c r="OHY63" s="104"/>
      <c r="OHZ63" s="106"/>
      <c r="OIA63" s="175"/>
      <c r="OIB63" s="175"/>
      <c r="OIC63" s="175"/>
      <c r="OID63" s="175"/>
      <c r="OIE63" s="176"/>
      <c r="OIF63" s="104"/>
      <c r="OIG63" s="106"/>
      <c r="OIH63" s="175"/>
      <c r="OII63" s="175"/>
      <c r="OIJ63" s="175"/>
      <c r="OIK63" s="175"/>
      <c r="OIL63" s="176"/>
      <c r="OIM63" s="104"/>
      <c r="OIN63" s="106"/>
      <c r="OIO63" s="175"/>
      <c r="OIP63" s="175"/>
      <c r="OIQ63" s="175"/>
      <c r="OIR63" s="175"/>
      <c r="OIS63" s="176"/>
      <c r="OIT63" s="104"/>
      <c r="OIU63" s="106"/>
      <c r="OIV63" s="175"/>
      <c r="OIW63" s="175"/>
      <c r="OIX63" s="175"/>
      <c r="OIY63" s="175"/>
      <c r="OIZ63" s="176"/>
      <c r="OJA63" s="104"/>
      <c r="OJB63" s="106"/>
      <c r="OJC63" s="175"/>
      <c r="OJD63" s="175"/>
      <c r="OJE63" s="175"/>
      <c r="OJF63" s="175"/>
      <c r="OJG63" s="176"/>
      <c r="OJH63" s="104"/>
      <c r="OJI63" s="106"/>
      <c r="OJJ63" s="175"/>
      <c r="OJK63" s="175"/>
      <c r="OJL63" s="175"/>
      <c r="OJM63" s="175"/>
      <c r="OJN63" s="176"/>
      <c r="OJO63" s="104"/>
      <c r="OJP63" s="106"/>
      <c r="OJQ63" s="175"/>
      <c r="OJR63" s="175"/>
      <c r="OJS63" s="175"/>
      <c r="OJT63" s="175"/>
      <c r="OJU63" s="176"/>
      <c r="OJV63" s="104"/>
      <c r="OJW63" s="106"/>
      <c r="OJX63" s="175"/>
      <c r="OJY63" s="175"/>
      <c r="OJZ63" s="175"/>
      <c r="OKA63" s="175"/>
      <c r="OKB63" s="176"/>
      <c r="OKC63" s="104"/>
      <c r="OKD63" s="106"/>
      <c r="OKE63" s="175"/>
      <c r="OKF63" s="175"/>
      <c r="OKG63" s="175"/>
      <c r="OKH63" s="175"/>
      <c r="OKI63" s="176"/>
      <c r="OKJ63" s="104"/>
      <c r="OKK63" s="106"/>
      <c r="OKL63" s="175"/>
      <c r="OKM63" s="175"/>
      <c r="OKN63" s="175"/>
      <c r="OKO63" s="175"/>
      <c r="OKP63" s="176"/>
      <c r="OKQ63" s="104"/>
      <c r="OKR63" s="106"/>
      <c r="OKS63" s="175"/>
      <c r="OKT63" s="175"/>
      <c r="OKU63" s="175"/>
      <c r="OKV63" s="175"/>
      <c r="OKW63" s="176"/>
      <c r="OKX63" s="104"/>
      <c r="OKY63" s="106"/>
      <c r="OKZ63" s="175"/>
      <c r="OLA63" s="175"/>
      <c r="OLB63" s="175"/>
      <c r="OLC63" s="175"/>
      <c r="OLD63" s="176"/>
      <c r="OLE63" s="104"/>
      <c r="OLF63" s="106"/>
      <c r="OLG63" s="175"/>
      <c r="OLH63" s="175"/>
      <c r="OLI63" s="175"/>
      <c r="OLJ63" s="175"/>
      <c r="OLK63" s="176"/>
      <c r="OLL63" s="104"/>
      <c r="OLM63" s="106"/>
      <c r="OLN63" s="175"/>
      <c r="OLO63" s="175"/>
      <c r="OLP63" s="175"/>
      <c r="OLQ63" s="175"/>
      <c r="OLR63" s="176"/>
      <c r="OLS63" s="104"/>
      <c r="OLT63" s="106"/>
      <c r="OLU63" s="175"/>
      <c r="OLV63" s="175"/>
      <c r="OLW63" s="175"/>
      <c r="OLX63" s="175"/>
      <c r="OLY63" s="176"/>
      <c r="OLZ63" s="104"/>
      <c r="OMA63" s="106"/>
      <c r="OMB63" s="175"/>
      <c r="OMC63" s="175"/>
      <c r="OMD63" s="175"/>
      <c r="OME63" s="175"/>
      <c r="OMF63" s="176"/>
      <c r="OMG63" s="104"/>
      <c r="OMH63" s="106"/>
      <c r="OMI63" s="175"/>
      <c r="OMJ63" s="175"/>
      <c r="OMK63" s="175"/>
      <c r="OML63" s="175"/>
      <c r="OMM63" s="176"/>
      <c r="OMN63" s="104"/>
      <c r="OMO63" s="106"/>
      <c r="OMP63" s="175"/>
      <c r="OMQ63" s="175"/>
      <c r="OMR63" s="175"/>
      <c r="OMS63" s="175"/>
      <c r="OMT63" s="176"/>
      <c r="OMU63" s="104"/>
      <c r="OMV63" s="106"/>
      <c r="OMW63" s="175"/>
      <c r="OMX63" s="175"/>
      <c r="OMY63" s="175"/>
      <c r="OMZ63" s="175"/>
      <c r="ONA63" s="176"/>
      <c r="ONB63" s="104"/>
      <c r="ONC63" s="106"/>
      <c r="OND63" s="175"/>
      <c r="ONE63" s="175"/>
      <c r="ONF63" s="175"/>
      <c r="ONG63" s="175"/>
      <c r="ONH63" s="176"/>
      <c r="ONI63" s="104"/>
      <c r="ONJ63" s="106"/>
      <c r="ONK63" s="175"/>
      <c r="ONL63" s="175"/>
      <c r="ONM63" s="175"/>
      <c r="ONN63" s="175"/>
      <c r="ONO63" s="176"/>
      <c r="ONP63" s="104"/>
      <c r="ONQ63" s="106"/>
      <c r="ONR63" s="175"/>
      <c r="ONS63" s="175"/>
      <c r="ONT63" s="175"/>
      <c r="ONU63" s="175"/>
      <c r="ONV63" s="176"/>
      <c r="ONW63" s="104"/>
      <c r="ONX63" s="106"/>
      <c r="ONY63" s="175"/>
      <c r="ONZ63" s="175"/>
      <c r="OOA63" s="175"/>
      <c r="OOB63" s="175"/>
      <c r="OOC63" s="176"/>
      <c r="OOD63" s="104"/>
      <c r="OOE63" s="106"/>
      <c r="OOF63" s="175"/>
      <c r="OOG63" s="175"/>
      <c r="OOH63" s="175"/>
      <c r="OOI63" s="175"/>
      <c r="OOJ63" s="176"/>
      <c r="OOK63" s="104"/>
      <c r="OOL63" s="106"/>
      <c r="OOM63" s="175"/>
      <c r="OON63" s="175"/>
      <c r="OOO63" s="175"/>
      <c r="OOP63" s="175"/>
      <c r="OOQ63" s="176"/>
      <c r="OOR63" s="104"/>
      <c r="OOS63" s="106"/>
      <c r="OOT63" s="175"/>
      <c r="OOU63" s="175"/>
      <c r="OOV63" s="175"/>
      <c r="OOW63" s="175"/>
      <c r="OOX63" s="176"/>
      <c r="OOY63" s="104"/>
      <c r="OOZ63" s="106"/>
      <c r="OPA63" s="175"/>
      <c r="OPB63" s="175"/>
      <c r="OPC63" s="175"/>
      <c r="OPD63" s="175"/>
      <c r="OPE63" s="176"/>
      <c r="OPF63" s="104"/>
      <c r="OPG63" s="106"/>
      <c r="OPH63" s="175"/>
      <c r="OPI63" s="175"/>
      <c r="OPJ63" s="175"/>
      <c r="OPK63" s="175"/>
      <c r="OPL63" s="176"/>
      <c r="OPM63" s="104"/>
      <c r="OPN63" s="106"/>
      <c r="OPO63" s="175"/>
      <c r="OPP63" s="175"/>
      <c r="OPQ63" s="175"/>
      <c r="OPR63" s="175"/>
      <c r="OPS63" s="176"/>
      <c r="OPT63" s="104"/>
      <c r="OPU63" s="106"/>
      <c r="OPV63" s="175"/>
      <c r="OPW63" s="175"/>
      <c r="OPX63" s="175"/>
      <c r="OPY63" s="175"/>
      <c r="OPZ63" s="176"/>
      <c r="OQA63" s="104"/>
      <c r="OQB63" s="106"/>
      <c r="OQC63" s="175"/>
      <c r="OQD63" s="175"/>
      <c r="OQE63" s="175"/>
      <c r="OQF63" s="175"/>
      <c r="OQG63" s="176"/>
      <c r="OQH63" s="104"/>
      <c r="OQI63" s="106"/>
      <c r="OQJ63" s="175"/>
      <c r="OQK63" s="175"/>
      <c r="OQL63" s="175"/>
      <c r="OQM63" s="175"/>
      <c r="OQN63" s="176"/>
      <c r="OQO63" s="104"/>
      <c r="OQP63" s="106"/>
      <c r="OQQ63" s="175"/>
      <c r="OQR63" s="175"/>
      <c r="OQS63" s="175"/>
      <c r="OQT63" s="175"/>
      <c r="OQU63" s="176"/>
      <c r="OQV63" s="104"/>
      <c r="OQW63" s="106"/>
      <c r="OQX63" s="175"/>
      <c r="OQY63" s="175"/>
      <c r="OQZ63" s="175"/>
      <c r="ORA63" s="175"/>
      <c r="ORB63" s="176"/>
      <c r="ORC63" s="104"/>
      <c r="ORD63" s="106"/>
      <c r="ORE63" s="175"/>
      <c r="ORF63" s="175"/>
      <c r="ORG63" s="175"/>
      <c r="ORH63" s="175"/>
      <c r="ORI63" s="176"/>
      <c r="ORJ63" s="104"/>
      <c r="ORK63" s="106"/>
      <c r="ORL63" s="175"/>
      <c r="ORM63" s="175"/>
      <c r="ORN63" s="175"/>
      <c r="ORO63" s="175"/>
      <c r="ORP63" s="176"/>
      <c r="ORQ63" s="104"/>
      <c r="ORR63" s="106"/>
      <c r="ORS63" s="175"/>
      <c r="ORT63" s="175"/>
      <c r="ORU63" s="175"/>
      <c r="ORV63" s="175"/>
      <c r="ORW63" s="176"/>
      <c r="ORX63" s="104"/>
      <c r="ORY63" s="106"/>
      <c r="ORZ63" s="175"/>
      <c r="OSA63" s="175"/>
      <c r="OSB63" s="175"/>
      <c r="OSC63" s="175"/>
      <c r="OSD63" s="176"/>
      <c r="OSE63" s="104"/>
      <c r="OSF63" s="106"/>
      <c r="OSG63" s="175"/>
      <c r="OSH63" s="175"/>
      <c r="OSI63" s="175"/>
      <c r="OSJ63" s="175"/>
      <c r="OSK63" s="176"/>
      <c r="OSL63" s="104"/>
      <c r="OSM63" s="106"/>
      <c r="OSN63" s="175"/>
      <c r="OSO63" s="175"/>
      <c r="OSP63" s="175"/>
      <c r="OSQ63" s="175"/>
      <c r="OSR63" s="176"/>
      <c r="OSS63" s="104"/>
      <c r="OST63" s="106"/>
      <c r="OSU63" s="175"/>
      <c r="OSV63" s="175"/>
      <c r="OSW63" s="175"/>
      <c r="OSX63" s="175"/>
      <c r="OSY63" s="176"/>
      <c r="OSZ63" s="104"/>
      <c r="OTA63" s="106"/>
      <c r="OTB63" s="175"/>
      <c r="OTC63" s="175"/>
      <c r="OTD63" s="175"/>
      <c r="OTE63" s="175"/>
      <c r="OTF63" s="176"/>
      <c r="OTG63" s="104"/>
      <c r="OTH63" s="106"/>
      <c r="OTI63" s="175"/>
      <c r="OTJ63" s="175"/>
      <c r="OTK63" s="175"/>
      <c r="OTL63" s="175"/>
      <c r="OTM63" s="176"/>
      <c r="OTN63" s="104"/>
      <c r="OTO63" s="106"/>
      <c r="OTP63" s="175"/>
      <c r="OTQ63" s="175"/>
      <c r="OTR63" s="175"/>
      <c r="OTS63" s="175"/>
      <c r="OTT63" s="176"/>
      <c r="OTU63" s="104"/>
      <c r="OTV63" s="106"/>
      <c r="OTW63" s="175"/>
      <c r="OTX63" s="175"/>
      <c r="OTY63" s="175"/>
      <c r="OTZ63" s="175"/>
      <c r="OUA63" s="176"/>
      <c r="OUB63" s="104"/>
      <c r="OUC63" s="106"/>
      <c r="OUD63" s="175"/>
      <c r="OUE63" s="175"/>
      <c r="OUF63" s="175"/>
      <c r="OUG63" s="175"/>
      <c r="OUH63" s="176"/>
      <c r="OUI63" s="104"/>
      <c r="OUJ63" s="106"/>
      <c r="OUK63" s="175"/>
      <c r="OUL63" s="175"/>
      <c r="OUM63" s="175"/>
      <c r="OUN63" s="175"/>
      <c r="OUO63" s="176"/>
      <c r="OUP63" s="104"/>
      <c r="OUQ63" s="106"/>
      <c r="OUR63" s="175"/>
      <c r="OUS63" s="175"/>
      <c r="OUT63" s="175"/>
      <c r="OUU63" s="175"/>
      <c r="OUV63" s="176"/>
      <c r="OUW63" s="104"/>
      <c r="OUX63" s="106"/>
      <c r="OUY63" s="175"/>
      <c r="OUZ63" s="175"/>
      <c r="OVA63" s="175"/>
      <c r="OVB63" s="175"/>
      <c r="OVC63" s="176"/>
      <c r="OVD63" s="104"/>
      <c r="OVE63" s="106"/>
      <c r="OVF63" s="175"/>
      <c r="OVG63" s="175"/>
      <c r="OVH63" s="175"/>
      <c r="OVI63" s="175"/>
      <c r="OVJ63" s="176"/>
      <c r="OVK63" s="104"/>
      <c r="OVL63" s="106"/>
      <c r="OVM63" s="175"/>
      <c r="OVN63" s="175"/>
      <c r="OVO63" s="175"/>
      <c r="OVP63" s="175"/>
      <c r="OVQ63" s="176"/>
      <c r="OVR63" s="104"/>
      <c r="OVS63" s="106"/>
      <c r="OVT63" s="175"/>
      <c r="OVU63" s="175"/>
      <c r="OVV63" s="175"/>
      <c r="OVW63" s="175"/>
      <c r="OVX63" s="176"/>
      <c r="OVY63" s="104"/>
      <c r="OVZ63" s="106"/>
      <c r="OWA63" s="175"/>
      <c r="OWB63" s="175"/>
      <c r="OWC63" s="175"/>
      <c r="OWD63" s="175"/>
      <c r="OWE63" s="176"/>
      <c r="OWF63" s="104"/>
      <c r="OWG63" s="106"/>
      <c r="OWH63" s="175"/>
      <c r="OWI63" s="175"/>
      <c r="OWJ63" s="175"/>
      <c r="OWK63" s="175"/>
      <c r="OWL63" s="176"/>
      <c r="OWM63" s="104"/>
      <c r="OWN63" s="106"/>
      <c r="OWO63" s="175"/>
      <c r="OWP63" s="175"/>
      <c r="OWQ63" s="175"/>
      <c r="OWR63" s="175"/>
      <c r="OWS63" s="176"/>
      <c r="OWT63" s="104"/>
      <c r="OWU63" s="106"/>
      <c r="OWV63" s="175"/>
      <c r="OWW63" s="175"/>
      <c r="OWX63" s="175"/>
      <c r="OWY63" s="175"/>
      <c r="OWZ63" s="176"/>
      <c r="OXA63" s="104"/>
      <c r="OXB63" s="106"/>
      <c r="OXC63" s="175"/>
      <c r="OXD63" s="175"/>
      <c r="OXE63" s="175"/>
      <c r="OXF63" s="175"/>
      <c r="OXG63" s="176"/>
      <c r="OXH63" s="104"/>
      <c r="OXI63" s="106"/>
      <c r="OXJ63" s="175"/>
      <c r="OXK63" s="175"/>
      <c r="OXL63" s="175"/>
      <c r="OXM63" s="175"/>
      <c r="OXN63" s="176"/>
      <c r="OXO63" s="104"/>
      <c r="OXP63" s="106"/>
      <c r="OXQ63" s="175"/>
      <c r="OXR63" s="175"/>
      <c r="OXS63" s="175"/>
      <c r="OXT63" s="175"/>
      <c r="OXU63" s="176"/>
      <c r="OXV63" s="104"/>
      <c r="OXW63" s="106"/>
      <c r="OXX63" s="175"/>
      <c r="OXY63" s="175"/>
      <c r="OXZ63" s="175"/>
      <c r="OYA63" s="175"/>
      <c r="OYB63" s="176"/>
      <c r="OYC63" s="104"/>
      <c r="OYD63" s="106"/>
      <c r="OYE63" s="175"/>
      <c r="OYF63" s="175"/>
      <c r="OYG63" s="175"/>
      <c r="OYH63" s="175"/>
      <c r="OYI63" s="176"/>
      <c r="OYJ63" s="104"/>
      <c r="OYK63" s="106"/>
      <c r="OYL63" s="175"/>
      <c r="OYM63" s="175"/>
      <c r="OYN63" s="175"/>
      <c r="OYO63" s="175"/>
      <c r="OYP63" s="176"/>
      <c r="OYQ63" s="104"/>
      <c r="OYR63" s="106"/>
      <c r="OYS63" s="175"/>
      <c r="OYT63" s="175"/>
      <c r="OYU63" s="175"/>
      <c r="OYV63" s="175"/>
      <c r="OYW63" s="176"/>
      <c r="OYX63" s="104"/>
      <c r="OYY63" s="106"/>
      <c r="OYZ63" s="175"/>
      <c r="OZA63" s="175"/>
      <c r="OZB63" s="175"/>
      <c r="OZC63" s="175"/>
      <c r="OZD63" s="176"/>
      <c r="OZE63" s="104"/>
      <c r="OZF63" s="106"/>
      <c r="OZG63" s="175"/>
      <c r="OZH63" s="175"/>
      <c r="OZI63" s="175"/>
      <c r="OZJ63" s="175"/>
      <c r="OZK63" s="176"/>
      <c r="OZL63" s="104"/>
      <c r="OZM63" s="106"/>
      <c r="OZN63" s="175"/>
      <c r="OZO63" s="175"/>
      <c r="OZP63" s="175"/>
      <c r="OZQ63" s="175"/>
      <c r="OZR63" s="176"/>
      <c r="OZS63" s="104"/>
      <c r="OZT63" s="106"/>
      <c r="OZU63" s="175"/>
      <c r="OZV63" s="175"/>
      <c r="OZW63" s="175"/>
      <c r="OZX63" s="175"/>
      <c r="OZY63" s="176"/>
      <c r="OZZ63" s="104"/>
      <c r="PAA63" s="106"/>
      <c r="PAB63" s="175"/>
      <c r="PAC63" s="175"/>
      <c r="PAD63" s="175"/>
      <c r="PAE63" s="175"/>
      <c r="PAF63" s="176"/>
      <c r="PAG63" s="104"/>
      <c r="PAH63" s="106"/>
      <c r="PAI63" s="175"/>
      <c r="PAJ63" s="175"/>
      <c r="PAK63" s="175"/>
      <c r="PAL63" s="175"/>
      <c r="PAM63" s="176"/>
      <c r="PAN63" s="104"/>
      <c r="PAO63" s="106"/>
      <c r="PAP63" s="175"/>
      <c r="PAQ63" s="175"/>
      <c r="PAR63" s="175"/>
      <c r="PAS63" s="175"/>
      <c r="PAT63" s="176"/>
      <c r="PAU63" s="104"/>
      <c r="PAV63" s="106"/>
      <c r="PAW63" s="175"/>
      <c r="PAX63" s="175"/>
      <c r="PAY63" s="175"/>
      <c r="PAZ63" s="175"/>
      <c r="PBA63" s="176"/>
      <c r="PBB63" s="104"/>
      <c r="PBC63" s="106"/>
      <c r="PBD63" s="175"/>
      <c r="PBE63" s="175"/>
      <c r="PBF63" s="175"/>
      <c r="PBG63" s="175"/>
      <c r="PBH63" s="176"/>
      <c r="PBI63" s="104"/>
      <c r="PBJ63" s="106"/>
      <c r="PBK63" s="175"/>
      <c r="PBL63" s="175"/>
      <c r="PBM63" s="175"/>
      <c r="PBN63" s="175"/>
      <c r="PBO63" s="176"/>
      <c r="PBP63" s="104"/>
      <c r="PBQ63" s="106"/>
      <c r="PBR63" s="175"/>
      <c r="PBS63" s="175"/>
      <c r="PBT63" s="175"/>
      <c r="PBU63" s="175"/>
      <c r="PBV63" s="176"/>
      <c r="PBW63" s="104"/>
      <c r="PBX63" s="106"/>
      <c r="PBY63" s="175"/>
      <c r="PBZ63" s="175"/>
      <c r="PCA63" s="175"/>
      <c r="PCB63" s="175"/>
      <c r="PCC63" s="176"/>
      <c r="PCD63" s="104"/>
      <c r="PCE63" s="106"/>
      <c r="PCF63" s="175"/>
      <c r="PCG63" s="175"/>
      <c r="PCH63" s="175"/>
      <c r="PCI63" s="175"/>
      <c r="PCJ63" s="176"/>
      <c r="PCK63" s="104"/>
      <c r="PCL63" s="106"/>
      <c r="PCM63" s="175"/>
      <c r="PCN63" s="175"/>
      <c r="PCO63" s="175"/>
      <c r="PCP63" s="175"/>
      <c r="PCQ63" s="176"/>
      <c r="PCR63" s="104"/>
      <c r="PCS63" s="106"/>
      <c r="PCT63" s="175"/>
      <c r="PCU63" s="175"/>
      <c r="PCV63" s="175"/>
      <c r="PCW63" s="175"/>
      <c r="PCX63" s="176"/>
      <c r="PCY63" s="104"/>
      <c r="PCZ63" s="106"/>
      <c r="PDA63" s="175"/>
      <c r="PDB63" s="175"/>
      <c r="PDC63" s="175"/>
      <c r="PDD63" s="175"/>
      <c r="PDE63" s="176"/>
      <c r="PDF63" s="104"/>
      <c r="PDG63" s="106"/>
      <c r="PDH63" s="175"/>
      <c r="PDI63" s="175"/>
      <c r="PDJ63" s="175"/>
      <c r="PDK63" s="175"/>
      <c r="PDL63" s="176"/>
      <c r="PDM63" s="104"/>
      <c r="PDN63" s="106"/>
      <c r="PDO63" s="175"/>
      <c r="PDP63" s="175"/>
      <c r="PDQ63" s="175"/>
      <c r="PDR63" s="175"/>
      <c r="PDS63" s="176"/>
      <c r="PDT63" s="104"/>
      <c r="PDU63" s="106"/>
      <c r="PDV63" s="175"/>
      <c r="PDW63" s="175"/>
      <c r="PDX63" s="175"/>
      <c r="PDY63" s="175"/>
      <c r="PDZ63" s="176"/>
      <c r="PEA63" s="104"/>
      <c r="PEB63" s="106"/>
      <c r="PEC63" s="175"/>
      <c r="PED63" s="175"/>
      <c r="PEE63" s="175"/>
      <c r="PEF63" s="175"/>
      <c r="PEG63" s="176"/>
      <c r="PEH63" s="104"/>
      <c r="PEI63" s="106"/>
      <c r="PEJ63" s="175"/>
      <c r="PEK63" s="175"/>
      <c r="PEL63" s="175"/>
      <c r="PEM63" s="175"/>
      <c r="PEN63" s="176"/>
      <c r="PEO63" s="104"/>
      <c r="PEP63" s="106"/>
      <c r="PEQ63" s="175"/>
      <c r="PER63" s="175"/>
      <c r="PES63" s="175"/>
      <c r="PET63" s="175"/>
      <c r="PEU63" s="176"/>
      <c r="PEV63" s="104"/>
      <c r="PEW63" s="106"/>
      <c r="PEX63" s="175"/>
      <c r="PEY63" s="175"/>
      <c r="PEZ63" s="175"/>
      <c r="PFA63" s="175"/>
      <c r="PFB63" s="176"/>
      <c r="PFC63" s="104"/>
      <c r="PFD63" s="106"/>
      <c r="PFE63" s="175"/>
      <c r="PFF63" s="175"/>
      <c r="PFG63" s="175"/>
      <c r="PFH63" s="175"/>
      <c r="PFI63" s="176"/>
      <c r="PFJ63" s="104"/>
      <c r="PFK63" s="106"/>
      <c r="PFL63" s="175"/>
      <c r="PFM63" s="175"/>
      <c r="PFN63" s="175"/>
      <c r="PFO63" s="175"/>
      <c r="PFP63" s="176"/>
      <c r="PFQ63" s="104"/>
      <c r="PFR63" s="106"/>
      <c r="PFS63" s="175"/>
      <c r="PFT63" s="175"/>
      <c r="PFU63" s="175"/>
      <c r="PFV63" s="175"/>
      <c r="PFW63" s="176"/>
      <c r="PFX63" s="104"/>
      <c r="PFY63" s="106"/>
      <c r="PFZ63" s="175"/>
      <c r="PGA63" s="175"/>
      <c r="PGB63" s="175"/>
      <c r="PGC63" s="175"/>
      <c r="PGD63" s="176"/>
      <c r="PGE63" s="104"/>
      <c r="PGF63" s="106"/>
      <c r="PGG63" s="175"/>
      <c r="PGH63" s="175"/>
      <c r="PGI63" s="175"/>
      <c r="PGJ63" s="175"/>
      <c r="PGK63" s="176"/>
      <c r="PGL63" s="104"/>
      <c r="PGM63" s="106"/>
      <c r="PGN63" s="175"/>
      <c r="PGO63" s="175"/>
      <c r="PGP63" s="175"/>
      <c r="PGQ63" s="175"/>
      <c r="PGR63" s="176"/>
      <c r="PGS63" s="104"/>
      <c r="PGT63" s="106"/>
      <c r="PGU63" s="175"/>
      <c r="PGV63" s="175"/>
      <c r="PGW63" s="175"/>
      <c r="PGX63" s="175"/>
      <c r="PGY63" s="176"/>
      <c r="PGZ63" s="104"/>
      <c r="PHA63" s="106"/>
      <c r="PHB63" s="175"/>
      <c r="PHC63" s="175"/>
      <c r="PHD63" s="175"/>
      <c r="PHE63" s="175"/>
      <c r="PHF63" s="176"/>
      <c r="PHG63" s="104"/>
      <c r="PHH63" s="106"/>
      <c r="PHI63" s="175"/>
      <c r="PHJ63" s="175"/>
      <c r="PHK63" s="175"/>
      <c r="PHL63" s="175"/>
      <c r="PHM63" s="176"/>
      <c r="PHN63" s="104"/>
      <c r="PHO63" s="106"/>
      <c r="PHP63" s="175"/>
      <c r="PHQ63" s="175"/>
      <c r="PHR63" s="175"/>
      <c r="PHS63" s="175"/>
      <c r="PHT63" s="176"/>
      <c r="PHU63" s="104"/>
      <c r="PHV63" s="106"/>
      <c r="PHW63" s="175"/>
      <c r="PHX63" s="175"/>
      <c r="PHY63" s="175"/>
      <c r="PHZ63" s="175"/>
      <c r="PIA63" s="176"/>
      <c r="PIB63" s="104"/>
      <c r="PIC63" s="106"/>
      <c r="PID63" s="175"/>
      <c r="PIE63" s="175"/>
      <c r="PIF63" s="175"/>
      <c r="PIG63" s="175"/>
      <c r="PIH63" s="176"/>
      <c r="PII63" s="104"/>
      <c r="PIJ63" s="106"/>
      <c r="PIK63" s="175"/>
      <c r="PIL63" s="175"/>
      <c r="PIM63" s="175"/>
      <c r="PIN63" s="175"/>
      <c r="PIO63" s="176"/>
      <c r="PIP63" s="104"/>
      <c r="PIQ63" s="106"/>
      <c r="PIR63" s="175"/>
      <c r="PIS63" s="175"/>
      <c r="PIT63" s="175"/>
      <c r="PIU63" s="175"/>
      <c r="PIV63" s="176"/>
      <c r="PIW63" s="104"/>
      <c r="PIX63" s="106"/>
      <c r="PIY63" s="175"/>
      <c r="PIZ63" s="175"/>
      <c r="PJA63" s="175"/>
      <c r="PJB63" s="175"/>
      <c r="PJC63" s="176"/>
      <c r="PJD63" s="104"/>
      <c r="PJE63" s="106"/>
      <c r="PJF63" s="175"/>
      <c r="PJG63" s="175"/>
      <c r="PJH63" s="175"/>
      <c r="PJI63" s="175"/>
      <c r="PJJ63" s="176"/>
      <c r="PJK63" s="104"/>
      <c r="PJL63" s="106"/>
      <c r="PJM63" s="175"/>
      <c r="PJN63" s="175"/>
      <c r="PJO63" s="175"/>
      <c r="PJP63" s="175"/>
      <c r="PJQ63" s="176"/>
      <c r="PJR63" s="104"/>
      <c r="PJS63" s="106"/>
      <c r="PJT63" s="175"/>
      <c r="PJU63" s="175"/>
      <c r="PJV63" s="175"/>
      <c r="PJW63" s="175"/>
      <c r="PJX63" s="176"/>
      <c r="PJY63" s="104"/>
      <c r="PJZ63" s="106"/>
      <c r="PKA63" s="175"/>
      <c r="PKB63" s="175"/>
      <c r="PKC63" s="175"/>
      <c r="PKD63" s="175"/>
      <c r="PKE63" s="176"/>
      <c r="PKF63" s="104"/>
      <c r="PKG63" s="106"/>
      <c r="PKH63" s="175"/>
      <c r="PKI63" s="175"/>
      <c r="PKJ63" s="175"/>
      <c r="PKK63" s="175"/>
      <c r="PKL63" s="176"/>
      <c r="PKM63" s="104"/>
      <c r="PKN63" s="106"/>
      <c r="PKO63" s="175"/>
      <c r="PKP63" s="175"/>
      <c r="PKQ63" s="175"/>
      <c r="PKR63" s="175"/>
      <c r="PKS63" s="176"/>
      <c r="PKT63" s="104"/>
      <c r="PKU63" s="106"/>
      <c r="PKV63" s="175"/>
      <c r="PKW63" s="175"/>
      <c r="PKX63" s="175"/>
      <c r="PKY63" s="175"/>
      <c r="PKZ63" s="176"/>
      <c r="PLA63" s="104"/>
      <c r="PLB63" s="106"/>
      <c r="PLC63" s="175"/>
      <c r="PLD63" s="175"/>
      <c r="PLE63" s="175"/>
      <c r="PLF63" s="175"/>
      <c r="PLG63" s="176"/>
      <c r="PLH63" s="104"/>
      <c r="PLI63" s="106"/>
      <c r="PLJ63" s="175"/>
      <c r="PLK63" s="175"/>
      <c r="PLL63" s="175"/>
      <c r="PLM63" s="175"/>
      <c r="PLN63" s="176"/>
      <c r="PLO63" s="104"/>
      <c r="PLP63" s="106"/>
      <c r="PLQ63" s="175"/>
      <c r="PLR63" s="175"/>
      <c r="PLS63" s="175"/>
      <c r="PLT63" s="175"/>
      <c r="PLU63" s="176"/>
      <c r="PLV63" s="104"/>
      <c r="PLW63" s="106"/>
      <c r="PLX63" s="175"/>
      <c r="PLY63" s="175"/>
      <c r="PLZ63" s="175"/>
      <c r="PMA63" s="175"/>
      <c r="PMB63" s="176"/>
      <c r="PMC63" s="104"/>
      <c r="PMD63" s="106"/>
      <c r="PME63" s="175"/>
      <c r="PMF63" s="175"/>
      <c r="PMG63" s="175"/>
      <c r="PMH63" s="175"/>
      <c r="PMI63" s="176"/>
      <c r="PMJ63" s="104"/>
      <c r="PMK63" s="106"/>
      <c r="PML63" s="175"/>
      <c r="PMM63" s="175"/>
      <c r="PMN63" s="175"/>
      <c r="PMO63" s="175"/>
      <c r="PMP63" s="176"/>
      <c r="PMQ63" s="104"/>
      <c r="PMR63" s="106"/>
      <c r="PMS63" s="175"/>
      <c r="PMT63" s="175"/>
      <c r="PMU63" s="175"/>
      <c r="PMV63" s="175"/>
      <c r="PMW63" s="176"/>
      <c r="PMX63" s="104"/>
      <c r="PMY63" s="106"/>
      <c r="PMZ63" s="175"/>
      <c r="PNA63" s="175"/>
      <c r="PNB63" s="175"/>
      <c r="PNC63" s="175"/>
      <c r="PND63" s="176"/>
      <c r="PNE63" s="104"/>
      <c r="PNF63" s="106"/>
      <c r="PNG63" s="175"/>
      <c r="PNH63" s="175"/>
      <c r="PNI63" s="175"/>
      <c r="PNJ63" s="175"/>
      <c r="PNK63" s="176"/>
      <c r="PNL63" s="104"/>
      <c r="PNM63" s="106"/>
      <c r="PNN63" s="175"/>
      <c r="PNO63" s="175"/>
      <c r="PNP63" s="175"/>
      <c r="PNQ63" s="175"/>
      <c r="PNR63" s="176"/>
      <c r="PNS63" s="104"/>
      <c r="PNT63" s="106"/>
      <c r="PNU63" s="175"/>
      <c r="PNV63" s="175"/>
      <c r="PNW63" s="175"/>
      <c r="PNX63" s="175"/>
      <c r="PNY63" s="176"/>
      <c r="PNZ63" s="104"/>
      <c r="POA63" s="106"/>
      <c r="POB63" s="175"/>
      <c r="POC63" s="175"/>
      <c r="POD63" s="175"/>
      <c r="POE63" s="175"/>
      <c r="POF63" s="176"/>
      <c r="POG63" s="104"/>
      <c r="POH63" s="106"/>
      <c r="POI63" s="175"/>
      <c r="POJ63" s="175"/>
      <c r="POK63" s="175"/>
      <c r="POL63" s="175"/>
      <c r="POM63" s="176"/>
      <c r="PON63" s="104"/>
      <c r="POO63" s="106"/>
      <c r="POP63" s="175"/>
      <c r="POQ63" s="175"/>
      <c r="POR63" s="175"/>
      <c r="POS63" s="175"/>
      <c r="POT63" s="176"/>
      <c r="POU63" s="104"/>
      <c r="POV63" s="106"/>
      <c r="POW63" s="175"/>
      <c r="POX63" s="175"/>
      <c r="POY63" s="175"/>
      <c r="POZ63" s="175"/>
      <c r="PPA63" s="176"/>
      <c r="PPB63" s="104"/>
      <c r="PPC63" s="106"/>
      <c r="PPD63" s="175"/>
      <c r="PPE63" s="175"/>
      <c r="PPF63" s="175"/>
      <c r="PPG63" s="175"/>
      <c r="PPH63" s="176"/>
      <c r="PPI63" s="104"/>
      <c r="PPJ63" s="106"/>
      <c r="PPK63" s="175"/>
      <c r="PPL63" s="175"/>
      <c r="PPM63" s="175"/>
      <c r="PPN63" s="175"/>
      <c r="PPO63" s="176"/>
      <c r="PPP63" s="104"/>
      <c r="PPQ63" s="106"/>
      <c r="PPR63" s="175"/>
      <c r="PPS63" s="175"/>
      <c r="PPT63" s="175"/>
      <c r="PPU63" s="175"/>
      <c r="PPV63" s="176"/>
      <c r="PPW63" s="104"/>
      <c r="PPX63" s="106"/>
      <c r="PPY63" s="175"/>
      <c r="PPZ63" s="175"/>
      <c r="PQA63" s="175"/>
      <c r="PQB63" s="175"/>
      <c r="PQC63" s="176"/>
      <c r="PQD63" s="104"/>
      <c r="PQE63" s="106"/>
      <c r="PQF63" s="175"/>
      <c r="PQG63" s="175"/>
      <c r="PQH63" s="175"/>
      <c r="PQI63" s="175"/>
      <c r="PQJ63" s="176"/>
      <c r="PQK63" s="104"/>
      <c r="PQL63" s="106"/>
      <c r="PQM63" s="175"/>
      <c r="PQN63" s="175"/>
      <c r="PQO63" s="175"/>
      <c r="PQP63" s="175"/>
      <c r="PQQ63" s="176"/>
      <c r="PQR63" s="104"/>
      <c r="PQS63" s="106"/>
      <c r="PQT63" s="175"/>
      <c r="PQU63" s="175"/>
      <c r="PQV63" s="175"/>
      <c r="PQW63" s="175"/>
      <c r="PQX63" s="176"/>
      <c r="PQY63" s="104"/>
      <c r="PQZ63" s="106"/>
      <c r="PRA63" s="175"/>
      <c r="PRB63" s="175"/>
      <c r="PRC63" s="175"/>
      <c r="PRD63" s="175"/>
      <c r="PRE63" s="176"/>
      <c r="PRF63" s="104"/>
      <c r="PRG63" s="106"/>
      <c r="PRH63" s="175"/>
      <c r="PRI63" s="175"/>
      <c r="PRJ63" s="175"/>
      <c r="PRK63" s="175"/>
      <c r="PRL63" s="176"/>
      <c r="PRM63" s="104"/>
      <c r="PRN63" s="106"/>
      <c r="PRO63" s="175"/>
      <c r="PRP63" s="175"/>
      <c r="PRQ63" s="175"/>
      <c r="PRR63" s="175"/>
      <c r="PRS63" s="176"/>
      <c r="PRT63" s="104"/>
      <c r="PRU63" s="106"/>
      <c r="PRV63" s="175"/>
      <c r="PRW63" s="175"/>
      <c r="PRX63" s="175"/>
      <c r="PRY63" s="175"/>
      <c r="PRZ63" s="176"/>
      <c r="PSA63" s="104"/>
      <c r="PSB63" s="106"/>
      <c r="PSC63" s="175"/>
      <c r="PSD63" s="175"/>
      <c r="PSE63" s="175"/>
      <c r="PSF63" s="175"/>
      <c r="PSG63" s="176"/>
      <c r="PSH63" s="104"/>
      <c r="PSI63" s="106"/>
      <c r="PSJ63" s="175"/>
      <c r="PSK63" s="175"/>
      <c r="PSL63" s="175"/>
      <c r="PSM63" s="175"/>
      <c r="PSN63" s="176"/>
      <c r="PSO63" s="104"/>
      <c r="PSP63" s="106"/>
      <c r="PSQ63" s="175"/>
      <c r="PSR63" s="175"/>
      <c r="PSS63" s="175"/>
      <c r="PST63" s="175"/>
      <c r="PSU63" s="176"/>
      <c r="PSV63" s="104"/>
      <c r="PSW63" s="106"/>
      <c r="PSX63" s="175"/>
      <c r="PSY63" s="175"/>
      <c r="PSZ63" s="175"/>
      <c r="PTA63" s="175"/>
      <c r="PTB63" s="176"/>
      <c r="PTC63" s="104"/>
      <c r="PTD63" s="106"/>
      <c r="PTE63" s="175"/>
      <c r="PTF63" s="175"/>
      <c r="PTG63" s="175"/>
      <c r="PTH63" s="175"/>
      <c r="PTI63" s="176"/>
      <c r="PTJ63" s="104"/>
      <c r="PTK63" s="106"/>
      <c r="PTL63" s="175"/>
      <c r="PTM63" s="175"/>
      <c r="PTN63" s="175"/>
      <c r="PTO63" s="175"/>
      <c r="PTP63" s="176"/>
      <c r="PTQ63" s="104"/>
      <c r="PTR63" s="106"/>
      <c r="PTS63" s="175"/>
      <c r="PTT63" s="175"/>
      <c r="PTU63" s="175"/>
      <c r="PTV63" s="175"/>
      <c r="PTW63" s="176"/>
      <c r="PTX63" s="104"/>
      <c r="PTY63" s="106"/>
      <c r="PTZ63" s="175"/>
      <c r="PUA63" s="175"/>
      <c r="PUB63" s="175"/>
      <c r="PUC63" s="175"/>
      <c r="PUD63" s="176"/>
      <c r="PUE63" s="104"/>
      <c r="PUF63" s="106"/>
      <c r="PUG63" s="175"/>
      <c r="PUH63" s="175"/>
      <c r="PUI63" s="175"/>
      <c r="PUJ63" s="175"/>
      <c r="PUK63" s="176"/>
      <c r="PUL63" s="104"/>
      <c r="PUM63" s="106"/>
      <c r="PUN63" s="175"/>
      <c r="PUO63" s="175"/>
      <c r="PUP63" s="175"/>
      <c r="PUQ63" s="175"/>
      <c r="PUR63" s="176"/>
      <c r="PUS63" s="104"/>
      <c r="PUT63" s="106"/>
      <c r="PUU63" s="175"/>
      <c r="PUV63" s="175"/>
      <c r="PUW63" s="175"/>
      <c r="PUX63" s="175"/>
      <c r="PUY63" s="176"/>
      <c r="PUZ63" s="104"/>
      <c r="PVA63" s="106"/>
      <c r="PVB63" s="175"/>
      <c r="PVC63" s="175"/>
      <c r="PVD63" s="175"/>
      <c r="PVE63" s="175"/>
      <c r="PVF63" s="176"/>
      <c r="PVG63" s="104"/>
      <c r="PVH63" s="106"/>
      <c r="PVI63" s="175"/>
      <c r="PVJ63" s="175"/>
      <c r="PVK63" s="175"/>
      <c r="PVL63" s="175"/>
      <c r="PVM63" s="176"/>
      <c r="PVN63" s="104"/>
      <c r="PVO63" s="106"/>
      <c r="PVP63" s="175"/>
      <c r="PVQ63" s="175"/>
      <c r="PVR63" s="175"/>
      <c r="PVS63" s="175"/>
      <c r="PVT63" s="176"/>
      <c r="PVU63" s="104"/>
      <c r="PVV63" s="106"/>
      <c r="PVW63" s="175"/>
      <c r="PVX63" s="175"/>
      <c r="PVY63" s="175"/>
      <c r="PVZ63" s="175"/>
      <c r="PWA63" s="176"/>
      <c r="PWB63" s="104"/>
      <c r="PWC63" s="106"/>
      <c r="PWD63" s="175"/>
      <c r="PWE63" s="175"/>
      <c r="PWF63" s="175"/>
      <c r="PWG63" s="175"/>
      <c r="PWH63" s="176"/>
      <c r="PWI63" s="104"/>
      <c r="PWJ63" s="106"/>
      <c r="PWK63" s="175"/>
      <c r="PWL63" s="175"/>
      <c r="PWM63" s="175"/>
      <c r="PWN63" s="175"/>
      <c r="PWO63" s="176"/>
      <c r="PWP63" s="104"/>
      <c r="PWQ63" s="106"/>
      <c r="PWR63" s="175"/>
      <c r="PWS63" s="175"/>
      <c r="PWT63" s="175"/>
      <c r="PWU63" s="175"/>
      <c r="PWV63" s="176"/>
      <c r="PWW63" s="104"/>
      <c r="PWX63" s="106"/>
      <c r="PWY63" s="175"/>
      <c r="PWZ63" s="175"/>
      <c r="PXA63" s="175"/>
      <c r="PXB63" s="175"/>
      <c r="PXC63" s="176"/>
      <c r="PXD63" s="104"/>
      <c r="PXE63" s="106"/>
      <c r="PXF63" s="175"/>
      <c r="PXG63" s="175"/>
      <c r="PXH63" s="175"/>
      <c r="PXI63" s="175"/>
      <c r="PXJ63" s="176"/>
      <c r="PXK63" s="104"/>
      <c r="PXL63" s="106"/>
      <c r="PXM63" s="175"/>
      <c r="PXN63" s="175"/>
      <c r="PXO63" s="175"/>
      <c r="PXP63" s="175"/>
      <c r="PXQ63" s="176"/>
      <c r="PXR63" s="104"/>
      <c r="PXS63" s="106"/>
      <c r="PXT63" s="175"/>
      <c r="PXU63" s="175"/>
      <c r="PXV63" s="175"/>
      <c r="PXW63" s="175"/>
      <c r="PXX63" s="176"/>
      <c r="PXY63" s="104"/>
      <c r="PXZ63" s="106"/>
      <c r="PYA63" s="175"/>
      <c r="PYB63" s="175"/>
      <c r="PYC63" s="175"/>
      <c r="PYD63" s="175"/>
      <c r="PYE63" s="176"/>
      <c r="PYF63" s="104"/>
      <c r="PYG63" s="106"/>
      <c r="PYH63" s="175"/>
      <c r="PYI63" s="175"/>
      <c r="PYJ63" s="175"/>
      <c r="PYK63" s="175"/>
      <c r="PYL63" s="176"/>
      <c r="PYM63" s="104"/>
      <c r="PYN63" s="106"/>
      <c r="PYO63" s="175"/>
      <c r="PYP63" s="175"/>
      <c r="PYQ63" s="175"/>
      <c r="PYR63" s="175"/>
      <c r="PYS63" s="176"/>
      <c r="PYT63" s="104"/>
      <c r="PYU63" s="106"/>
      <c r="PYV63" s="175"/>
      <c r="PYW63" s="175"/>
      <c r="PYX63" s="175"/>
      <c r="PYY63" s="175"/>
      <c r="PYZ63" s="176"/>
      <c r="PZA63" s="104"/>
      <c r="PZB63" s="106"/>
      <c r="PZC63" s="175"/>
      <c r="PZD63" s="175"/>
      <c r="PZE63" s="175"/>
      <c r="PZF63" s="175"/>
      <c r="PZG63" s="176"/>
      <c r="PZH63" s="104"/>
      <c r="PZI63" s="106"/>
      <c r="PZJ63" s="175"/>
      <c r="PZK63" s="175"/>
      <c r="PZL63" s="175"/>
      <c r="PZM63" s="175"/>
      <c r="PZN63" s="176"/>
      <c r="PZO63" s="104"/>
      <c r="PZP63" s="106"/>
      <c r="PZQ63" s="175"/>
      <c r="PZR63" s="175"/>
      <c r="PZS63" s="175"/>
      <c r="PZT63" s="175"/>
      <c r="PZU63" s="176"/>
      <c r="PZV63" s="104"/>
      <c r="PZW63" s="106"/>
      <c r="PZX63" s="175"/>
      <c r="PZY63" s="175"/>
      <c r="PZZ63" s="175"/>
      <c r="QAA63" s="175"/>
      <c r="QAB63" s="176"/>
      <c r="QAC63" s="104"/>
      <c r="QAD63" s="106"/>
      <c r="QAE63" s="175"/>
      <c r="QAF63" s="175"/>
      <c r="QAG63" s="175"/>
      <c r="QAH63" s="175"/>
      <c r="QAI63" s="176"/>
      <c r="QAJ63" s="104"/>
      <c r="QAK63" s="106"/>
      <c r="QAL63" s="175"/>
      <c r="QAM63" s="175"/>
      <c r="QAN63" s="175"/>
      <c r="QAO63" s="175"/>
      <c r="QAP63" s="176"/>
      <c r="QAQ63" s="104"/>
      <c r="QAR63" s="106"/>
      <c r="QAS63" s="175"/>
      <c r="QAT63" s="175"/>
      <c r="QAU63" s="175"/>
      <c r="QAV63" s="175"/>
      <c r="QAW63" s="176"/>
      <c r="QAX63" s="104"/>
      <c r="QAY63" s="106"/>
      <c r="QAZ63" s="175"/>
      <c r="QBA63" s="175"/>
      <c r="QBB63" s="175"/>
      <c r="QBC63" s="175"/>
      <c r="QBD63" s="176"/>
      <c r="QBE63" s="104"/>
      <c r="QBF63" s="106"/>
      <c r="QBG63" s="175"/>
      <c r="QBH63" s="175"/>
      <c r="QBI63" s="175"/>
      <c r="QBJ63" s="175"/>
      <c r="QBK63" s="176"/>
      <c r="QBL63" s="104"/>
      <c r="QBM63" s="106"/>
      <c r="QBN63" s="175"/>
      <c r="QBO63" s="175"/>
      <c r="QBP63" s="175"/>
      <c r="QBQ63" s="175"/>
      <c r="QBR63" s="176"/>
      <c r="QBS63" s="104"/>
      <c r="QBT63" s="106"/>
      <c r="QBU63" s="175"/>
      <c r="QBV63" s="175"/>
      <c r="QBW63" s="175"/>
      <c r="QBX63" s="175"/>
      <c r="QBY63" s="176"/>
      <c r="QBZ63" s="104"/>
      <c r="QCA63" s="106"/>
      <c r="QCB63" s="175"/>
      <c r="QCC63" s="175"/>
      <c r="QCD63" s="175"/>
      <c r="QCE63" s="175"/>
      <c r="QCF63" s="176"/>
      <c r="QCG63" s="104"/>
      <c r="QCH63" s="106"/>
      <c r="QCI63" s="175"/>
      <c r="QCJ63" s="175"/>
      <c r="QCK63" s="175"/>
      <c r="QCL63" s="175"/>
      <c r="QCM63" s="176"/>
      <c r="QCN63" s="104"/>
      <c r="QCO63" s="106"/>
      <c r="QCP63" s="175"/>
      <c r="QCQ63" s="175"/>
      <c r="QCR63" s="175"/>
      <c r="QCS63" s="175"/>
      <c r="QCT63" s="176"/>
      <c r="QCU63" s="104"/>
      <c r="QCV63" s="106"/>
      <c r="QCW63" s="175"/>
      <c r="QCX63" s="175"/>
      <c r="QCY63" s="175"/>
      <c r="QCZ63" s="175"/>
      <c r="QDA63" s="176"/>
      <c r="QDB63" s="104"/>
      <c r="QDC63" s="106"/>
      <c r="QDD63" s="175"/>
      <c r="QDE63" s="175"/>
      <c r="QDF63" s="175"/>
      <c r="QDG63" s="175"/>
      <c r="QDH63" s="176"/>
      <c r="QDI63" s="104"/>
      <c r="QDJ63" s="106"/>
      <c r="QDK63" s="175"/>
      <c r="QDL63" s="175"/>
      <c r="QDM63" s="175"/>
      <c r="QDN63" s="175"/>
      <c r="QDO63" s="176"/>
      <c r="QDP63" s="104"/>
      <c r="QDQ63" s="106"/>
      <c r="QDR63" s="175"/>
      <c r="QDS63" s="175"/>
      <c r="QDT63" s="175"/>
      <c r="QDU63" s="175"/>
      <c r="QDV63" s="176"/>
      <c r="QDW63" s="104"/>
      <c r="QDX63" s="106"/>
      <c r="QDY63" s="175"/>
      <c r="QDZ63" s="175"/>
      <c r="QEA63" s="175"/>
      <c r="QEB63" s="175"/>
      <c r="QEC63" s="176"/>
      <c r="QED63" s="104"/>
      <c r="QEE63" s="106"/>
      <c r="QEF63" s="175"/>
      <c r="QEG63" s="175"/>
      <c r="QEH63" s="175"/>
      <c r="QEI63" s="175"/>
      <c r="QEJ63" s="176"/>
      <c r="QEK63" s="104"/>
      <c r="QEL63" s="106"/>
      <c r="QEM63" s="175"/>
      <c r="QEN63" s="175"/>
      <c r="QEO63" s="175"/>
      <c r="QEP63" s="175"/>
      <c r="QEQ63" s="176"/>
      <c r="QER63" s="104"/>
      <c r="QES63" s="106"/>
      <c r="QET63" s="175"/>
      <c r="QEU63" s="175"/>
      <c r="QEV63" s="175"/>
      <c r="QEW63" s="175"/>
      <c r="QEX63" s="176"/>
      <c r="QEY63" s="104"/>
      <c r="QEZ63" s="106"/>
      <c r="QFA63" s="175"/>
      <c r="QFB63" s="175"/>
      <c r="QFC63" s="175"/>
      <c r="QFD63" s="175"/>
      <c r="QFE63" s="176"/>
      <c r="QFF63" s="104"/>
      <c r="QFG63" s="106"/>
      <c r="QFH63" s="175"/>
      <c r="QFI63" s="175"/>
      <c r="QFJ63" s="175"/>
      <c r="QFK63" s="175"/>
      <c r="QFL63" s="176"/>
      <c r="QFM63" s="104"/>
      <c r="QFN63" s="106"/>
      <c r="QFO63" s="175"/>
      <c r="QFP63" s="175"/>
      <c r="QFQ63" s="175"/>
      <c r="QFR63" s="175"/>
      <c r="QFS63" s="176"/>
      <c r="QFT63" s="104"/>
      <c r="QFU63" s="106"/>
      <c r="QFV63" s="175"/>
      <c r="QFW63" s="175"/>
      <c r="QFX63" s="175"/>
      <c r="QFY63" s="175"/>
      <c r="QFZ63" s="176"/>
      <c r="QGA63" s="104"/>
      <c r="QGB63" s="106"/>
      <c r="QGC63" s="175"/>
      <c r="QGD63" s="175"/>
      <c r="QGE63" s="175"/>
      <c r="QGF63" s="175"/>
      <c r="QGG63" s="176"/>
      <c r="QGH63" s="104"/>
      <c r="QGI63" s="106"/>
      <c r="QGJ63" s="175"/>
      <c r="QGK63" s="175"/>
      <c r="QGL63" s="175"/>
      <c r="QGM63" s="175"/>
      <c r="QGN63" s="176"/>
      <c r="QGO63" s="104"/>
      <c r="QGP63" s="106"/>
      <c r="QGQ63" s="175"/>
      <c r="QGR63" s="175"/>
      <c r="QGS63" s="175"/>
      <c r="QGT63" s="175"/>
      <c r="QGU63" s="176"/>
      <c r="QGV63" s="104"/>
      <c r="QGW63" s="106"/>
      <c r="QGX63" s="175"/>
      <c r="QGY63" s="175"/>
      <c r="QGZ63" s="175"/>
      <c r="QHA63" s="175"/>
      <c r="QHB63" s="176"/>
      <c r="QHC63" s="104"/>
      <c r="QHD63" s="106"/>
      <c r="QHE63" s="175"/>
      <c r="QHF63" s="175"/>
      <c r="QHG63" s="175"/>
      <c r="QHH63" s="175"/>
      <c r="QHI63" s="176"/>
      <c r="QHJ63" s="104"/>
      <c r="QHK63" s="106"/>
      <c r="QHL63" s="175"/>
      <c r="QHM63" s="175"/>
      <c r="QHN63" s="175"/>
      <c r="QHO63" s="175"/>
      <c r="QHP63" s="176"/>
      <c r="QHQ63" s="104"/>
      <c r="QHR63" s="106"/>
      <c r="QHS63" s="175"/>
      <c r="QHT63" s="175"/>
      <c r="QHU63" s="175"/>
      <c r="QHV63" s="175"/>
      <c r="QHW63" s="176"/>
      <c r="QHX63" s="104"/>
      <c r="QHY63" s="106"/>
      <c r="QHZ63" s="175"/>
      <c r="QIA63" s="175"/>
      <c r="QIB63" s="175"/>
      <c r="QIC63" s="175"/>
      <c r="QID63" s="176"/>
      <c r="QIE63" s="104"/>
      <c r="QIF63" s="106"/>
      <c r="QIG63" s="175"/>
      <c r="QIH63" s="175"/>
      <c r="QII63" s="175"/>
      <c r="QIJ63" s="175"/>
      <c r="QIK63" s="176"/>
      <c r="QIL63" s="104"/>
      <c r="QIM63" s="106"/>
      <c r="QIN63" s="175"/>
      <c r="QIO63" s="175"/>
      <c r="QIP63" s="175"/>
      <c r="QIQ63" s="175"/>
      <c r="QIR63" s="176"/>
      <c r="QIS63" s="104"/>
      <c r="QIT63" s="106"/>
      <c r="QIU63" s="175"/>
      <c r="QIV63" s="175"/>
      <c r="QIW63" s="175"/>
      <c r="QIX63" s="175"/>
      <c r="QIY63" s="176"/>
      <c r="QIZ63" s="104"/>
      <c r="QJA63" s="106"/>
      <c r="QJB63" s="175"/>
      <c r="QJC63" s="175"/>
      <c r="QJD63" s="175"/>
      <c r="QJE63" s="175"/>
      <c r="QJF63" s="176"/>
      <c r="QJG63" s="104"/>
      <c r="QJH63" s="106"/>
      <c r="QJI63" s="175"/>
      <c r="QJJ63" s="175"/>
      <c r="QJK63" s="175"/>
      <c r="QJL63" s="175"/>
      <c r="QJM63" s="176"/>
      <c r="QJN63" s="104"/>
      <c r="QJO63" s="106"/>
      <c r="QJP63" s="175"/>
      <c r="QJQ63" s="175"/>
      <c r="QJR63" s="175"/>
      <c r="QJS63" s="175"/>
      <c r="QJT63" s="176"/>
      <c r="QJU63" s="104"/>
      <c r="QJV63" s="106"/>
      <c r="QJW63" s="175"/>
      <c r="QJX63" s="175"/>
      <c r="QJY63" s="175"/>
      <c r="QJZ63" s="175"/>
      <c r="QKA63" s="176"/>
      <c r="QKB63" s="104"/>
      <c r="QKC63" s="106"/>
      <c r="QKD63" s="175"/>
      <c r="QKE63" s="175"/>
      <c r="QKF63" s="175"/>
      <c r="QKG63" s="175"/>
      <c r="QKH63" s="176"/>
      <c r="QKI63" s="104"/>
      <c r="QKJ63" s="106"/>
      <c r="QKK63" s="175"/>
      <c r="QKL63" s="175"/>
      <c r="QKM63" s="175"/>
      <c r="QKN63" s="175"/>
      <c r="QKO63" s="176"/>
      <c r="QKP63" s="104"/>
      <c r="QKQ63" s="106"/>
      <c r="QKR63" s="175"/>
      <c r="QKS63" s="175"/>
      <c r="QKT63" s="175"/>
      <c r="QKU63" s="175"/>
      <c r="QKV63" s="176"/>
      <c r="QKW63" s="104"/>
      <c r="QKX63" s="106"/>
      <c r="QKY63" s="175"/>
      <c r="QKZ63" s="175"/>
      <c r="QLA63" s="175"/>
      <c r="QLB63" s="175"/>
      <c r="QLC63" s="176"/>
      <c r="QLD63" s="104"/>
      <c r="QLE63" s="106"/>
      <c r="QLF63" s="175"/>
      <c r="QLG63" s="175"/>
      <c r="QLH63" s="175"/>
      <c r="QLI63" s="175"/>
      <c r="QLJ63" s="176"/>
      <c r="QLK63" s="104"/>
      <c r="QLL63" s="106"/>
      <c r="QLM63" s="175"/>
      <c r="QLN63" s="175"/>
      <c r="QLO63" s="175"/>
      <c r="QLP63" s="175"/>
      <c r="QLQ63" s="176"/>
      <c r="QLR63" s="104"/>
      <c r="QLS63" s="106"/>
      <c r="QLT63" s="175"/>
      <c r="QLU63" s="175"/>
      <c r="QLV63" s="175"/>
      <c r="QLW63" s="175"/>
      <c r="QLX63" s="176"/>
      <c r="QLY63" s="104"/>
      <c r="QLZ63" s="106"/>
      <c r="QMA63" s="175"/>
      <c r="QMB63" s="175"/>
      <c r="QMC63" s="175"/>
      <c r="QMD63" s="175"/>
      <c r="QME63" s="176"/>
      <c r="QMF63" s="104"/>
      <c r="QMG63" s="106"/>
      <c r="QMH63" s="175"/>
      <c r="QMI63" s="175"/>
      <c r="QMJ63" s="175"/>
      <c r="QMK63" s="175"/>
      <c r="QML63" s="176"/>
      <c r="QMM63" s="104"/>
      <c r="QMN63" s="106"/>
      <c r="QMO63" s="175"/>
      <c r="QMP63" s="175"/>
      <c r="QMQ63" s="175"/>
      <c r="QMR63" s="175"/>
      <c r="QMS63" s="176"/>
      <c r="QMT63" s="104"/>
      <c r="QMU63" s="106"/>
      <c r="QMV63" s="175"/>
      <c r="QMW63" s="175"/>
      <c r="QMX63" s="175"/>
      <c r="QMY63" s="175"/>
      <c r="QMZ63" s="176"/>
      <c r="QNA63" s="104"/>
      <c r="QNB63" s="106"/>
      <c r="QNC63" s="175"/>
      <c r="QND63" s="175"/>
      <c r="QNE63" s="175"/>
      <c r="QNF63" s="175"/>
      <c r="QNG63" s="176"/>
      <c r="QNH63" s="104"/>
      <c r="QNI63" s="106"/>
      <c r="QNJ63" s="175"/>
      <c r="QNK63" s="175"/>
      <c r="QNL63" s="175"/>
      <c r="QNM63" s="175"/>
      <c r="QNN63" s="176"/>
      <c r="QNO63" s="104"/>
      <c r="QNP63" s="106"/>
      <c r="QNQ63" s="175"/>
      <c r="QNR63" s="175"/>
      <c r="QNS63" s="175"/>
      <c r="QNT63" s="175"/>
      <c r="QNU63" s="176"/>
      <c r="QNV63" s="104"/>
      <c r="QNW63" s="106"/>
      <c r="QNX63" s="175"/>
      <c r="QNY63" s="175"/>
      <c r="QNZ63" s="175"/>
      <c r="QOA63" s="175"/>
      <c r="QOB63" s="176"/>
      <c r="QOC63" s="104"/>
      <c r="QOD63" s="106"/>
      <c r="QOE63" s="175"/>
      <c r="QOF63" s="175"/>
      <c r="QOG63" s="175"/>
      <c r="QOH63" s="175"/>
      <c r="QOI63" s="176"/>
      <c r="QOJ63" s="104"/>
      <c r="QOK63" s="106"/>
      <c r="QOL63" s="175"/>
      <c r="QOM63" s="175"/>
      <c r="QON63" s="175"/>
      <c r="QOO63" s="175"/>
      <c r="QOP63" s="176"/>
      <c r="QOQ63" s="104"/>
      <c r="QOR63" s="106"/>
      <c r="QOS63" s="175"/>
      <c r="QOT63" s="175"/>
      <c r="QOU63" s="175"/>
      <c r="QOV63" s="175"/>
      <c r="QOW63" s="176"/>
      <c r="QOX63" s="104"/>
      <c r="QOY63" s="106"/>
      <c r="QOZ63" s="175"/>
      <c r="QPA63" s="175"/>
      <c r="QPB63" s="175"/>
      <c r="QPC63" s="175"/>
      <c r="QPD63" s="176"/>
      <c r="QPE63" s="104"/>
      <c r="QPF63" s="106"/>
      <c r="QPG63" s="175"/>
      <c r="QPH63" s="175"/>
      <c r="QPI63" s="175"/>
      <c r="QPJ63" s="175"/>
      <c r="QPK63" s="176"/>
      <c r="QPL63" s="104"/>
      <c r="QPM63" s="106"/>
      <c r="QPN63" s="175"/>
      <c r="QPO63" s="175"/>
      <c r="QPP63" s="175"/>
      <c r="QPQ63" s="175"/>
      <c r="QPR63" s="176"/>
      <c r="QPS63" s="104"/>
      <c r="QPT63" s="106"/>
      <c r="QPU63" s="175"/>
      <c r="QPV63" s="175"/>
      <c r="QPW63" s="175"/>
      <c r="QPX63" s="175"/>
      <c r="QPY63" s="176"/>
      <c r="QPZ63" s="104"/>
      <c r="QQA63" s="106"/>
      <c r="QQB63" s="175"/>
      <c r="QQC63" s="175"/>
      <c r="QQD63" s="175"/>
      <c r="QQE63" s="175"/>
      <c r="QQF63" s="176"/>
      <c r="QQG63" s="104"/>
      <c r="QQH63" s="106"/>
      <c r="QQI63" s="175"/>
      <c r="QQJ63" s="175"/>
      <c r="QQK63" s="175"/>
      <c r="QQL63" s="175"/>
      <c r="QQM63" s="176"/>
      <c r="QQN63" s="104"/>
      <c r="QQO63" s="106"/>
      <c r="QQP63" s="175"/>
      <c r="QQQ63" s="175"/>
      <c r="QQR63" s="175"/>
      <c r="QQS63" s="175"/>
      <c r="QQT63" s="176"/>
      <c r="QQU63" s="104"/>
      <c r="QQV63" s="106"/>
      <c r="QQW63" s="175"/>
      <c r="QQX63" s="175"/>
      <c r="QQY63" s="175"/>
      <c r="QQZ63" s="175"/>
      <c r="QRA63" s="176"/>
      <c r="QRB63" s="104"/>
      <c r="QRC63" s="106"/>
      <c r="QRD63" s="175"/>
      <c r="QRE63" s="175"/>
      <c r="QRF63" s="175"/>
      <c r="QRG63" s="175"/>
      <c r="QRH63" s="176"/>
      <c r="QRI63" s="104"/>
      <c r="QRJ63" s="106"/>
      <c r="QRK63" s="175"/>
      <c r="QRL63" s="175"/>
      <c r="QRM63" s="175"/>
      <c r="QRN63" s="175"/>
      <c r="QRO63" s="176"/>
      <c r="QRP63" s="104"/>
      <c r="QRQ63" s="106"/>
      <c r="QRR63" s="175"/>
      <c r="QRS63" s="175"/>
      <c r="QRT63" s="175"/>
      <c r="QRU63" s="175"/>
      <c r="QRV63" s="176"/>
      <c r="QRW63" s="104"/>
      <c r="QRX63" s="106"/>
      <c r="QRY63" s="175"/>
      <c r="QRZ63" s="175"/>
      <c r="QSA63" s="175"/>
      <c r="QSB63" s="175"/>
      <c r="QSC63" s="176"/>
      <c r="QSD63" s="104"/>
      <c r="QSE63" s="106"/>
      <c r="QSF63" s="175"/>
      <c r="QSG63" s="175"/>
      <c r="QSH63" s="175"/>
      <c r="QSI63" s="175"/>
      <c r="QSJ63" s="176"/>
      <c r="QSK63" s="104"/>
      <c r="QSL63" s="106"/>
      <c r="QSM63" s="175"/>
      <c r="QSN63" s="175"/>
      <c r="QSO63" s="175"/>
      <c r="QSP63" s="175"/>
      <c r="QSQ63" s="176"/>
      <c r="QSR63" s="104"/>
      <c r="QSS63" s="106"/>
      <c r="QST63" s="175"/>
      <c r="QSU63" s="175"/>
      <c r="QSV63" s="175"/>
      <c r="QSW63" s="175"/>
      <c r="QSX63" s="176"/>
      <c r="QSY63" s="104"/>
      <c r="QSZ63" s="106"/>
      <c r="QTA63" s="175"/>
      <c r="QTB63" s="175"/>
      <c r="QTC63" s="175"/>
      <c r="QTD63" s="175"/>
      <c r="QTE63" s="176"/>
      <c r="QTF63" s="104"/>
      <c r="QTG63" s="106"/>
      <c r="QTH63" s="175"/>
      <c r="QTI63" s="175"/>
      <c r="QTJ63" s="175"/>
      <c r="QTK63" s="175"/>
      <c r="QTL63" s="176"/>
      <c r="QTM63" s="104"/>
      <c r="QTN63" s="106"/>
      <c r="QTO63" s="175"/>
      <c r="QTP63" s="175"/>
      <c r="QTQ63" s="175"/>
      <c r="QTR63" s="175"/>
      <c r="QTS63" s="176"/>
      <c r="QTT63" s="104"/>
      <c r="QTU63" s="106"/>
      <c r="QTV63" s="175"/>
      <c r="QTW63" s="175"/>
      <c r="QTX63" s="175"/>
      <c r="QTY63" s="175"/>
      <c r="QTZ63" s="176"/>
      <c r="QUA63" s="104"/>
      <c r="QUB63" s="106"/>
      <c r="QUC63" s="175"/>
      <c r="QUD63" s="175"/>
      <c r="QUE63" s="175"/>
      <c r="QUF63" s="175"/>
      <c r="QUG63" s="176"/>
      <c r="QUH63" s="104"/>
      <c r="QUI63" s="106"/>
      <c r="QUJ63" s="175"/>
      <c r="QUK63" s="175"/>
      <c r="QUL63" s="175"/>
      <c r="QUM63" s="175"/>
      <c r="QUN63" s="176"/>
      <c r="QUO63" s="104"/>
      <c r="QUP63" s="106"/>
      <c r="QUQ63" s="175"/>
      <c r="QUR63" s="175"/>
      <c r="QUS63" s="175"/>
      <c r="QUT63" s="175"/>
      <c r="QUU63" s="176"/>
      <c r="QUV63" s="104"/>
      <c r="QUW63" s="106"/>
      <c r="QUX63" s="175"/>
      <c r="QUY63" s="175"/>
      <c r="QUZ63" s="175"/>
      <c r="QVA63" s="175"/>
      <c r="QVB63" s="176"/>
      <c r="QVC63" s="104"/>
      <c r="QVD63" s="106"/>
      <c r="QVE63" s="175"/>
      <c r="QVF63" s="175"/>
      <c r="QVG63" s="175"/>
      <c r="QVH63" s="175"/>
      <c r="QVI63" s="176"/>
      <c r="QVJ63" s="104"/>
      <c r="QVK63" s="106"/>
      <c r="QVL63" s="175"/>
      <c r="QVM63" s="175"/>
      <c r="QVN63" s="175"/>
      <c r="QVO63" s="175"/>
      <c r="QVP63" s="176"/>
      <c r="QVQ63" s="104"/>
      <c r="QVR63" s="106"/>
      <c r="QVS63" s="175"/>
      <c r="QVT63" s="175"/>
      <c r="QVU63" s="175"/>
      <c r="QVV63" s="175"/>
      <c r="QVW63" s="176"/>
      <c r="QVX63" s="104"/>
      <c r="QVY63" s="106"/>
      <c r="QVZ63" s="175"/>
      <c r="QWA63" s="175"/>
      <c r="QWB63" s="175"/>
      <c r="QWC63" s="175"/>
      <c r="QWD63" s="176"/>
      <c r="QWE63" s="104"/>
      <c r="QWF63" s="106"/>
      <c r="QWG63" s="175"/>
      <c r="QWH63" s="175"/>
      <c r="QWI63" s="175"/>
      <c r="QWJ63" s="175"/>
      <c r="QWK63" s="176"/>
      <c r="QWL63" s="104"/>
      <c r="QWM63" s="106"/>
      <c r="QWN63" s="175"/>
      <c r="QWO63" s="175"/>
      <c r="QWP63" s="175"/>
      <c r="QWQ63" s="175"/>
      <c r="QWR63" s="176"/>
      <c r="QWS63" s="104"/>
      <c r="QWT63" s="106"/>
      <c r="QWU63" s="175"/>
      <c r="QWV63" s="175"/>
      <c r="QWW63" s="175"/>
      <c r="QWX63" s="175"/>
      <c r="QWY63" s="176"/>
      <c r="QWZ63" s="104"/>
      <c r="QXA63" s="106"/>
      <c r="QXB63" s="175"/>
      <c r="QXC63" s="175"/>
      <c r="QXD63" s="175"/>
      <c r="QXE63" s="175"/>
      <c r="QXF63" s="176"/>
      <c r="QXG63" s="104"/>
      <c r="QXH63" s="106"/>
      <c r="QXI63" s="175"/>
      <c r="QXJ63" s="175"/>
      <c r="QXK63" s="175"/>
      <c r="QXL63" s="175"/>
      <c r="QXM63" s="176"/>
      <c r="QXN63" s="104"/>
      <c r="QXO63" s="106"/>
      <c r="QXP63" s="175"/>
      <c r="QXQ63" s="175"/>
      <c r="QXR63" s="175"/>
      <c r="QXS63" s="175"/>
      <c r="QXT63" s="176"/>
      <c r="QXU63" s="104"/>
      <c r="QXV63" s="106"/>
      <c r="QXW63" s="175"/>
      <c r="QXX63" s="175"/>
      <c r="QXY63" s="175"/>
      <c r="QXZ63" s="175"/>
      <c r="QYA63" s="176"/>
      <c r="QYB63" s="104"/>
      <c r="QYC63" s="106"/>
      <c r="QYD63" s="175"/>
      <c r="QYE63" s="175"/>
      <c r="QYF63" s="175"/>
      <c r="QYG63" s="175"/>
      <c r="QYH63" s="176"/>
      <c r="QYI63" s="104"/>
      <c r="QYJ63" s="106"/>
      <c r="QYK63" s="175"/>
      <c r="QYL63" s="175"/>
      <c r="QYM63" s="175"/>
      <c r="QYN63" s="175"/>
      <c r="QYO63" s="176"/>
      <c r="QYP63" s="104"/>
      <c r="QYQ63" s="106"/>
      <c r="QYR63" s="175"/>
      <c r="QYS63" s="175"/>
      <c r="QYT63" s="175"/>
      <c r="QYU63" s="175"/>
      <c r="QYV63" s="176"/>
      <c r="QYW63" s="104"/>
      <c r="QYX63" s="106"/>
      <c r="QYY63" s="175"/>
      <c r="QYZ63" s="175"/>
      <c r="QZA63" s="175"/>
      <c r="QZB63" s="175"/>
      <c r="QZC63" s="176"/>
      <c r="QZD63" s="104"/>
      <c r="QZE63" s="106"/>
      <c r="QZF63" s="175"/>
      <c r="QZG63" s="175"/>
      <c r="QZH63" s="175"/>
      <c r="QZI63" s="175"/>
      <c r="QZJ63" s="176"/>
      <c r="QZK63" s="104"/>
      <c r="QZL63" s="106"/>
      <c r="QZM63" s="175"/>
      <c r="QZN63" s="175"/>
      <c r="QZO63" s="175"/>
      <c r="QZP63" s="175"/>
      <c r="QZQ63" s="176"/>
      <c r="QZR63" s="104"/>
      <c r="QZS63" s="106"/>
      <c r="QZT63" s="175"/>
      <c r="QZU63" s="175"/>
      <c r="QZV63" s="175"/>
      <c r="QZW63" s="175"/>
      <c r="QZX63" s="176"/>
      <c r="QZY63" s="104"/>
      <c r="QZZ63" s="106"/>
      <c r="RAA63" s="175"/>
      <c r="RAB63" s="175"/>
      <c r="RAC63" s="175"/>
      <c r="RAD63" s="175"/>
      <c r="RAE63" s="176"/>
      <c r="RAF63" s="104"/>
      <c r="RAG63" s="106"/>
      <c r="RAH63" s="175"/>
      <c r="RAI63" s="175"/>
      <c r="RAJ63" s="175"/>
      <c r="RAK63" s="175"/>
      <c r="RAL63" s="176"/>
      <c r="RAM63" s="104"/>
      <c r="RAN63" s="106"/>
      <c r="RAO63" s="175"/>
      <c r="RAP63" s="175"/>
      <c r="RAQ63" s="175"/>
      <c r="RAR63" s="175"/>
      <c r="RAS63" s="176"/>
      <c r="RAT63" s="104"/>
      <c r="RAU63" s="106"/>
      <c r="RAV63" s="175"/>
      <c r="RAW63" s="175"/>
      <c r="RAX63" s="175"/>
      <c r="RAY63" s="175"/>
      <c r="RAZ63" s="176"/>
      <c r="RBA63" s="104"/>
      <c r="RBB63" s="106"/>
      <c r="RBC63" s="175"/>
      <c r="RBD63" s="175"/>
      <c r="RBE63" s="175"/>
      <c r="RBF63" s="175"/>
      <c r="RBG63" s="176"/>
      <c r="RBH63" s="104"/>
      <c r="RBI63" s="106"/>
      <c r="RBJ63" s="175"/>
      <c r="RBK63" s="175"/>
      <c r="RBL63" s="175"/>
      <c r="RBM63" s="175"/>
      <c r="RBN63" s="176"/>
      <c r="RBO63" s="104"/>
      <c r="RBP63" s="106"/>
      <c r="RBQ63" s="175"/>
      <c r="RBR63" s="175"/>
      <c r="RBS63" s="175"/>
      <c r="RBT63" s="175"/>
      <c r="RBU63" s="176"/>
      <c r="RBV63" s="104"/>
      <c r="RBW63" s="106"/>
      <c r="RBX63" s="175"/>
      <c r="RBY63" s="175"/>
      <c r="RBZ63" s="175"/>
      <c r="RCA63" s="175"/>
      <c r="RCB63" s="176"/>
      <c r="RCC63" s="104"/>
      <c r="RCD63" s="106"/>
      <c r="RCE63" s="175"/>
      <c r="RCF63" s="175"/>
      <c r="RCG63" s="175"/>
      <c r="RCH63" s="175"/>
      <c r="RCI63" s="176"/>
      <c r="RCJ63" s="104"/>
      <c r="RCK63" s="106"/>
      <c r="RCL63" s="175"/>
      <c r="RCM63" s="175"/>
      <c r="RCN63" s="175"/>
      <c r="RCO63" s="175"/>
      <c r="RCP63" s="176"/>
      <c r="RCQ63" s="104"/>
      <c r="RCR63" s="106"/>
      <c r="RCS63" s="175"/>
      <c r="RCT63" s="175"/>
      <c r="RCU63" s="175"/>
      <c r="RCV63" s="175"/>
      <c r="RCW63" s="176"/>
      <c r="RCX63" s="104"/>
      <c r="RCY63" s="106"/>
      <c r="RCZ63" s="175"/>
      <c r="RDA63" s="175"/>
      <c r="RDB63" s="175"/>
      <c r="RDC63" s="175"/>
      <c r="RDD63" s="176"/>
      <c r="RDE63" s="104"/>
      <c r="RDF63" s="106"/>
      <c r="RDG63" s="175"/>
      <c r="RDH63" s="175"/>
      <c r="RDI63" s="175"/>
      <c r="RDJ63" s="175"/>
      <c r="RDK63" s="176"/>
      <c r="RDL63" s="104"/>
      <c r="RDM63" s="106"/>
      <c r="RDN63" s="175"/>
      <c r="RDO63" s="175"/>
      <c r="RDP63" s="175"/>
      <c r="RDQ63" s="175"/>
      <c r="RDR63" s="176"/>
      <c r="RDS63" s="104"/>
      <c r="RDT63" s="106"/>
      <c r="RDU63" s="175"/>
      <c r="RDV63" s="175"/>
      <c r="RDW63" s="175"/>
      <c r="RDX63" s="175"/>
      <c r="RDY63" s="176"/>
      <c r="RDZ63" s="104"/>
      <c r="REA63" s="106"/>
      <c r="REB63" s="175"/>
      <c r="REC63" s="175"/>
      <c r="RED63" s="175"/>
      <c r="REE63" s="175"/>
      <c r="REF63" s="176"/>
      <c r="REG63" s="104"/>
      <c r="REH63" s="106"/>
      <c r="REI63" s="175"/>
      <c r="REJ63" s="175"/>
      <c r="REK63" s="175"/>
      <c r="REL63" s="175"/>
      <c r="REM63" s="176"/>
      <c r="REN63" s="104"/>
      <c r="REO63" s="106"/>
      <c r="REP63" s="175"/>
      <c r="REQ63" s="175"/>
      <c r="RER63" s="175"/>
      <c r="RES63" s="175"/>
      <c r="RET63" s="176"/>
      <c r="REU63" s="104"/>
      <c r="REV63" s="106"/>
      <c r="REW63" s="175"/>
      <c r="REX63" s="175"/>
      <c r="REY63" s="175"/>
      <c r="REZ63" s="175"/>
      <c r="RFA63" s="176"/>
      <c r="RFB63" s="104"/>
      <c r="RFC63" s="106"/>
      <c r="RFD63" s="175"/>
      <c r="RFE63" s="175"/>
      <c r="RFF63" s="175"/>
      <c r="RFG63" s="175"/>
      <c r="RFH63" s="176"/>
      <c r="RFI63" s="104"/>
      <c r="RFJ63" s="106"/>
      <c r="RFK63" s="175"/>
      <c r="RFL63" s="175"/>
      <c r="RFM63" s="175"/>
      <c r="RFN63" s="175"/>
      <c r="RFO63" s="176"/>
      <c r="RFP63" s="104"/>
      <c r="RFQ63" s="106"/>
      <c r="RFR63" s="175"/>
      <c r="RFS63" s="175"/>
      <c r="RFT63" s="175"/>
      <c r="RFU63" s="175"/>
      <c r="RFV63" s="176"/>
      <c r="RFW63" s="104"/>
      <c r="RFX63" s="106"/>
      <c r="RFY63" s="175"/>
      <c r="RFZ63" s="175"/>
      <c r="RGA63" s="175"/>
      <c r="RGB63" s="175"/>
      <c r="RGC63" s="176"/>
      <c r="RGD63" s="104"/>
      <c r="RGE63" s="106"/>
      <c r="RGF63" s="175"/>
      <c r="RGG63" s="175"/>
      <c r="RGH63" s="175"/>
      <c r="RGI63" s="175"/>
      <c r="RGJ63" s="176"/>
      <c r="RGK63" s="104"/>
      <c r="RGL63" s="106"/>
      <c r="RGM63" s="175"/>
      <c r="RGN63" s="175"/>
      <c r="RGO63" s="175"/>
      <c r="RGP63" s="175"/>
      <c r="RGQ63" s="176"/>
      <c r="RGR63" s="104"/>
      <c r="RGS63" s="106"/>
      <c r="RGT63" s="175"/>
      <c r="RGU63" s="175"/>
      <c r="RGV63" s="175"/>
      <c r="RGW63" s="175"/>
      <c r="RGX63" s="176"/>
      <c r="RGY63" s="104"/>
      <c r="RGZ63" s="106"/>
      <c r="RHA63" s="175"/>
      <c r="RHB63" s="175"/>
      <c r="RHC63" s="175"/>
      <c r="RHD63" s="175"/>
      <c r="RHE63" s="176"/>
      <c r="RHF63" s="104"/>
      <c r="RHG63" s="106"/>
      <c r="RHH63" s="175"/>
      <c r="RHI63" s="175"/>
      <c r="RHJ63" s="175"/>
      <c r="RHK63" s="175"/>
      <c r="RHL63" s="176"/>
      <c r="RHM63" s="104"/>
      <c r="RHN63" s="106"/>
      <c r="RHO63" s="175"/>
      <c r="RHP63" s="175"/>
      <c r="RHQ63" s="175"/>
      <c r="RHR63" s="175"/>
      <c r="RHS63" s="176"/>
      <c r="RHT63" s="104"/>
      <c r="RHU63" s="106"/>
      <c r="RHV63" s="175"/>
      <c r="RHW63" s="175"/>
      <c r="RHX63" s="175"/>
      <c r="RHY63" s="175"/>
      <c r="RHZ63" s="176"/>
      <c r="RIA63" s="104"/>
      <c r="RIB63" s="106"/>
      <c r="RIC63" s="175"/>
      <c r="RID63" s="175"/>
      <c r="RIE63" s="175"/>
      <c r="RIF63" s="175"/>
      <c r="RIG63" s="176"/>
      <c r="RIH63" s="104"/>
      <c r="RII63" s="106"/>
      <c r="RIJ63" s="175"/>
      <c r="RIK63" s="175"/>
      <c r="RIL63" s="175"/>
      <c r="RIM63" s="175"/>
      <c r="RIN63" s="176"/>
      <c r="RIO63" s="104"/>
      <c r="RIP63" s="106"/>
      <c r="RIQ63" s="175"/>
      <c r="RIR63" s="175"/>
      <c r="RIS63" s="175"/>
      <c r="RIT63" s="175"/>
      <c r="RIU63" s="176"/>
      <c r="RIV63" s="104"/>
      <c r="RIW63" s="106"/>
      <c r="RIX63" s="175"/>
      <c r="RIY63" s="175"/>
      <c r="RIZ63" s="175"/>
      <c r="RJA63" s="175"/>
      <c r="RJB63" s="176"/>
      <c r="RJC63" s="104"/>
      <c r="RJD63" s="106"/>
      <c r="RJE63" s="175"/>
      <c r="RJF63" s="175"/>
      <c r="RJG63" s="175"/>
      <c r="RJH63" s="175"/>
      <c r="RJI63" s="176"/>
      <c r="RJJ63" s="104"/>
      <c r="RJK63" s="106"/>
      <c r="RJL63" s="175"/>
      <c r="RJM63" s="175"/>
      <c r="RJN63" s="175"/>
      <c r="RJO63" s="175"/>
      <c r="RJP63" s="176"/>
      <c r="RJQ63" s="104"/>
      <c r="RJR63" s="106"/>
      <c r="RJS63" s="175"/>
      <c r="RJT63" s="175"/>
      <c r="RJU63" s="175"/>
      <c r="RJV63" s="175"/>
      <c r="RJW63" s="176"/>
      <c r="RJX63" s="104"/>
      <c r="RJY63" s="106"/>
      <c r="RJZ63" s="175"/>
      <c r="RKA63" s="175"/>
      <c r="RKB63" s="175"/>
      <c r="RKC63" s="175"/>
      <c r="RKD63" s="176"/>
      <c r="RKE63" s="104"/>
      <c r="RKF63" s="106"/>
      <c r="RKG63" s="175"/>
      <c r="RKH63" s="175"/>
      <c r="RKI63" s="175"/>
      <c r="RKJ63" s="175"/>
      <c r="RKK63" s="176"/>
      <c r="RKL63" s="104"/>
      <c r="RKM63" s="106"/>
      <c r="RKN63" s="175"/>
      <c r="RKO63" s="175"/>
      <c r="RKP63" s="175"/>
      <c r="RKQ63" s="175"/>
      <c r="RKR63" s="176"/>
      <c r="RKS63" s="104"/>
      <c r="RKT63" s="106"/>
      <c r="RKU63" s="175"/>
      <c r="RKV63" s="175"/>
      <c r="RKW63" s="175"/>
      <c r="RKX63" s="175"/>
      <c r="RKY63" s="176"/>
      <c r="RKZ63" s="104"/>
      <c r="RLA63" s="106"/>
      <c r="RLB63" s="175"/>
      <c r="RLC63" s="175"/>
      <c r="RLD63" s="175"/>
      <c r="RLE63" s="175"/>
      <c r="RLF63" s="176"/>
      <c r="RLG63" s="104"/>
      <c r="RLH63" s="106"/>
      <c r="RLI63" s="175"/>
      <c r="RLJ63" s="175"/>
      <c r="RLK63" s="175"/>
      <c r="RLL63" s="175"/>
      <c r="RLM63" s="176"/>
      <c r="RLN63" s="104"/>
      <c r="RLO63" s="106"/>
      <c r="RLP63" s="175"/>
      <c r="RLQ63" s="175"/>
      <c r="RLR63" s="175"/>
      <c r="RLS63" s="175"/>
      <c r="RLT63" s="176"/>
      <c r="RLU63" s="104"/>
      <c r="RLV63" s="106"/>
      <c r="RLW63" s="175"/>
      <c r="RLX63" s="175"/>
      <c r="RLY63" s="175"/>
      <c r="RLZ63" s="175"/>
      <c r="RMA63" s="176"/>
      <c r="RMB63" s="104"/>
      <c r="RMC63" s="106"/>
      <c r="RMD63" s="175"/>
      <c r="RME63" s="175"/>
      <c r="RMF63" s="175"/>
      <c r="RMG63" s="175"/>
      <c r="RMH63" s="176"/>
      <c r="RMI63" s="104"/>
      <c r="RMJ63" s="106"/>
      <c r="RMK63" s="175"/>
      <c r="RML63" s="175"/>
      <c r="RMM63" s="175"/>
      <c r="RMN63" s="175"/>
      <c r="RMO63" s="176"/>
      <c r="RMP63" s="104"/>
      <c r="RMQ63" s="106"/>
      <c r="RMR63" s="175"/>
      <c r="RMS63" s="175"/>
      <c r="RMT63" s="175"/>
      <c r="RMU63" s="175"/>
      <c r="RMV63" s="176"/>
      <c r="RMW63" s="104"/>
      <c r="RMX63" s="106"/>
      <c r="RMY63" s="175"/>
      <c r="RMZ63" s="175"/>
      <c r="RNA63" s="175"/>
      <c r="RNB63" s="175"/>
      <c r="RNC63" s="176"/>
      <c r="RND63" s="104"/>
      <c r="RNE63" s="106"/>
      <c r="RNF63" s="175"/>
      <c r="RNG63" s="175"/>
      <c r="RNH63" s="175"/>
      <c r="RNI63" s="175"/>
      <c r="RNJ63" s="176"/>
      <c r="RNK63" s="104"/>
      <c r="RNL63" s="106"/>
      <c r="RNM63" s="175"/>
      <c r="RNN63" s="175"/>
      <c r="RNO63" s="175"/>
      <c r="RNP63" s="175"/>
      <c r="RNQ63" s="176"/>
      <c r="RNR63" s="104"/>
      <c r="RNS63" s="106"/>
      <c r="RNT63" s="175"/>
      <c r="RNU63" s="175"/>
      <c r="RNV63" s="175"/>
      <c r="RNW63" s="175"/>
      <c r="RNX63" s="176"/>
      <c r="RNY63" s="104"/>
      <c r="RNZ63" s="106"/>
      <c r="ROA63" s="175"/>
      <c r="ROB63" s="175"/>
      <c r="ROC63" s="175"/>
      <c r="ROD63" s="175"/>
      <c r="ROE63" s="176"/>
      <c r="ROF63" s="104"/>
      <c r="ROG63" s="106"/>
      <c r="ROH63" s="175"/>
      <c r="ROI63" s="175"/>
      <c r="ROJ63" s="175"/>
      <c r="ROK63" s="175"/>
      <c r="ROL63" s="176"/>
      <c r="ROM63" s="104"/>
      <c r="RON63" s="106"/>
      <c r="ROO63" s="175"/>
      <c r="ROP63" s="175"/>
      <c r="ROQ63" s="175"/>
      <c r="ROR63" s="175"/>
      <c r="ROS63" s="176"/>
      <c r="ROT63" s="104"/>
      <c r="ROU63" s="106"/>
      <c r="ROV63" s="175"/>
      <c r="ROW63" s="175"/>
      <c r="ROX63" s="175"/>
      <c r="ROY63" s="175"/>
      <c r="ROZ63" s="176"/>
      <c r="RPA63" s="104"/>
      <c r="RPB63" s="106"/>
      <c r="RPC63" s="175"/>
      <c r="RPD63" s="175"/>
      <c r="RPE63" s="175"/>
      <c r="RPF63" s="175"/>
      <c r="RPG63" s="176"/>
      <c r="RPH63" s="104"/>
      <c r="RPI63" s="106"/>
      <c r="RPJ63" s="175"/>
      <c r="RPK63" s="175"/>
      <c r="RPL63" s="175"/>
      <c r="RPM63" s="175"/>
      <c r="RPN63" s="176"/>
      <c r="RPO63" s="104"/>
      <c r="RPP63" s="106"/>
      <c r="RPQ63" s="175"/>
      <c r="RPR63" s="175"/>
      <c r="RPS63" s="175"/>
      <c r="RPT63" s="175"/>
      <c r="RPU63" s="176"/>
      <c r="RPV63" s="104"/>
      <c r="RPW63" s="106"/>
      <c r="RPX63" s="175"/>
      <c r="RPY63" s="175"/>
      <c r="RPZ63" s="175"/>
      <c r="RQA63" s="175"/>
      <c r="RQB63" s="176"/>
      <c r="RQC63" s="104"/>
      <c r="RQD63" s="106"/>
      <c r="RQE63" s="175"/>
      <c r="RQF63" s="175"/>
      <c r="RQG63" s="175"/>
      <c r="RQH63" s="175"/>
      <c r="RQI63" s="176"/>
      <c r="RQJ63" s="104"/>
      <c r="RQK63" s="106"/>
      <c r="RQL63" s="175"/>
      <c r="RQM63" s="175"/>
      <c r="RQN63" s="175"/>
      <c r="RQO63" s="175"/>
      <c r="RQP63" s="176"/>
      <c r="RQQ63" s="104"/>
      <c r="RQR63" s="106"/>
      <c r="RQS63" s="175"/>
      <c r="RQT63" s="175"/>
      <c r="RQU63" s="175"/>
      <c r="RQV63" s="175"/>
      <c r="RQW63" s="176"/>
      <c r="RQX63" s="104"/>
      <c r="RQY63" s="106"/>
      <c r="RQZ63" s="175"/>
      <c r="RRA63" s="175"/>
      <c r="RRB63" s="175"/>
      <c r="RRC63" s="175"/>
      <c r="RRD63" s="176"/>
      <c r="RRE63" s="104"/>
      <c r="RRF63" s="106"/>
      <c r="RRG63" s="175"/>
      <c r="RRH63" s="175"/>
      <c r="RRI63" s="175"/>
      <c r="RRJ63" s="175"/>
      <c r="RRK63" s="176"/>
      <c r="RRL63" s="104"/>
      <c r="RRM63" s="106"/>
      <c r="RRN63" s="175"/>
      <c r="RRO63" s="175"/>
      <c r="RRP63" s="175"/>
      <c r="RRQ63" s="175"/>
      <c r="RRR63" s="176"/>
      <c r="RRS63" s="104"/>
      <c r="RRT63" s="106"/>
      <c r="RRU63" s="175"/>
      <c r="RRV63" s="175"/>
      <c r="RRW63" s="175"/>
      <c r="RRX63" s="175"/>
      <c r="RRY63" s="176"/>
      <c r="RRZ63" s="104"/>
      <c r="RSA63" s="106"/>
      <c r="RSB63" s="175"/>
      <c r="RSC63" s="175"/>
      <c r="RSD63" s="175"/>
      <c r="RSE63" s="175"/>
      <c r="RSF63" s="176"/>
      <c r="RSG63" s="104"/>
      <c r="RSH63" s="106"/>
      <c r="RSI63" s="175"/>
      <c r="RSJ63" s="175"/>
      <c r="RSK63" s="175"/>
      <c r="RSL63" s="175"/>
      <c r="RSM63" s="176"/>
      <c r="RSN63" s="104"/>
      <c r="RSO63" s="106"/>
      <c r="RSP63" s="175"/>
      <c r="RSQ63" s="175"/>
      <c r="RSR63" s="175"/>
      <c r="RSS63" s="175"/>
      <c r="RST63" s="176"/>
      <c r="RSU63" s="104"/>
      <c r="RSV63" s="106"/>
      <c r="RSW63" s="175"/>
      <c r="RSX63" s="175"/>
      <c r="RSY63" s="175"/>
      <c r="RSZ63" s="175"/>
      <c r="RTA63" s="176"/>
      <c r="RTB63" s="104"/>
      <c r="RTC63" s="106"/>
      <c r="RTD63" s="175"/>
      <c r="RTE63" s="175"/>
      <c r="RTF63" s="175"/>
      <c r="RTG63" s="175"/>
      <c r="RTH63" s="176"/>
      <c r="RTI63" s="104"/>
      <c r="RTJ63" s="106"/>
      <c r="RTK63" s="175"/>
      <c r="RTL63" s="175"/>
      <c r="RTM63" s="175"/>
      <c r="RTN63" s="175"/>
      <c r="RTO63" s="176"/>
      <c r="RTP63" s="104"/>
      <c r="RTQ63" s="106"/>
      <c r="RTR63" s="175"/>
      <c r="RTS63" s="175"/>
      <c r="RTT63" s="175"/>
      <c r="RTU63" s="175"/>
      <c r="RTV63" s="176"/>
      <c r="RTW63" s="104"/>
      <c r="RTX63" s="106"/>
      <c r="RTY63" s="175"/>
      <c r="RTZ63" s="175"/>
      <c r="RUA63" s="175"/>
      <c r="RUB63" s="175"/>
      <c r="RUC63" s="176"/>
      <c r="RUD63" s="104"/>
      <c r="RUE63" s="106"/>
      <c r="RUF63" s="175"/>
      <c r="RUG63" s="175"/>
      <c r="RUH63" s="175"/>
      <c r="RUI63" s="175"/>
      <c r="RUJ63" s="176"/>
      <c r="RUK63" s="104"/>
      <c r="RUL63" s="106"/>
      <c r="RUM63" s="175"/>
      <c r="RUN63" s="175"/>
      <c r="RUO63" s="175"/>
      <c r="RUP63" s="175"/>
      <c r="RUQ63" s="176"/>
      <c r="RUR63" s="104"/>
      <c r="RUS63" s="106"/>
      <c r="RUT63" s="175"/>
      <c r="RUU63" s="175"/>
      <c r="RUV63" s="175"/>
      <c r="RUW63" s="175"/>
      <c r="RUX63" s="176"/>
      <c r="RUY63" s="104"/>
      <c r="RUZ63" s="106"/>
      <c r="RVA63" s="175"/>
      <c r="RVB63" s="175"/>
      <c r="RVC63" s="175"/>
      <c r="RVD63" s="175"/>
      <c r="RVE63" s="176"/>
      <c r="RVF63" s="104"/>
      <c r="RVG63" s="106"/>
      <c r="RVH63" s="175"/>
      <c r="RVI63" s="175"/>
      <c r="RVJ63" s="175"/>
      <c r="RVK63" s="175"/>
      <c r="RVL63" s="176"/>
      <c r="RVM63" s="104"/>
      <c r="RVN63" s="106"/>
      <c r="RVO63" s="175"/>
      <c r="RVP63" s="175"/>
      <c r="RVQ63" s="175"/>
      <c r="RVR63" s="175"/>
      <c r="RVS63" s="176"/>
      <c r="RVT63" s="104"/>
      <c r="RVU63" s="106"/>
      <c r="RVV63" s="175"/>
      <c r="RVW63" s="175"/>
      <c r="RVX63" s="175"/>
      <c r="RVY63" s="175"/>
      <c r="RVZ63" s="176"/>
      <c r="RWA63" s="104"/>
      <c r="RWB63" s="106"/>
      <c r="RWC63" s="175"/>
      <c r="RWD63" s="175"/>
      <c r="RWE63" s="175"/>
      <c r="RWF63" s="175"/>
      <c r="RWG63" s="176"/>
      <c r="RWH63" s="104"/>
      <c r="RWI63" s="106"/>
      <c r="RWJ63" s="175"/>
      <c r="RWK63" s="175"/>
      <c r="RWL63" s="175"/>
      <c r="RWM63" s="175"/>
      <c r="RWN63" s="176"/>
      <c r="RWO63" s="104"/>
      <c r="RWP63" s="106"/>
      <c r="RWQ63" s="175"/>
      <c r="RWR63" s="175"/>
      <c r="RWS63" s="175"/>
      <c r="RWT63" s="175"/>
      <c r="RWU63" s="176"/>
      <c r="RWV63" s="104"/>
      <c r="RWW63" s="106"/>
      <c r="RWX63" s="175"/>
      <c r="RWY63" s="175"/>
      <c r="RWZ63" s="175"/>
      <c r="RXA63" s="175"/>
      <c r="RXB63" s="176"/>
      <c r="RXC63" s="104"/>
      <c r="RXD63" s="106"/>
      <c r="RXE63" s="175"/>
      <c r="RXF63" s="175"/>
      <c r="RXG63" s="175"/>
      <c r="RXH63" s="175"/>
      <c r="RXI63" s="176"/>
      <c r="RXJ63" s="104"/>
      <c r="RXK63" s="106"/>
      <c r="RXL63" s="175"/>
      <c r="RXM63" s="175"/>
      <c r="RXN63" s="175"/>
      <c r="RXO63" s="175"/>
      <c r="RXP63" s="176"/>
      <c r="RXQ63" s="104"/>
      <c r="RXR63" s="106"/>
      <c r="RXS63" s="175"/>
      <c r="RXT63" s="175"/>
      <c r="RXU63" s="175"/>
      <c r="RXV63" s="175"/>
      <c r="RXW63" s="176"/>
      <c r="RXX63" s="104"/>
      <c r="RXY63" s="106"/>
      <c r="RXZ63" s="175"/>
      <c r="RYA63" s="175"/>
      <c r="RYB63" s="175"/>
      <c r="RYC63" s="175"/>
      <c r="RYD63" s="176"/>
      <c r="RYE63" s="104"/>
      <c r="RYF63" s="106"/>
      <c r="RYG63" s="175"/>
      <c r="RYH63" s="175"/>
      <c r="RYI63" s="175"/>
      <c r="RYJ63" s="175"/>
      <c r="RYK63" s="176"/>
      <c r="RYL63" s="104"/>
      <c r="RYM63" s="106"/>
      <c r="RYN63" s="175"/>
      <c r="RYO63" s="175"/>
      <c r="RYP63" s="175"/>
      <c r="RYQ63" s="175"/>
      <c r="RYR63" s="176"/>
      <c r="RYS63" s="104"/>
      <c r="RYT63" s="106"/>
      <c r="RYU63" s="175"/>
      <c r="RYV63" s="175"/>
      <c r="RYW63" s="175"/>
      <c r="RYX63" s="175"/>
      <c r="RYY63" s="176"/>
      <c r="RYZ63" s="104"/>
      <c r="RZA63" s="106"/>
      <c r="RZB63" s="175"/>
      <c r="RZC63" s="175"/>
      <c r="RZD63" s="175"/>
      <c r="RZE63" s="175"/>
      <c r="RZF63" s="176"/>
      <c r="RZG63" s="104"/>
      <c r="RZH63" s="106"/>
      <c r="RZI63" s="175"/>
      <c r="RZJ63" s="175"/>
      <c r="RZK63" s="175"/>
      <c r="RZL63" s="175"/>
      <c r="RZM63" s="176"/>
      <c r="RZN63" s="104"/>
      <c r="RZO63" s="106"/>
      <c r="RZP63" s="175"/>
      <c r="RZQ63" s="175"/>
      <c r="RZR63" s="175"/>
      <c r="RZS63" s="175"/>
      <c r="RZT63" s="176"/>
      <c r="RZU63" s="104"/>
      <c r="RZV63" s="106"/>
      <c r="RZW63" s="175"/>
      <c r="RZX63" s="175"/>
      <c r="RZY63" s="175"/>
      <c r="RZZ63" s="175"/>
      <c r="SAA63" s="176"/>
      <c r="SAB63" s="104"/>
      <c r="SAC63" s="106"/>
      <c r="SAD63" s="175"/>
      <c r="SAE63" s="175"/>
      <c r="SAF63" s="175"/>
      <c r="SAG63" s="175"/>
      <c r="SAH63" s="176"/>
      <c r="SAI63" s="104"/>
      <c r="SAJ63" s="106"/>
      <c r="SAK63" s="175"/>
      <c r="SAL63" s="175"/>
      <c r="SAM63" s="175"/>
      <c r="SAN63" s="175"/>
      <c r="SAO63" s="176"/>
      <c r="SAP63" s="104"/>
      <c r="SAQ63" s="106"/>
      <c r="SAR63" s="175"/>
      <c r="SAS63" s="175"/>
      <c r="SAT63" s="175"/>
      <c r="SAU63" s="175"/>
      <c r="SAV63" s="176"/>
      <c r="SAW63" s="104"/>
      <c r="SAX63" s="106"/>
      <c r="SAY63" s="175"/>
      <c r="SAZ63" s="175"/>
      <c r="SBA63" s="175"/>
      <c r="SBB63" s="175"/>
      <c r="SBC63" s="176"/>
      <c r="SBD63" s="104"/>
      <c r="SBE63" s="106"/>
      <c r="SBF63" s="175"/>
      <c r="SBG63" s="175"/>
      <c r="SBH63" s="175"/>
      <c r="SBI63" s="175"/>
      <c r="SBJ63" s="176"/>
      <c r="SBK63" s="104"/>
      <c r="SBL63" s="106"/>
      <c r="SBM63" s="175"/>
      <c r="SBN63" s="175"/>
      <c r="SBO63" s="175"/>
      <c r="SBP63" s="175"/>
      <c r="SBQ63" s="176"/>
      <c r="SBR63" s="104"/>
      <c r="SBS63" s="106"/>
      <c r="SBT63" s="175"/>
      <c r="SBU63" s="175"/>
      <c r="SBV63" s="175"/>
      <c r="SBW63" s="175"/>
      <c r="SBX63" s="176"/>
      <c r="SBY63" s="104"/>
      <c r="SBZ63" s="106"/>
      <c r="SCA63" s="175"/>
      <c r="SCB63" s="175"/>
      <c r="SCC63" s="175"/>
      <c r="SCD63" s="175"/>
      <c r="SCE63" s="176"/>
      <c r="SCF63" s="104"/>
      <c r="SCG63" s="106"/>
      <c r="SCH63" s="175"/>
      <c r="SCI63" s="175"/>
      <c r="SCJ63" s="175"/>
      <c r="SCK63" s="175"/>
      <c r="SCL63" s="176"/>
      <c r="SCM63" s="104"/>
      <c r="SCN63" s="106"/>
      <c r="SCO63" s="175"/>
      <c r="SCP63" s="175"/>
      <c r="SCQ63" s="175"/>
      <c r="SCR63" s="175"/>
      <c r="SCS63" s="176"/>
      <c r="SCT63" s="104"/>
      <c r="SCU63" s="106"/>
      <c r="SCV63" s="175"/>
      <c r="SCW63" s="175"/>
      <c r="SCX63" s="175"/>
      <c r="SCY63" s="175"/>
      <c r="SCZ63" s="176"/>
      <c r="SDA63" s="104"/>
      <c r="SDB63" s="106"/>
      <c r="SDC63" s="175"/>
      <c r="SDD63" s="175"/>
      <c r="SDE63" s="175"/>
      <c r="SDF63" s="175"/>
      <c r="SDG63" s="176"/>
      <c r="SDH63" s="104"/>
      <c r="SDI63" s="106"/>
      <c r="SDJ63" s="175"/>
      <c r="SDK63" s="175"/>
      <c r="SDL63" s="175"/>
      <c r="SDM63" s="175"/>
      <c r="SDN63" s="176"/>
      <c r="SDO63" s="104"/>
      <c r="SDP63" s="106"/>
      <c r="SDQ63" s="175"/>
      <c r="SDR63" s="175"/>
      <c r="SDS63" s="175"/>
      <c r="SDT63" s="175"/>
      <c r="SDU63" s="176"/>
      <c r="SDV63" s="104"/>
      <c r="SDW63" s="106"/>
      <c r="SDX63" s="175"/>
      <c r="SDY63" s="175"/>
      <c r="SDZ63" s="175"/>
      <c r="SEA63" s="175"/>
      <c r="SEB63" s="176"/>
      <c r="SEC63" s="104"/>
      <c r="SED63" s="106"/>
      <c r="SEE63" s="175"/>
      <c r="SEF63" s="175"/>
      <c r="SEG63" s="175"/>
      <c r="SEH63" s="175"/>
      <c r="SEI63" s="176"/>
      <c r="SEJ63" s="104"/>
      <c r="SEK63" s="106"/>
      <c r="SEL63" s="175"/>
      <c r="SEM63" s="175"/>
      <c r="SEN63" s="175"/>
      <c r="SEO63" s="175"/>
      <c r="SEP63" s="176"/>
      <c r="SEQ63" s="104"/>
      <c r="SER63" s="106"/>
      <c r="SES63" s="175"/>
      <c r="SET63" s="175"/>
      <c r="SEU63" s="175"/>
      <c r="SEV63" s="175"/>
      <c r="SEW63" s="176"/>
      <c r="SEX63" s="104"/>
      <c r="SEY63" s="106"/>
      <c r="SEZ63" s="175"/>
      <c r="SFA63" s="175"/>
      <c r="SFB63" s="175"/>
      <c r="SFC63" s="175"/>
      <c r="SFD63" s="176"/>
      <c r="SFE63" s="104"/>
      <c r="SFF63" s="106"/>
      <c r="SFG63" s="175"/>
      <c r="SFH63" s="175"/>
      <c r="SFI63" s="175"/>
      <c r="SFJ63" s="175"/>
      <c r="SFK63" s="176"/>
      <c r="SFL63" s="104"/>
      <c r="SFM63" s="106"/>
      <c r="SFN63" s="175"/>
      <c r="SFO63" s="175"/>
      <c r="SFP63" s="175"/>
      <c r="SFQ63" s="175"/>
      <c r="SFR63" s="176"/>
      <c r="SFS63" s="104"/>
      <c r="SFT63" s="106"/>
      <c r="SFU63" s="175"/>
      <c r="SFV63" s="175"/>
      <c r="SFW63" s="175"/>
      <c r="SFX63" s="175"/>
      <c r="SFY63" s="176"/>
      <c r="SFZ63" s="104"/>
      <c r="SGA63" s="106"/>
      <c r="SGB63" s="175"/>
      <c r="SGC63" s="175"/>
      <c r="SGD63" s="175"/>
      <c r="SGE63" s="175"/>
      <c r="SGF63" s="176"/>
      <c r="SGG63" s="104"/>
      <c r="SGH63" s="106"/>
      <c r="SGI63" s="175"/>
      <c r="SGJ63" s="175"/>
      <c r="SGK63" s="175"/>
      <c r="SGL63" s="175"/>
      <c r="SGM63" s="176"/>
      <c r="SGN63" s="104"/>
      <c r="SGO63" s="106"/>
      <c r="SGP63" s="175"/>
      <c r="SGQ63" s="175"/>
      <c r="SGR63" s="175"/>
      <c r="SGS63" s="175"/>
      <c r="SGT63" s="176"/>
      <c r="SGU63" s="104"/>
      <c r="SGV63" s="106"/>
      <c r="SGW63" s="175"/>
      <c r="SGX63" s="175"/>
      <c r="SGY63" s="175"/>
      <c r="SGZ63" s="175"/>
      <c r="SHA63" s="176"/>
      <c r="SHB63" s="104"/>
      <c r="SHC63" s="106"/>
      <c r="SHD63" s="175"/>
      <c r="SHE63" s="175"/>
      <c r="SHF63" s="175"/>
      <c r="SHG63" s="175"/>
      <c r="SHH63" s="176"/>
      <c r="SHI63" s="104"/>
      <c r="SHJ63" s="106"/>
      <c r="SHK63" s="175"/>
      <c r="SHL63" s="175"/>
      <c r="SHM63" s="175"/>
      <c r="SHN63" s="175"/>
      <c r="SHO63" s="176"/>
      <c r="SHP63" s="104"/>
      <c r="SHQ63" s="106"/>
      <c r="SHR63" s="175"/>
      <c r="SHS63" s="175"/>
      <c r="SHT63" s="175"/>
      <c r="SHU63" s="175"/>
      <c r="SHV63" s="176"/>
      <c r="SHW63" s="104"/>
      <c r="SHX63" s="106"/>
      <c r="SHY63" s="175"/>
      <c r="SHZ63" s="175"/>
      <c r="SIA63" s="175"/>
      <c r="SIB63" s="175"/>
      <c r="SIC63" s="176"/>
      <c r="SID63" s="104"/>
      <c r="SIE63" s="106"/>
      <c r="SIF63" s="175"/>
      <c r="SIG63" s="175"/>
      <c r="SIH63" s="175"/>
      <c r="SII63" s="175"/>
      <c r="SIJ63" s="176"/>
      <c r="SIK63" s="104"/>
      <c r="SIL63" s="106"/>
      <c r="SIM63" s="175"/>
      <c r="SIN63" s="175"/>
      <c r="SIO63" s="175"/>
      <c r="SIP63" s="175"/>
      <c r="SIQ63" s="176"/>
      <c r="SIR63" s="104"/>
      <c r="SIS63" s="106"/>
      <c r="SIT63" s="175"/>
      <c r="SIU63" s="175"/>
      <c r="SIV63" s="175"/>
      <c r="SIW63" s="175"/>
      <c r="SIX63" s="176"/>
      <c r="SIY63" s="104"/>
      <c r="SIZ63" s="106"/>
      <c r="SJA63" s="175"/>
      <c r="SJB63" s="175"/>
      <c r="SJC63" s="175"/>
      <c r="SJD63" s="175"/>
      <c r="SJE63" s="176"/>
      <c r="SJF63" s="104"/>
      <c r="SJG63" s="106"/>
      <c r="SJH63" s="175"/>
      <c r="SJI63" s="175"/>
      <c r="SJJ63" s="175"/>
      <c r="SJK63" s="175"/>
      <c r="SJL63" s="176"/>
      <c r="SJM63" s="104"/>
      <c r="SJN63" s="106"/>
      <c r="SJO63" s="175"/>
      <c r="SJP63" s="175"/>
      <c r="SJQ63" s="175"/>
      <c r="SJR63" s="175"/>
      <c r="SJS63" s="176"/>
      <c r="SJT63" s="104"/>
      <c r="SJU63" s="106"/>
      <c r="SJV63" s="175"/>
      <c r="SJW63" s="175"/>
      <c r="SJX63" s="175"/>
      <c r="SJY63" s="175"/>
      <c r="SJZ63" s="176"/>
      <c r="SKA63" s="104"/>
      <c r="SKB63" s="106"/>
      <c r="SKC63" s="175"/>
      <c r="SKD63" s="175"/>
      <c r="SKE63" s="175"/>
      <c r="SKF63" s="175"/>
      <c r="SKG63" s="176"/>
      <c r="SKH63" s="104"/>
      <c r="SKI63" s="106"/>
      <c r="SKJ63" s="175"/>
      <c r="SKK63" s="175"/>
      <c r="SKL63" s="175"/>
      <c r="SKM63" s="175"/>
      <c r="SKN63" s="176"/>
      <c r="SKO63" s="104"/>
      <c r="SKP63" s="106"/>
      <c r="SKQ63" s="175"/>
      <c r="SKR63" s="175"/>
      <c r="SKS63" s="175"/>
      <c r="SKT63" s="175"/>
      <c r="SKU63" s="176"/>
      <c r="SKV63" s="104"/>
      <c r="SKW63" s="106"/>
      <c r="SKX63" s="175"/>
      <c r="SKY63" s="175"/>
      <c r="SKZ63" s="175"/>
      <c r="SLA63" s="175"/>
      <c r="SLB63" s="176"/>
      <c r="SLC63" s="104"/>
      <c r="SLD63" s="106"/>
      <c r="SLE63" s="175"/>
      <c r="SLF63" s="175"/>
      <c r="SLG63" s="175"/>
      <c r="SLH63" s="175"/>
      <c r="SLI63" s="176"/>
      <c r="SLJ63" s="104"/>
      <c r="SLK63" s="106"/>
      <c r="SLL63" s="175"/>
      <c r="SLM63" s="175"/>
      <c r="SLN63" s="175"/>
      <c r="SLO63" s="175"/>
      <c r="SLP63" s="176"/>
      <c r="SLQ63" s="104"/>
      <c r="SLR63" s="106"/>
      <c r="SLS63" s="175"/>
      <c r="SLT63" s="175"/>
      <c r="SLU63" s="175"/>
      <c r="SLV63" s="175"/>
      <c r="SLW63" s="176"/>
      <c r="SLX63" s="104"/>
      <c r="SLY63" s="106"/>
      <c r="SLZ63" s="175"/>
      <c r="SMA63" s="175"/>
      <c r="SMB63" s="175"/>
      <c r="SMC63" s="175"/>
      <c r="SMD63" s="176"/>
      <c r="SME63" s="104"/>
      <c r="SMF63" s="106"/>
      <c r="SMG63" s="175"/>
      <c r="SMH63" s="175"/>
      <c r="SMI63" s="175"/>
      <c r="SMJ63" s="175"/>
      <c r="SMK63" s="176"/>
      <c r="SML63" s="104"/>
      <c r="SMM63" s="106"/>
      <c r="SMN63" s="175"/>
      <c r="SMO63" s="175"/>
      <c r="SMP63" s="175"/>
      <c r="SMQ63" s="175"/>
      <c r="SMR63" s="176"/>
      <c r="SMS63" s="104"/>
      <c r="SMT63" s="106"/>
      <c r="SMU63" s="175"/>
      <c r="SMV63" s="175"/>
      <c r="SMW63" s="175"/>
      <c r="SMX63" s="175"/>
      <c r="SMY63" s="176"/>
      <c r="SMZ63" s="104"/>
      <c r="SNA63" s="106"/>
      <c r="SNB63" s="175"/>
      <c r="SNC63" s="175"/>
      <c r="SND63" s="175"/>
      <c r="SNE63" s="175"/>
      <c r="SNF63" s="176"/>
      <c r="SNG63" s="104"/>
      <c r="SNH63" s="106"/>
      <c r="SNI63" s="175"/>
      <c r="SNJ63" s="175"/>
      <c r="SNK63" s="175"/>
      <c r="SNL63" s="175"/>
      <c r="SNM63" s="176"/>
      <c r="SNN63" s="104"/>
      <c r="SNO63" s="106"/>
      <c r="SNP63" s="175"/>
      <c r="SNQ63" s="175"/>
      <c r="SNR63" s="175"/>
      <c r="SNS63" s="175"/>
      <c r="SNT63" s="176"/>
      <c r="SNU63" s="104"/>
      <c r="SNV63" s="106"/>
      <c r="SNW63" s="175"/>
      <c r="SNX63" s="175"/>
      <c r="SNY63" s="175"/>
      <c r="SNZ63" s="175"/>
      <c r="SOA63" s="176"/>
      <c r="SOB63" s="104"/>
      <c r="SOC63" s="106"/>
      <c r="SOD63" s="175"/>
      <c r="SOE63" s="175"/>
      <c r="SOF63" s="175"/>
      <c r="SOG63" s="175"/>
      <c r="SOH63" s="176"/>
      <c r="SOI63" s="104"/>
      <c r="SOJ63" s="106"/>
      <c r="SOK63" s="175"/>
      <c r="SOL63" s="175"/>
      <c r="SOM63" s="175"/>
      <c r="SON63" s="175"/>
      <c r="SOO63" s="176"/>
      <c r="SOP63" s="104"/>
      <c r="SOQ63" s="106"/>
      <c r="SOR63" s="175"/>
      <c r="SOS63" s="175"/>
      <c r="SOT63" s="175"/>
      <c r="SOU63" s="175"/>
      <c r="SOV63" s="176"/>
      <c r="SOW63" s="104"/>
      <c r="SOX63" s="106"/>
      <c r="SOY63" s="175"/>
      <c r="SOZ63" s="175"/>
      <c r="SPA63" s="175"/>
      <c r="SPB63" s="175"/>
      <c r="SPC63" s="176"/>
      <c r="SPD63" s="104"/>
      <c r="SPE63" s="106"/>
      <c r="SPF63" s="175"/>
      <c r="SPG63" s="175"/>
      <c r="SPH63" s="175"/>
      <c r="SPI63" s="175"/>
      <c r="SPJ63" s="176"/>
      <c r="SPK63" s="104"/>
      <c r="SPL63" s="106"/>
      <c r="SPM63" s="175"/>
      <c r="SPN63" s="175"/>
      <c r="SPO63" s="175"/>
      <c r="SPP63" s="175"/>
      <c r="SPQ63" s="176"/>
      <c r="SPR63" s="104"/>
      <c r="SPS63" s="106"/>
      <c r="SPT63" s="175"/>
      <c r="SPU63" s="175"/>
      <c r="SPV63" s="175"/>
      <c r="SPW63" s="175"/>
      <c r="SPX63" s="176"/>
      <c r="SPY63" s="104"/>
      <c r="SPZ63" s="106"/>
      <c r="SQA63" s="175"/>
      <c r="SQB63" s="175"/>
      <c r="SQC63" s="175"/>
      <c r="SQD63" s="175"/>
      <c r="SQE63" s="176"/>
      <c r="SQF63" s="104"/>
      <c r="SQG63" s="106"/>
      <c r="SQH63" s="175"/>
      <c r="SQI63" s="175"/>
      <c r="SQJ63" s="175"/>
      <c r="SQK63" s="175"/>
      <c r="SQL63" s="176"/>
      <c r="SQM63" s="104"/>
      <c r="SQN63" s="106"/>
      <c r="SQO63" s="175"/>
      <c r="SQP63" s="175"/>
      <c r="SQQ63" s="175"/>
      <c r="SQR63" s="175"/>
      <c r="SQS63" s="176"/>
      <c r="SQT63" s="104"/>
      <c r="SQU63" s="106"/>
      <c r="SQV63" s="175"/>
      <c r="SQW63" s="175"/>
      <c r="SQX63" s="175"/>
      <c r="SQY63" s="175"/>
      <c r="SQZ63" s="176"/>
      <c r="SRA63" s="104"/>
      <c r="SRB63" s="106"/>
      <c r="SRC63" s="175"/>
      <c r="SRD63" s="175"/>
      <c r="SRE63" s="175"/>
      <c r="SRF63" s="175"/>
      <c r="SRG63" s="176"/>
      <c r="SRH63" s="104"/>
      <c r="SRI63" s="106"/>
      <c r="SRJ63" s="175"/>
      <c r="SRK63" s="175"/>
      <c r="SRL63" s="175"/>
      <c r="SRM63" s="175"/>
      <c r="SRN63" s="176"/>
      <c r="SRO63" s="104"/>
      <c r="SRP63" s="106"/>
      <c r="SRQ63" s="175"/>
      <c r="SRR63" s="175"/>
      <c r="SRS63" s="175"/>
      <c r="SRT63" s="175"/>
      <c r="SRU63" s="176"/>
      <c r="SRV63" s="104"/>
      <c r="SRW63" s="106"/>
      <c r="SRX63" s="175"/>
      <c r="SRY63" s="175"/>
      <c r="SRZ63" s="175"/>
      <c r="SSA63" s="175"/>
      <c r="SSB63" s="176"/>
      <c r="SSC63" s="104"/>
      <c r="SSD63" s="106"/>
      <c r="SSE63" s="175"/>
      <c r="SSF63" s="175"/>
      <c r="SSG63" s="175"/>
      <c r="SSH63" s="175"/>
      <c r="SSI63" s="176"/>
      <c r="SSJ63" s="104"/>
      <c r="SSK63" s="106"/>
      <c r="SSL63" s="175"/>
      <c r="SSM63" s="175"/>
      <c r="SSN63" s="175"/>
      <c r="SSO63" s="175"/>
      <c r="SSP63" s="176"/>
      <c r="SSQ63" s="104"/>
      <c r="SSR63" s="106"/>
      <c r="SSS63" s="175"/>
      <c r="SST63" s="175"/>
      <c r="SSU63" s="175"/>
      <c r="SSV63" s="175"/>
      <c r="SSW63" s="176"/>
      <c r="SSX63" s="104"/>
      <c r="SSY63" s="106"/>
      <c r="SSZ63" s="175"/>
      <c r="STA63" s="175"/>
      <c r="STB63" s="175"/>
      <c r="STC63" s="175"/>
      <c r="STD63" s="176"/>
      <c r="STE63" s="104"/>
      <c r="STF63" s="106"/>
      <c r="STG63" s="175"/>
      <c r="STH63" s="175"/>
      <c r="STI63" s="175"/>
      <c r="STJ63" s="175"/>
      <c r="STK63" s="176"/>
      <c r="STL63" s="104"/>
      <c r="STM63" s="106"/>
      <c r="STN63" s="175"/>
      <c r="STO63" s="175"/>
      <c r="STP63" s="175"/>
      <c r="STQ63" s="175"/>
      <c r="STR63" s="176"/>
      <c r="STS63" s="104"/>
      <c r="STT63" s="106"/>
      <c r="STU63" s="175"/>
      <c r="STV63" s="175"/>
      <c r="STW63" s="175"/>
      <c r="STX63" s="175"/>
      <c r="STY63" s="176"/>
      <c r="STZ63" s="104"/>
      <c r="SUA63" s="106"/>
      <c r="SUB63" s="175"/>
      <c r="SUC63" s="175"/>
      <c r="SUD63" s="175"/>
      <c r="SUE63" s="175"/>
      <c r="SUF63" s="176"/>
      <c r="SUG63" s="104"/>
      <c r="SUH63" s="106"/>
      <c r="SUI63" s="175"/>
      <c r="SUJ63" s="175"/>
      <c r="SUK63" s="175"/>
      <c r="SUL63" s="175"/>
      <c r="SUM63" s="176"/>
      <c r="SUN63" s="104"/>
      <c r="SUO63" s="106"/>
      <c r="SUP63" s="175"/>
      <c r="SUQ63" s="175"/>
      <c r="SUR63" s="175"/>
      <c r="SUS63" s="175"/>
      <c r="SUT63" s="176"/>
      <c r="SUU63" s="104"/>
      <c r="SUV63" s="106"/>
      <c r="SUW63" s="175"/>
      <c r="SUX63" s="175"/>
      <c r="SUY63" s="175"/>
      <c r="SUZ63" s="175"/>
      <c r="SVA63" s="176"/>
      <c r="SVB63" s="104"/>
      <c r="SVC63" s="106"/>
      <c r="SVD63" s="175"/>
      <c r="SVE63" s="175"/>
      <c r="SVF63" s="175"/>
      <c r="SVG63" s="175"/>
      <c r="SVH63" s="176"/>
      <c r="SVI63" s="104"/>
      <c r="SVJ63" s="106"/>
      <c r="SVK63" s="175"/>
      <c r="SVL63" s="175"/>
      <c r="SVM63" s="175"/>
      <c r="SVN63" s="175"/>
      <c r="SVO63" s="176"/>
      <c r="SVP63" s="104"/>
      <c r="SVQ63" s="106"/>
      <c r="SVR63" s="175"/>
      <c r="SVS63" s="175"/>
      <c r="SVT63" s="175"/>
      <c r="SVU63" s="175"/>
      <c r="SVV63" s="176"/>
      <c r="SVW63" s="104"/>
      <c r="SVX63" s="106"/>
      <c r="SVY63" s="175"/>
      <c r="SVZ63" s="175"/>
      <c r="SWA63" s="175"/>
      <c r="SWB63" s="175"/>
      <c r="SWC63" s="176"/>
      <c r="SWD63" s="104"/>
      <c r="SWE63" s="106"/>
      <c r="SWF63" s="175"/>
      <c r="SWG63" s="175"/>
      <c r="SWH63" s="175"/>
      <c r="SWI63" s="175"/>
      <c r="SWJ63" s="176"/>
      <c r="SWK63" s="104"/>
      <c r="SWL63" s="106"/>
      <c r="SWM63" s="175"/>
      <c r="SWN63" s="175"/>
      <c r="SWO63" s="175"/>
      <c r="SWP63" s="175"/>
      <c r="SWQ63" s="176"/>
      <c r="SWR63" s="104"/>
      <c r="SWS63" s="106"/>
      <c r="SWT63" s="175"/>
      <c r="SWU63" s="175"/>
      <c r="SWV63" s="175"/>
      <c r="SWW63" s="175"/>
      <c r="SWX63" s="176"/>
      <c r="SWY63" s="104"/>
      <c r="SWZ63" s="106"/>
      <c r="SXA63" s="175"/>
      <c r="SXB63" s="175"/>
      <c r="SXC63" s="175"/>
      <c r="SXD63" s="175"/>
      <c r="SXE63" s="176"/>
      <c r="SXF63" s="104"/>
      <c r="SXG63" s="106"/>
      <c r="SXH63" s="175"/>
      <c r="SXI63" s="175"/>
      <c r="SXJ63" s="175"/>
      <c r="SXK63" s="175"/>
      <c r="SXL63" s="176"/>
      <c r="SXM63" s="104"/>
      <c r="SXN63" s="106"/>
      <c r="SXO63" s="175"/>
      <c r="SXP63" s="175"/>
      <c r="SXQ63" s="175"/>
      <c r="SXR63" s="175"/>
      <c r="SXS63" s="176"/>
      <c r="SXT63" s="104"/>
      <c r="SXU63" s="106"/>
      <c r="SXV63" s="175"/>
      <c r="SXW63" s="175"/>
      <c r="SXX63" s="175"/>
      <c r="SXY63" s="175"/>
      <c r="SXZ63" s="176"/>
      <c r="SYA63" s="104"/>
      <c r="SYB63" s="106"/>
      <c r="SYC63" s="175"/>
      <c r="SYD63" s="175"/>
      <c r="SYE63" s="175"/>
      <c r="SYF63" s="175"/>
      <c r="SYG63" s="176"/>
      <c r="SYH63" s="104"/>
      <c r="SYI63" s="106"/>
      <c r="SYJ63" s="175"/>
      <c r="SYK63" s="175"/>
      <c r="SYL63" s="175"/>
      <c r="SYM63" s="175"/>
      <c r="SYN63" s="176"/>
      <c r="SYO63" s="104"/>
      <c r="SYP63" s="106"/>
      <c r="SYQ63" s="175"/>
      <c r="SYR63" s="175"/>
      <c r="SYS63" s="175"/>
      <c r="SYT63" s="175"/>
      <c r="SYU63" s="176"/>
      <c r="SYV63" s="104"/>
      <c r="SYW63" s="106"/>
      <c r="SYX63" s="175"/>
      <c r="SYY63" s="175"/>
      <c r="SYZ63" s="175"/>
      <c r="SZA63" s="175"/>
      <c r="SZB63" s="176"/>
      <c r="SZC63" s="104"/>
      <c r="SZD63" s="106"/>
      <c r="SZE63" s="175"/>
      <c r="SZF63" s="175"/>
      <c r="SZG63" s="175"/>
      <c r="SZH63" s="175"/>
      <c r="SZI63" s="176"/>
      <c r="SZJ63" s="104"/>
      <c r="SZK63" s="106"/>
      <c r="SZL63" s="175"/>
      <c r="SZM63" s="175"/>
      <c r="SZN63" s="175"/>
      <c r="SZO63" s="175"/>
      <c r="SZP63" s="176"/>
      <c r="SZQ63" s="104"/>
      <c r="SZR63" s="106"/>
      <c r="SZS63" s="175"/>
      <c r="SZT63" s="175"/>
      <c r="SZU63" s="175"/>
      <c r="SZV63" s="175"/>
      <c r="SZW63" s="176"/>
      <c r="SZX63" s="104"/>
      <c r="SZY63" s="106"/>
      <c r="SZZ63" s="175"/>
      <c r="TAA63" s="175"/>
      <c r="TAB63" s="175"/>
      <c r="TAC63" s="175"/>
      <c r="TAD63" s="176"/>
      <c r="TAE63" s="104"/>
      <c r="TAF63" s="106"/>
      <c r="TAG63" s="175"/>
      <c r="TAH63" s="175"/>
      <c r="TAI63" s="175"/>
      <c r="TAJ63" s="175"/>
      <c r="TAK63" s="176"/>
      <c r="TAL63" s="104"/>
      <c r="TAM63" s="106"/>
      <c r="TAN63" s="175"/>
      <c r="TAO63" s="175"/>
      <c r="TAP63" s="175"/>
      <c r="TAQ63" s="175"/>
      <c r="TAR63" s="176"/>
      <c r="TAS63" s="104"/>
      <c r="TAT63" s="106"/>
      <c r="TAU63" s="175"/>
      <c r="TAV63" s="175"/>
      <c r="TAW63" s="175"/>
      <c r="TAX63" s="175"/>
      <c r="TAY63" s="176"/>
      <c r="TAZ63" s="104"/>
      <c r="TBA63" s="106"/>
      <c r="TBB63" s="175"/>
      <c r="TBC63" s="175"/>
      <c r="TBD63" s="175"/>
      <c r="TBE63" s="175"/>
      <c r="TBF63" s="176"/>
      <c r="TBG63" s="104"/>
      <c r="TBH63" s="106"/>
      <c r="TBI63" s="175"/>
      <c r="TBJ63" s="175"/>
      <c r="TBK63" s="175"/>
      <c r="TBL63" s="175"/>
      <c r="TBM63" s="176"/>
      <c r="TBN63" s="104"/>
      <c r="TBO63" s="106"/>
      <c r="TBP63" s="175"/>
      <c r="TBQ63" s="175"/>
      <c r="TBR63" s="175"/>
      <c r="TBS63" s="175"/>
      <c r="TBT63" s="176"/>
      <c r="TBU63" s="104"/>
      <c r="TBV63" s="106"/>
      <c r="TBW63" s="175"/>
      <c r="TBX63" s="175"/>
      <c r="TBY63" s="175"/>
      <c r="TBZ63" s="175"/>
      <c r="TCA63" s="176"/>
      <c r="TCB63" s="104"/>
      <c r="TCC63" s="106"/>
      <c r="TCD63" s="175"/>
      <c r="TCE63" s="175"/>
      <c r="TCF63" s="175"/>
      <c r="TCG63" s="175"/>
      <c r="TCH63" s="176"/>
      <c r="TCI63" s="104"/>
      <c r="TCJ63" s="106"/>
      <c r="TCK63" s="175"/>
      <c r="TCL63" s="175"/>
      <c r="TCM63" s="175"/>
      <c r="TCN63" s="175"/>
      <c r="TCO63" s="176"/>
      <c r="TCP63" s="104"/>
      <c r="TCQ63" s="106"/>
      <c r="TCR63" s="175"/>
      <c r="TCS63" s="175"/>
      <c r="TCT63" s="175"/>
      <c r="TCU63" s="175"/>
      <c r="TCV63" s="176"/>
      <c r="TCW63" s="104"/>
      <c r="TCX63" s="106"/>
      <c r="TCY63" s="175"/>
      <c r="TCZ63" s="175"/>
      <c r="TDA63" s="175"/>
      <c r="TDB63" s="175"/>
      <c r="TDC63" s="176"/>
      <c r="TDD63" s="104"/>
      <c r="TDE63" s="106"/>
      <c r="TDF63" s="175"/>
      <c r="TDG63" s="175"/>
      <c r="TDH63" s="175"/>
      <c r="TDI63" s="175"/>
      <c r="TDJ63" s="176"/>
      <c r="TDK63" s="104"/>
      <c r="TDL63" s="106"/>
      <c r="TDM63" s="175"/>
      <c r="TDN63" s="175"/>
      <c r="TDO63" s="175"/>
      <c r="TDP63" s="175"/>
      <c r="TDQ63" s="176"/>
      <c r="TDR63" s="104"/>
      <c r="TDS63" s="106"/>
      <c r="TDT63" s="175"/>
      <c r="TDU63" s="175"/>
      <c r="TDV63" s="175"/>
      <c r="TDW63" s="175"/>
      <c r="TDX63" s="176"/>
      <c r="TDY63" s="104"/>
      <c r="TDZ63" s="106"/>
      <c r="TEA63" s="175"/>
      <c r="TEB63" s="175"/>
      <c r="TEC63" s="175"/>
      <c r="TED63" s="175"/>
      <c r="TEE63" s="176"/>
      <c r="TEF63" s="104"/>
      <c r="TEG63" s="106"/>
      <c r="TEH63" s="175"/>
      <c r="TEI63" s="175"/>
      <c r="TEJ63" s="175"/>
      <c r="TEK63" s="175"/>
      <c r="TEL63" s="176"/>
      <c r="TEM63" s="104"/>
      <c r="TEN63" s="106"/>
      <c r="TEO63" s="175"/>
      <c r="TEP63" s="175"/>
      <c r="TEQ63" s="175"/>
      <c r="TER63" s="175"/>
      <c r="TES63" s="176"/>
      <c r="TET63" s="104"/>
      <c r="TEU63" s="106"/>
      <c r="TEV63" s="175"/>
      <c r="TEW63" s="175"/>
      <c r="TEX63" s="175"/>
      <c r="TEY63" s="175"/>
      <c r="TEZ63" s="176"/>
      <c r="TFA63" s="104"/>
      <c r="TFB63" s="106"/>
      <c r="TFC63" s="175"/>
      <c r="TFD63" s="175"/>
      <c r="TFE63" s="175"/>
      <c r="TFF63" s="175"/>
      <c r="TFG63" s="176"/>
      <c r="TFH63" s="104"/>
      <c r="TFI63" s="106"/>
      <c r="TFJ63" s="175"/>
      <c r="TFK63" s="175"/>
      <c r="TFL63" s="175"/>
      <c r="TFM63" s="175"/>
      <c r="TFN63" s="176"/>
      <c r="TFO63" s="104"/>
      <c r="TFP63" s="106"/>
      <c r="TFQ63" s="175"/>
      <c r="TFR63" s="175"/>
      <c r="TFS63" s="175"/>
      <c r="TFT63" s="175"/>
      <c r="TFU63" s="176"/>
      <c r="TFV63" s="104"/>
      <c r="TFW63" s="106"/>
      <c r="TFX63" s="175"/>
      <c r="TFY63" s="175"/>
      <c r="TFZ63" s="175"/>
      <c r="TGA63" s="175"/>
      <c r="TGB63" s="176"/>
      <c r="TGC63" s="104"/>
      <c r="TGD63" s="106"/>
      <c r="TGE63" s="175"/>
      <c r="TGF63" s="175"/>
      <c r="TGG63" s="175"/>
      <c r="TGH63" s="175"/>
      <c r="TGI63" s="176"/>
      <c r="TGJ63" s="104"/>
      <c r="TGK63" s="106"/>
      <c r="TGL63" s="175"/>
      <c r="TGM63" s="175"/>
      <c r="TGN63" s="175"/>
      <c r="TGO63" s="175"/>
      <c r="TGP63" s="176"/>
      <c r="TGQ63" s="104"/>
      <c r="TGR63" s="106"/>
      <c r="TGS63" s="175"/>
      <c r="TGT63" s="175"/>
      <c r="TGU63" s="175"/>
      <c r="TGV63" s="175"/>
      <c r="TGW63" s="176"/>
      <c r="TGX63" s="104"/>
      <c r="TGY63" s="106"/>
      <c r="TGZ63" s="175"/>
      <c r="THA63" s="175"/>
      <c r="THB63" s="175"/>
      <c r="THC63" s="175"/>
      <c r="THD63" s="176"/>
      <c r="THE63" s="104"/>
      <c r="THF63" s="106"/>
      <c r="THG63" s="175"/>
      <c r="THH63" s="175"/>
      <c r="THI63" s="175"/>
      <c r="THJ63" s="175"/>
      <c r="THK63" s="176"/>
      <c r="THL63" s="104"/>
      <c r="THM63" s="106"/>
      <c r="THN63" s="175"/>
      <c r="THO63" s="175"/>
      <c r="THP63" s="175"/>
      <c r="THQ63" s="175"/>
      <c r="THR63" s="176"/>
      <c r="THS63" s="104"/>
      <c r="THT63" s="106"/>
      <c r="THU63" s="175"/>
      <c r="THV63" s="175"/>
      <c r="THW63" s="175"/>
      <c r="THX63" s="175"/>
      <c r="THY63" s="176"/>
      <c r="THZ63" s="104"/>
      <c r="TIA63" s="106"/>
      <c r="TIB63" s="175"/>
      <c r="TIC63" s="175"/>
      <c r="TID63" s="175"/>
      <c r="TIE63" s="175"/>
      <c r="TIF63" s="176"/>
      <c r="TIG63" s="104"/>
      <c r="TIH63" s="106"/>
      <c r="TII63" s="175"/>
      <c r="TIJ63" s="175"/>
      <c r="TIK63" s="175"/>
      <c r="TIL63" s="175"/>
      <c r="TIM63" s="176"/>
      <c r="TIN63" s="104"/>
      <c r="TIO63" s="106"/>
      <c r="TIP63" s="175"/>
      <c r="TIQ63" s="175"/>
      <c r="TIR63" s="175"/>
      <c r="TIS63" s="175"/>
      <c r="TIT63" s="176"/>
      <c r="TIU63" s="104"/>
      <c r="TIV63" s="106"/>
      <c r="TIW63" s="175"/>
      <c r="TIX63" s="175"/>
      <c r="TIY63" s="175"/>
      <c r="TIZ63" s="175"/>
      <c r="TJA63" s="176"/>
      <c r="TJB63" s="104"/>
      <c r="TJC63" s="106"/>
      <c r="TJD63" s="175"/>
      <c r="TJE63" s="175"/>
      <c r="TJF63" s="175"/>
      <c r="TJG63" s="175"/>
      <c r="TJH63" s="176"/>
      <c r="TJI63" s="104"/>
      <c r="TJJ63" s="106"/>
      <c r="TJK63" s="175"/>
      <c r="TJL63" s="175"/>
      <c r="TJM63" s="175"/>
      <c r="TJN63" s="175"/>
      <c r="TJO63" s="176"/>
      <c r="TJP63" s="104"/>
      <c r="TJQ63" s="106"/>
      <c r="TJR63" s="175"/>
      <c r="TJS63" s="175"/>
      <c r="TJT63" s="175"/>
      <c r="TJU63" s="175"/>
      <c r="TJV63" s="176"/>
      <c r="TJW63" s="104"/>
      <c r="TJX63" s="106"/>
      <c r="TJY63" s="175"/>
      <c r="TJZ63" s="175"/>
      <c r="TKA63" s="175"/>
      <c r="TKB63" s="175"/>
      <c r="TKC63" s="176"/>
      <c r="TKD63" s="104"/>
      <c r="TKE63" s="106"/>
      <c r="TKF63" s="175"/>
      <c r="TKG63" s="175"/>
      <c r="TKH63" s="175"/>
      <c r="TKI63" s="175"/>
      <c r="TKJ63" s="176"/>
      <c r="TKK63" s="104"/>
      <c r="TKL63" s="106"/>
      <c r="TKM63" s="175"/>
      <c r="TKN63" s="175"/>
      <c r="TKO63" s="175"/>
      <c r="TKP63" s="175"/>
      <c r="TKQ63" s="176"/>
      <c r="TKR63" s="104"/>
      <c r="TKS63" s="106"/>
      <c r="TKT63" s="175"/>
      <c r="TKU63" s="175"/>
      <c r="TKV63" s="175"/>
      <c r="TKW63" s="175"/>
      <c r="TKX63" s="176"/>
      <c r="TKY63" s="104"/>
      <c r="TKZ63" s="106"/>
      <c r="TLA63" s="175"/>
      <c r="TLB63" s="175"/>
      <c r="TLC63" s="175"/>
      <c r="TLD63" s="175"/>
      <c r="TLE63" s="176"/>
      <c r="TLF63" s="104"/>
      <c r="TLG63" s="106"/>
      <c r="TLH63" s="175"/>
      <c r="TLI63" s="175"/>
      <c r="TLJ63" s="175"/>
      <c r="TLK63" s="175"/>
      <c r="TLL63" s="176"/>
      <c r="TLM63" s="104"/>
      <c r="TLN63" s="106"/>
      <c r="TLO63" s="175"/>
      <c r="TLP63" s="175"/>
      <c r="TLQ63" s="175"/>
      <c r="TLR63" s="175"/>
      <c r="TLS63" s="176"/>
      <c r="TLT63" s="104"/>
      <c r="TLU63" s="106"/>
      <c r="TLV63" s="175"/>
      <c r="TLW63" s="175"/>
      <c r="TLX63" s="175"/>
      <c r="TLY63" s="175"/>
      <c r="TLZ63" s="176"/>
      <c r="TMA63" s="104"/>
      <c r="TMB63" s="106"/>
      <c r="TMC63" s="175"/>
      <c r="TMD63" s="175"/>
      <c r="TME63" s="175"/>
      <c r="TMF63" s="175"/>
      <c r="TMG63" s="176"/>
      <c r="TMH63" s="104"/>
      <c r="TMI63" s="106"/>
      <c r="TMJ63" s="175"/>
      <c r="TMK63" s="175"/>
      <c r="TML63" s="175"/>
      <c r="TMM63" s="175"/>
      <c r="TMN63" s="176"/>
      <c r="TMO63" s="104"/>
      <c r="TMP63" s="106"/>
      <c r="TMQ63" s="175"/>
      <c r="TMR63" s="175"/>
      <c r="TMS63" s="175"/>
      <c r="TMT63" s="175"/>
      <c r="TMU63" s="176"/>
      <c r="TMV63" s="104"/>
      <c r="TMW63" s="106"/>
      <c r="TMX63" s="175"/>
      <c r="TMY63" s="175"/>
      <c r="TMZ63" s="175"/>
      <c r="TNA63" s="175"/>
      <c r="TNB63" s="176"/>
      <c r="TNC63" s="104"/>
      <c r="TND63" s="106"/>
      <c r="TNE63" s="175"/>
      <c r="TNF63" s="175"/>
      <c r="TNG63" s="175"/>
      <c r="TNH63" s="175"/>
      <c r="TNI63" s="176"/>
      <c r="TNJ63" s="104"/>
      <c r="TNK63" s="106"/>
      <c r="TNL63" s="175"/>
      <c r="TNM63" s="175"/>
      <c r="TNN63" s="175"/>
      <c r="TNO63" s="175"/>
      <c r="TNP63" s="176"/>
      <c r="TNQ63" s="104"/>
      <c r="TNR63" s="106"/>
      <c r="TNS63" s="175"/>
      <c r="TNT63" s="175"/>
      <c r="TNU63" s="175"/>
      <c r="TNV63" s="175"/>
      <c r="TNW63" s="176"/>
      <c r="TNX63" s="104"/>
      <c r="TNY63" s="106"/>
      <c r="TNZ63" s="175"/>
      <c r="TOA63" s="175"/>
      <c r="TOB63" s="175"/>
      <c r="TOC63" s="175"/>
      <c r="TOD63" s="176"/>
      <c r="TOE63" s="104"/>
      <c r="TOF63" s="106"/>
      <c r="TOG63" s="175"/>
      <c r="TOH63" s="175"/>
      <c r="TOI63" s="175"/>
      <c r="TOJ63" s="175"/>
      <c r="TOK63" s="176"/>
      <c r="TOL63" s="104"/>
      <c r="TOM63" s="106"/>
      <c r="TON63" s="175"/>
      <c r="TOO63" s="175"/>
      <c r="TOP63" s="175"/>
      <c r="TOQ63" s="175"/>
      <c r="TOR63" s="176"/>
      <c r="TOS63" s="104"/>
      <c r="TOT63" s="106"/>
      <c r="TOU63" s="175"/>
      <c r="TOV63" s="175"/>
      <c r="TOW63" s="175"/>
      <c r="TOX63" s="175"/>
      <c r="TOY63" s="176"/>
      <c r="TOZ63" s="104"/>
      <c r="TPA63" s="106"/>
      <c r="TPB63" s="175"/>
      <c r="TPC63" s="175"/>
      <c r="TPD63" s="175"/>
      <c r="TPE63" s="175"/>
      <c r="TPF63" s="176"/>
      <c r="TPG63" s="104"/>
      <c r="TPH63" s="106"/>
      <c r="TPI63" s="175"/>
      <c r="TPJ63" s="175"/>
      <c r="TPK63" s="175"/>
      <c r="TPL63" s="175"/>
      <c r="TPM63" s="176"/>
      <c r="TPN63" s="104"/>
      <c r="TPO63" s="106"/>
      <c r="TPP63" s="175"/>
      <c r="TPQ63" s="175"/>
      <c r="TPR63" s="175"/>
      <c r="TPS63" s="175"/>
      <c r="TPT63" s="176"/>
      <c r="TPU63" s="104"/>
      <c r="TPV63" s="106"/>
      <c r="TPW63" s="175"/>
      <c r="TPX63" s="175"/>
      <c r="TPY63" s="175"/>
      <c r="TPZ63" s="175"/>
      <c r="TQA63" s="176"/>
      <c r="TQB63" s="104"/>
      <c r="TQC63" s="106"/>
      <c r="TQD63" s="175"/>
      <c r="TQE63" s="175"/>
      <c r="TQF63" s="175"/>
      <c r="TQG63" s="175"/>
      <c r="TQH63" s="176"/>
      <c r="TQI63" s="104"/>
      <c r="TQJ63" s="106"/>
      <c r="TQK63" s="175"/>
      <c r="TQL63" s="175"/>
      <c r="TQM63" s="175"/>
      <c r="TQN63" s="175"/>
      <c r="TQO63" s="176"/>
      <c r="TQP63" s="104"/>
      <c r="TQQ63" s="106"/>
      <c r="TQR63" s="175"/>
      <c r="TQS63" s="175"/>
      <c r="TQT63" s="175"/>
      <c r="TQU63" s="175"/>
      <c r="TQV63" s="176"/>
      <c r="TQW63" s="104"/>
      <c r="TQX63" s="106"/>
      <c r="TQY63" s="175"/>
      <c r="TQZ63" s="175"/>
      <c r="TRA63" s="175"/>
      <c r="TRB63" s="175"/>
      <c r="TRC63" s="176"/>
      <c r="TRD63" s="104"/>
      <c r="TRE63" s="106"/>
      <c r="TRF63" s="175"/>
      <c r="TRG63" s="175"/>
      <c r="TRH63" s="175"/>
      <c r="TRI63" s="175"/>
      <c r="TRJ63" s="176"/>
      <c r="TRK63" s="104"/>
      <c r="TRL63" s="106"/>
      <c r="TRM63" s="175"/>
      <c r="TRN63" s="175"/>
      <c r="TRO63" s="175"/>
      <c r="TRP63" s="175"/>
      <c r="TRQ63" s="176"/>
      <c r="TRR63" s="104"/>
      <c r="TRS63" s="106"/>
      <c r="TRT63" s="175"/>
      <c r="TRU63" s="175"/>
      <c r="TRV63" s="175"/>
      <c r="TRW63" s="175"/>
      <c r="TRX63" s="176"/>
      <c r="TRY63" s="104"/>
      <c r="TRZ63" s="106"/>
      <c r="TSA63" s="175"/>
      <c r="TSB63" s="175"/>
      <c r="TSC63" s="175"/>
      <c r="TSD63" s="175"/>
      <c r="TSE63" s="176"/>
      <c r="TSF63" s="104"/>
      <c r="TSG63" s="106"/>
      <c r="TSH63" s="175"/>
      <c r="TSI63" s="175"/>
      <c r="TSJ63" s="175"/>
      <c r="TSK63" s="175"/>
      <c r="TSL63" s="176"/>
      <c r="TSM63" s="104"/>
      <c r="TSN63" s="106"/>
      <c r="TSO63" s="175"/>
      <c r="TSP63" s="175"/>
      <c r="TSQ63" s="175"/>
      <c r="TSR63" s="175"/>
      <c r="TSS63" s="176"/>
      <c r="TST63" s="104"/>
      <c r="TSU63" s="106"/>
      <c r="TSV63" s="175"/>
      <c r="TSW63" s="175"/>
      <c r="TSX63" s="175"/>
      <c r="TSY63" s="175"/>
      <c r="TSZ63" s="176"/>
      <c r="TTA63" s="104"/>
      <c r="TTB63" s="106"/>
      <c r="TTC63" s="175"/>
      <c r="TTD63" s="175"/>
      <c r="TTE63" s="175"/>
      <c r="TTF63" s="175"/>
      <c r="TTG63" s="176"/>
      <c r="TTH63" s="104"/>
      <c r="TTI63" s="106"/>
      <c r="TTJ63" s="175"/>
      <c r="TTK63" s="175"/>
      <c r="TTL63" s="175"/>
      <c r="TTM63" s="175"/>
      <c r="TTN63" s="176"/>
      <c r="TTO63" s="104"/>
      <c r="TTP63" s="106"/>
      <c r="TTQ63" s="175"/>
      <c r="TTR63" s="175"/>
      <c r="TTS63" s="175"/>
      <c r="TTT63" s="175"/>
      <c r="TTU63" s="176"/>
      <c r="TTV63" s="104"/>
      <c r="TTW63" s="106"/>
      <c r="TTX63" s="175"/>
      <c r="TTY63" s="175"/>
      <c r="TTZ63" s="175"/>
      <c r="TUA63" s="175"/>
      <c r="TUB63" s="176"/>
      <c r="TUC63" s="104"/>
      <c r="TUD63" s="106"/>
      <c r="TUE63" s="175"/>
      <c r="TUF63" s="175"/>
      <c r="TUG63" s="175"/>
      <c r="TUH63" s="175"/>
      <c r="TUI63" s="176"/>
      <c r="TUJ63" s="104"/>
      <c r="TUK63" s="106"/>
      <c r="TUL63" s="175"/>
      <c r="TUM63" s="175"/>
      <c r="TUN63" s="175"/>
      <c r="TUO63" s="175"/>
      <c r="TUP63" s="176"/>
      <c r="TUQ63" s="104"/>
      <c r="TUR63" s="106"/>
      <c r="TUS63" s="175"/>
      <c r="TUT63" s="175"/>
      <c r="TUU63" s="175"/>
      <c r="TUV63" s="175"/>
      <c r="TUW63" s="176"/>
      <c r="TUX63" s="104"/>
      <c r="TUY63" s="106"/>
      <c r="TUZ63" s="175"/>
      <c r="TVA63" s="175"/>
      <c r="TVB63" s="175"/>
      <c r="TVC63" s="175"/>
      <c r="TVD63" s="176"/>
      <c r="TVE63" s="104"/>
      <c r="TVF63" s="106"/>
      <c r="TVG63" s="175"/>
      <c r="TVH63" s="175"/>
      <c r="TVI63" s="175"/>
      <c r="TVJ63" s="175"/>
      <c r="TVK63" s="176"/>
      <c r="TVL63" s="104"/>
      <c r="TVM63" s="106"/>
      <c r="TVN63" s="175"/>
      <c r="TVO63" s="175"/>
      <c r="TVP63" s="175"/>
      <c r="TVQ63" s="175"/>
      <c r="TVR63" s="176"/>
      <c r="TVS63" s="104"/>
      <c r="TVT63" s="106"/>
      <c r="TVU63" s="175"/>
      <c r="TVV63" s="175"/>
      <c r="TVW63" s="175"/>
      <c r="TVX63" s="175"/>
      <c r="TVY63" s="176"/>
      <c r="TVZ63" s="104"/>
      <c r="TWA63" s="106"/>
      <c r="TWB63" s="175"/>
      <c r="TWC63" s="175"/>
      <c r="TWD63" s="175"/>
      <c r="TWE63" s="175"/>
      <c r="TWF63" s="176"/>
      <c r="TWG63" s="104"/>
      <c r="TWH63" s="106"/>
      <c r="TWI63" s="175"/>
      <c r="TWJ63" s="175"/>
      <c r="TWK63" s="175"/>
      <c r="TWL63" s="175"/>
      <c r="TWM63" s="176"/>
      <c r="TWN63" s="104"/>
      <c r="TWO63" s="106"/>
      <c r="TWP63" s="175"/>
      <c r="TWQ63" s="175"/>
      <c r="TWR63" s="175"/>
      <c r="TWS63" s="175"/>
      <c r="TWT63" s="176"/>
      <c r="TWU63" s="104"/>
      <c r="TWV63" s="106"/>
      <c r="TWW63" s="175"/>
      <c r="TWX63" s="175"/>
      <c r="TWY63" s="175"/>
      <c r="TWZ63" s="175"/>
      <c r="TXA63" s="176"/>
      <c r="TXB63" s="104"/>
      <c r="TXC63" s="106"/>
      <c r="TXD63" s="175"/>
      <c r="TXE63" s="175"/>
      <c r="TXF63" s="175"/>
      <c r="TXG63" s="175"/>
      <c r="TXH63" s="176"/>
      <c r="TXI63" s="104"/>
      <c r="TXJ63" s="106"/>
      <c r="TXK63" s="175"/>
      <c r="TXL63" s="175"/>
      <c r="TXM63" s="175"/>
      <c r="TXN63" s="175"/>
      <c r="TXO63" s="176"/>
      <c r="TXP63" s="104"/>
      <c r="TXQ63" s="106"/>
      <c r="TXR63" s="175"/>
      <c r="TXS63" s="175"/>
      <c r="TXT63" s="175"/>
      <c r="TXU63" s="175"/>
      <c r="TXV63" s="176"/>
      <c r="TXW63" s="104"/>
      <c r="TXX63" s="106"/>
      <c r="TXY63" s="175"/>
      <c r="TXZ63" s="175"/>
      <c r="TYA63" s="175"/>
      <c r="TYB63" s="175"/>
      <c r="TYC63" s="176"/>
      <c r="TYD63" s="104"/>
      <c r="TYE63" s="106"/>
      <c r="TYF63" s="175"/>
      <c r="TYG63" s="175"/>
      <c r="TYH63" s="175"/>
      <c r="TYI63" s="175"/>
      <c r="TYJ63" s="176"/>
      <c r="TYK63" s="104"/>
      <c r="TYL63" s="106"/>
      <c r="TYM63" s="175"/>
      <c r="TYN63" s="175"/>
      <c r="TYO63" s="175"/>
      <c r="TYP63" s="175"/>
      <c r="TYQ63" s="176"/>
      <c r="TYR63" s="104"/>
      <c r="TYS63" s="106"/>
      <c r="TYT63" s="175"/>
      <c r="TYU63" s="175"/>
      <c r="TYV63" s="175"/>
      <c r="TYW63" s="175"/>
      <c r="TYX63" s="176"/>
      <c r="TYY63" s="104"/>
      <c r="TYZ63" s="106"/>
      <c r="TZA63" s="175"/>
      <c r="TZB63" s="175"/>
      <c r="TZC63" s="175"/>
      <c r="TZD63" s="175"/>
      <c r="TZE63" s="176"/>
      <c r="TZF63" s="104"/>
      <c r="TZG63" s="106"/>
      <c r="TZH63" s="175"/>
      <c r="TZI63" s="175"/>
      <c r="TZJ63" s="175"/>
      <c r="TZK63" s="175"/>
      <c r="TZL63" s="176"/>
      <c r="TZM63" s="104"/>
      <c r="TZN63" s="106"/>
      <c r="TZO63" s="175"/>
      <c r="TZP63" s="175"/>
      <c r="TZQ63" s="175"/>
      <c r="TZR63" s="175"/>
      <c r="TZS63" s="176"/>
      <c r="TZT63" s="104"/>
      <c r="TZU63" s="106"/>
      <c r="TZV63" s="175"/>
      <c r="TZW63" s="175"/>
      <c r="TZX63" s="175"/>
      <c r="TZY63" s="175"/>
      <c r="TZZ63" s="176"/>
      <c r="UAA63" s="104"/>
      <c r="UAB63" s="106"/>
      <c r="UAC63" s="175"/>
      <c r="UAD63" s="175"/>
      <c r="UAE63" s="175"/>
      <c r="UAF63" s="175"/>
      <c r="UAG63" s="176"/>
      <c r="UAH63" s="104"/>
      <c r="UAI63" s="106"/>
      <c r="UAJ63" s="175"/>
      <c r="UAK63" s="175"/>
      <c r="UAL63" s="175"/>
      <c r="UAM63" s="175"/>
      <c r="UAN63" s="176"/>
      <c r="UAO63" s="104"/>
      <c r="UAP63" s="106"/>
      <c r="UAQ63" s="175"/>
      <c r="UAR63" s="175"/>
      <c r="UAS63" s="175"/>
      <c r="UAT63" s="175"/>
      <c r="UAU63" s="176"/>
      <c r="UAV63" s="104"/>
      <c r="UAW63" s="106"/>
      <c r="UAX63" s="175"/>
      <c r="UAY63" s="175"/>
      <c r="UAZ63" s="175"/>
      <c r="UBA63" s="175"/>
      <c r="UBB63" s="176"/>
      <c r="UBC63" s="104"/>
      <c r="UBD63" s="106"/>
      <c r="UBE63" s="175"/>
      <c r="UBF63" s="175"/>
      <c r="UBG63" s="175"/>
      <c r="UBH63" s="175"/>
      <c r="UBI63" s="176"/>
      <c r="UBJ63" s="104"/>
      <c r="UBK63" s="106"/>
      <c r="UBL63" s="175"/>
      <c r="UBM63" s="175"/>
      <c r="UBN63" s="175"/>
      <c r="UBO63" s="175"/>
      <c r="UBP63" s="176"/>
      <c r="UBQ63" s="104"/>
      <c r="UBR63" s="106"/>
      <c r="UBS63" s="175"/>
      <c r="UBT63" s="175"/>
      <c r="UBU63" s="175"/>
      <c r="UBV63" s="175"/>
      <c r="UBW63" s="176"/>
      <c r="UBX63" s="104"/>
      <c r="UBY63" s="106"/>
      <c r="UBZ63" s="175"/>
      <c r="UCA63" s="175"/>
      <c r="UCB63" s="175"/>
      <c r="UCC63" s="175"/>
      <c r="UCD63" s="176"/>
      <c r="UCE63" s="104"/>
      <c r="UCF63" s="106"/>
      <c r="UCG63" s="175"/>
      <c r="UCH63" s="175"/>
      <c r="UCI63" s="175"/>
      <c r="UCJ63" s="175"/>
      <c r="UCK63" s="176"/>
      <c r="UCL63" s="104"/>
      <c r="UCM63" s="106"/>
      <c r="UCN63" s="175"/>
      <c r="UCO63" s="175"/>
      <c r="UCP63" s="175"/>
      <c r="UCQ63" s="175"/>
      <c r="UCR63" s="176"/>
      <c r="UCS63" s="104"/>
      <c r="UCT63" s="106"/>
      <c r="UCU63" s="175"/>
      <c r="UCV63" s="175"/>
      <c r="UCW63" s="175"/>
      <c r="UCX63" s="175"/>
      <c r="UCY63" s="176"/>
      <c r="UCZ63" s="104"/>
      <c r="UDA63" s="106"/>
      <c r="UDB63" s="175"/>
      <c r="UDC63" s="175"/>
      <c r="UDD63" s="175"/>
      <c r="UDE63" s="175"/>
      <c r="UDF63" s="176"/>
      <c r="UDG63" s="104"/>
      <c r="UDH63" s="106"/>
      <c r="UDI63" s="175"/>
      <c r="UDJ63" s="175"/>
      <c r="UDK63" s="175"/>
      <c r="UDL63" s="175"/>
      <c r="UDM63" s="176"/>
      <c r="UDN63" s="104"/>
      <c r="UDO63" s="106"/>
      <c r="UDP63" s="175"/>
      <c r="UDQ63" s="175"/>
      <c r="UDR63" s="175"/>
      <c r="UDS63" s="175"/>
      <c r="UDT63" s="176"/>
      <c r="UDU63" s="104"/>
      <c r="UDV63" s="106"/>
      <c r="UDW63" s="175"/>
      <c r="UDX63" s="175"/>
      <c r="UDY63" s="175"/>
      <c r="UDZ63" s="175"/>
      <c r="UEA63" s="176"/>
      <c r="UEB63" s="104"/>
      <c r="UEC63" s="106"/>
      <c r="UED63" s="175"/>
      <c r="UEE63" s="175"/>
      <c r="UEF63" s="175"/>
      <c r="UEG63" s="175"/>
      <c r="UEH63" s="176"/>
      <c r="UEI63" s="104"/>
      <c r="UEJ63" s="106"/>
      <c r="UEK63" s="175"/>
      <c r="UEL63" s="175"/>
      <c r="UEM63" s="175"/>
      <c r="UEN63" s="175"/>
      <c r="UEO63" s="176"/>
      <c r="UEP63" s="104"/>
      <c r="UEQ63" s="106"/>
      <c r="UER63" s="175"/>
      <c r="UES63" s="175"/>
      <c r="UET63" s="175"/>
      <c r="UEU63" s="175"/>
      <c r="UEV63" s="176"/>
      <c r="UEW63" s="104"/>
      <c r="UEX63" s="106"/>
      <c r="UEY63" s="175"/>
      <c r="UEZ63" s="175"/>
      <c r="UFA63" s="175"/>
      <c r="UFB63" s="175"/>
      <c r="UFC63" s="176"/>
      <c r="UFD63" s="104"/>
      <c r="UFE63" s="106"/>
      <c r="UFF63" s="175"/>
      <c r="UFG63" s="175"/>
      <c r="UFH63" s="175"/>
      <c r="UFI63" s="175"/>
      <c r="UFJ63" s="176"/>
      <c r="UFK63" s="104"/>
      <c r="UFL63" s="106"/>
      <c r="UFM63" s="175"/>
      <c r="UFN63" s="175"/>
      <c r="UFO63" s="175"/>
      <c r="UFP63" s="175"/>
      <c r="UFQ63" s="176"/>
      <c r="UFR63" s="104"/>
      <c r="UFS63" s="106"/>
      <c r="UFT63" s="175"/>
      <c r="UFU63" s="175"/>
      <c r="UFV63" s="175"/>
      <c r="UFW63" s="175"/>
      <c r="UFX63" s="176"/>
      <c r="UFY63" s="104"/>
      <c r="UFZ63" s="106"/>
      <c r="UGA63" s="175"/>
      <c r="UGB63" s="175"/>
      <c r="UGC63" s="175"/>
      <c r="UGD63" s="175"/>
      <c r="UGE63" s="176"/>
      <c r="UGF63" s="104"/>
      <c r="UGG63" s="106"/>
      <c r="UGH63" s="175"/>
      <c r="UGI63" s="175"/>
      <c r="UGJ63" s="175"/>
      <c r="UGK63" s="175"/>
      <c r="UGL63" s="176"/>
      <c r="UGM63" s="104"/>
      <c r="UGN63" s="106"/>
      <c r="UGO63" s="175"/>
      <c r="UGP63" s="175"/>
      <c r="UGQ63" s="175"/>
      <c r="UGR63" s="175"/>
      <c r="UGS63" s="176"/>
      <c r="UGT63" s="104"/>
      <c r="UGU63" s="106"/>
      <c r="UGV63" s="175"/>
      <c r="UGW63" s="175"/>
      <c r="UGX63" s="175"/>
      <c r="UGY63" s="175"/>
      <c r="UGZ63" s="176"/>
      <c r="UHA63" s="104"/>
      <c r="UHB63" s="106"/>
      <c r="UHC63" s="175"/>
      <c r="UHD63" s="175"/>
      <c r="UHE63" s="175"/>
      <c r="UHF63" s="175"/>
      <c r="UHG63" s="176"/>
      <c r="UHH63" s="104"/>
      <c r="UHI63" s="106"/>
      <c r="UHJ63" s="175"/>
      <c r="UHK63" s="175"/>
      <c r="UHL63" s="175"/>
      <c r="UHM63" s="175"/>
      <c r="UHN63" s="176"/>
      <c r="UHO63" s="104"/>
      <c r="UHP63" s="106"/>
      <c r="UHQ63" s="175"/>
      <c r="UHR63" s="175"/>
      <c r="UHS63" s="175"/>
      <c r="UHT63" s="175"/>
      <c r="UHU63" s="176"/>
      <c r="UHV63" s="104"/>
      <c r="UHW63" s="106"/>
      <c r="UHX63" s="175"/>
      <c r="UHY63" s="175"/>
      <c r="UHZ63" s="175"/>
      <c r="UIA63" s="175"/>
      <c r="UIB63" s="176"/>
      <c r="UIC63" s="104"/>
      <c r="UID63" s="106"/>
      <c r="UIE63" s="175"/>
      <c r="UIF63" s="175"/>
      <c r="UIG63" s="175"/>
      <c r="UIH63" s="175"/>
      <c r="UII63" s="176"/>
      <c r="UIJ63" s="104"/>
      <c r="UIK63" s="106"/>
      <c r="UIL63" s="175"/>
      <c r="UIM63" s="175"/>
      <c r="UIN63" s="175"/>
      <c r="UIO63" s="175"/>
      <c r="UIP63" s="176"/>
      <c r="UIQ63" s="104"/>
      <c r="UIR63" s="106"/>
      <c r="UIS63" s="175"/>
      <c r="UIT63" s="175"/>
      <c r="UIU63" s="175"/>
      <c r="UIV63" s="175"/>
      <c r="UIW63" s="176"/>
      <c r="UIX63" s="104"/>
      <c r="UIY63" s="106"/>
      <c r="UIZ63" s="175"/>
      <c r="UJA63" s="175"/>
      <c r="UJB63" s="175"/>
      <c r="UJC63" s="175"/>
      <c r="UJD63" s="176"/>
      <c r="UJE63" s="104"/>
      <c r="UJF63" s="106"/>
      <c r="UJG63" s="175"/>
      <c r="UJH63" s="175"/>
      <c r="UJI63" s="175"/>
      <c r="UJJ63" s="175"/>
      <c r="UJK63" s="176"/>
      <c r="UJL63" s="104"/>
      <c r="UJM63" s="106"/>
      <c r="UJN63" s="175"/>
      <c r="UJO63" s="175"/>
      <c r="UJP63" s="175"/>
      <c r="UJQ63" s="175"/>
      <c r="UJR63" s="176"/>
      <c r="UJS63" s="104"/>
      <c r="UJT63" s="106"/>
      <c r="UJU63" s="175"/>
      <c r="UJV63" s="175"/>
      <c r="UJW63" s="175"/>
      <c r="UJX63" s="175"/>
      <c r="UJY63" s="176"/>
      <c r="UJZ63" s="104"/>
      <c r="UKA63" s="106"/>
      <c r="UKB63" s="175"/>
      <c r="UKC63" s="175"/>
      <c r="UKD63" s="175"/>
      <c r="UKE63" s="175"/>
      <c r="UKF63" s="176"/>
      <c r="UKG63" s="104"/>
      <c r="UKH63" s="106"/>
      <c r="UKI63" s="175"/>
      <c r="UKJ63" s="175"/>
      <c r="UKK63" s="175"/>
      <c r="UKL63" s="175"/>
      <c r="UKM63" s="176"/>
      <c r="UKN63" s="104"/>
      <c r="UKO63" s="106"/>
      <c r="UKP63" s="175"/>
      <c r="UKQ63" s="175"/>
      <c r="UKR63" s="175"/>
      <c r="UKS63" s="175"/>
      <c r="UKT63" s="176"/>
      <c r="UKU63" s="104"/>
      <c r="UKV63" s="106"/>
      <c r="UKW63" s="175"/>
      <c r="UKX63" s="175"/>
      <c r="UKY63" s="175"/>
      <c r="UKZ63" s="175"/>
      <c r="ULA63" s="176"/>
      <c r="ULB63" s="104"/>
      <c r="ULC63" s="106"/>
      <c r="ULD63" s="175"/>
      <c r="ULE63" s="175"/>
      <c r="ULF63" s="175"/>
      <c r="ULG63" s="175"/>
      <c r="ULH63" s="176"/>
      <c r="ULI63" s="104"/>
      <c r="ULJ63" s="106"/>
      <c r="ULK63" s="175"/>
      <c r="ULL63" s="175"/>
      <c r="ULM63" s="175"/>
      <c r="ULN63" s="175"/>
      <c r="ULO63" s="176"/>
      <c r="ULP63" s="104"/>
      <c r="ULQ63" s="106"/>
      <c r="ULR63" s="175"/>
      <c r="ULS63" s="175"/>
      <c r="ULT63" s="175"/>
      <c r="ULU63" s="175"/>
      <c r="ULV63" s="176"/>
      <c r="ULW63" s="104"/>
      <c r="ULX63" s="106"/>
      <c r="ULY63" s="175"/>
      <c r="ULZ63" s="175"/>
      <c r="UMA63" s="175"/>
      <c r="UMB63" s="175"/>
      <c r="UMC63" s="176"/>
      <c r="UMD63" s="104"/>
      <c r="UME63" s="106"/>
      <c r="UMF63" s="175"/>
      <c r="UMG63" s="175"/>
      <c r="UMH63" s="175"/>
      <c r="UMI63" s="175"/>
      <c r="UMJ63" s="176"/>
      <c r="UMK63" s="104"/>
      <c r="UML63" s="106"/>
      <c r="UMM63" s="175"/>
      <c r="UMN63" s="175"/>
      <c r="UMO63" s="175"/>
      <c r="UMP63" s="175"/>
      <c r="UMQ63" s="176"/>
      <c r="UMR63" s="104"/>
      <c r="UMS63" s="106"/>
      <c r="UMT63" s="175"/>
      <c r="UMU63" s="175"/>
      <c r="UMV63" s="175"/>
      <c r="UMW63" s="175"/>
      <c r="UMX63" s="176"/>
      <c r="UMY63" s="104"/>
      <c r="UMZ63" s="106"/>
      <c r="UNA63" s="175"/>
      <c r="UNB63" s="175"/>
      <c r="UNC63" s="175"/>
      <c r="UND63" s="175"/>
      <c r="UNE63" s="176"/>
      <c r="UNF63" s="104"/>
      <c r="UNG63" s="106"/>
      <c r="UNH63" s="175"/>
      <c r="UNI63" s="175"/>
      <c r="UNJ63" s="175"/>
      <c r="UNK63" s="175"/>
      <c r="UNL63" s="176"/>
      <c r="UNM63" s="104"/>
      <c r="UNN63" s="106"/>
      <c r="UNO63" s="175"/>
      <c r="UNP63" s="175"/>
      <c r="UNQ63" s="175"/>
      <c r="UNR63" s="175"/>
      <c r="UNS63" s="176"/>
      <c r="UNT63" s="104"/>
      <c r="UNU63" s="106"/>
      <c r="UNV63" s="175"/>
      <c r="UNW63" s="175"/>
      <c r="UNX63" s="175"/>
      <c r="UNY63" s="175"/>
      <c r="UNZ63" s="176"/>
      <c r="UOA63" s="104"/>
      <c r="UOB63" s="106"/>
      <c r="UOC63" s="175"/>
      <c r="UOD63" s="175"/>
      <c r="UOE63" s="175"/>
      <c r="UOF63" s="175"/>
      <c r="UOG63" s="176"/>
      <c r="UOH63" s="104"/>
      <c r="UOI63" s="106"/>
      <c r="UOJ63" s="175"/>
      <c r="UOK63" s="175"/>
      <c r="UOL63" s="175"/>
      <c r="UOM63" s="175"/>
      <c r="UON63" s="176"/>
      <c r="UOO63" s="104"/>
      <c r="UOP63" s="106"/>
      <c r="UOQ63" s="175"/>
      <c r="UOR63" s="175"/>
      <c r="UOS63" s="175"/>
      <c r="UOT63" s="175"/>
      <c r="UOU63" s="176"/>
      <c r="UOV63" s="104"/>
      <c r="UOW63" s="106"/>
      <c r="UOX63" s="175"/>
      <c r="UOY63" s="175"/>
      <c r="UOZ63" s="175"/>
      <c r="UPA63" s="175"/>
      <c r="UPB63" s="176"/>
      <c r="UPC63" s="104"/>
      <c r="UPD63" s="106"/>
      <c r="UPE63" s="175"/>
      <c r="UPF63" s="175"/>
      <c r="UPG63" s="175"/>
      <c r="UPH63" s="175"/>
      <c r="UPI63" s="176"/>
      <c r="UPJ63" s="104"/>
      <c r="UPK63" s="106"/>
      <c r="UPL63" s="175"/>
      <c r="UPM63" s="175"/>
      <c r="UPN63" s="175"/>
      <c r="UPO63" s="175"/>
      <c r="UPP63" s="176"/>
      <c r="UPQ63" s="104"/>
      <c r="UPR63" s="106"/>
      <c r="UPS63" s="175"/>
      <c r="UPT63" s="175"/>
      <c r="UPU63" s="175"/>
      <c r="UPV63" s="175"/>
      <c r="UPW63" s="176"/>
      <c r="UPX63" s="104"/>
      <c r="UPY63" s="106"/>
      <c r="UPZ63" s="175"/>
      <c r="UQA63" s="175"/>
      <c r="UQB63" s="175"/>
      <c r="UQC63" s="175"/>
      <c r="UQD63" s="176"/>
      <c r="UQE63" s="104"/>
      <c r="UQF63" s="106"/>
      <c r="UQG63" s="175"/>
      <c r="UQH63" s="175"/>
      <c r="UQI63" s="175"/>
      <c r="UQJ63" s="175"/>
      <c r="UQK63" s="176"/>
      <c r="UQL63" s="104"/>
      <c r="UQM63" s="106"/>
      <c r="UQN63" s="175"/>
      <c r="UQO63" s="175"/>
      <c r="UQP63" s="175"/>
      <c r="UQQ63" s="175"/>
      <c r="UQR63" s="176"/>
      <c r="UQS63" s="104"/>
      <c r="UQT63" s="106"/>
      <c r="UQU63" s="175"/>
      <c r="UQV63" s="175"/>
      <c r="UQW63" s="175"/>
      <c r="UQX63" s="175"/>
      <c r="UQY63" s="176"/>
      <c r="UQZ63" s="104"/>
      <c r="URA63" s="106"/>
      <c r="URB63" s="175"/>
      <c r="URC63" s="175"/>
      <c r="URD63" s="175"/>
      <c r="URE63" s="175"/>
      <c r="URF63" s="176"/>
      <c r="URG63" s="104"/>
      <c r="URH63" s="106"/>
      <c r="URI63" s="175"/>
      <c r="URJ63" s="175"/>
      <c r="URK63" s="175"/>
      <c r="URL63" s="175"/>
      <c r="URM63" s="176"/>
      <c r="URN63" s="104"/>
      <c r="URO63" s="106"/>
      <c r="URP63" s="175"/>
      <c r="URQ63" s="175"/>
      <c r="URR63" s="175"/>
      <c r="URS63" s="175"/>
      <c r="URT63" s="176"/>
      <c r="URU63" s="104"/>
      <c r="URV63" s="106"/>
      <c r="URW63" s="175"/>
      <c r="URX63" s="175"/>
      <c r="URY63" s="175"/>
      <c r="URZ63" s="175"/>
      <c r="USA63" s="176"/>
      <c r="USB63" s="104"/>
      <c r="USC63" s="106"/>
      <c r="USD63" s="175"/>
      <c r="USE63" s="175"/>
      <c r="USF63" s="175"/>
      <c r="USG63" s="175"/>
      <c r="USH63" s="176"/>
      <c r="USI63" s="104"/>
      <c r="USJ63" s="106"/>
      <c r="USK63" s="175"/>
      <c r="USL63" s="175"/>
      <c r="USM63" s="175"/>
      <c r="USN63" s="175"/>
      <c r="USO63" s="176"/>
      <c r="USP63" s="104"/>
      <c r="USQ63" s="106"/>
      <c r="USR63" s="175"/>
      <c r="USS63" s="175"/>
      <c r="UST63" s="175"/>
      <c r="USU63" s="175"/>
      <c r="USV63" s="176"/>
      <c r="USW63" s="104"/>
      <c r="USX63" s="106"/>
      <c r="USY63" s="175"/>
      <c r="USZ63" s="175"/>
      <c r="UTA63" s="175"/>
      <c r="UTB63" s="175"/>
      <c r="UTC63" s="176"/>
      <c r="UTD63" s="104"/>
      <c r="UTE63" s="106"/>
      <c r="UTF63" s="175"/>
      <c r="UTG63" s="175"/>
      <c r="UTH63" s="175"/>
      <c r="UTI63" s="175"/>
      <c r="UTJ63" s="176"/>
      <c r="UTK63" s="104"/>
      <c r="UTL63" s="106"/>
      <c r="UTM63" s="175"/>
      <c r="UTN63" s="175"/>
      <c r="UTO63" s="175"/>
      <c r="UTP63" s="175"/>
      <c r="UTQ63" s="176"/>
      <c r="UTR63" s="104"/>
      <c r="UTS63" s="106"/>
      <c r="UTT63" s="175"/>
      <c r="UTU63" s="175"/>
      <c r="UTV63" s="175"/>
      <c r="UTW63" s="175"/>
      <c r="UTX63" s="176"/>
      <c r="UTY63" s="104"/>
      <c r="UTZ63" s="106"/>
      <c r="UUA63" s="175"/>
      <c r="UUB63" s="175"/>
      <c r="UUC63" s="175"/>
      <c r="UUD63" s="175"/>
      <c r="UUE63" s="176"/>
      <c r="UUF63" s="104"/>
      <c r="UUG63" s="106"/>
      <c r="UUH63" s="175"/>
      <c r="UUI63" s="175"/>
      <c r="UUJ63" s="175"/>
      <c r="UUK63" s="175"/>
      <c r="UUL63" s="176"/>
      <c r="UUM63" s="104"/>
      <c r="UUN63" s="106"/>
      <c r="UUO63" s="175"/>
      <c r="UUP63" s="175"/>
      <c r="UUQ63" s="175"/>
      <c r="UUR63" s="175"/>
      <c r="UUS63" s="176"/>
      <c r="UUT63" s="104"/>
      <c r="UUU63" s="106"/>
      <c r="UUV63" s="175"/>
      <c r="UUW63" s="175"/>
      <c r="UUX63" s="175"/>
      <c r="UUY63" s="175"/>
      <c r="UUZ63" s="176"/>
      <c r="UVA63" s="104"/>
      <c r="UVB63" s="106"/>
      <c r="UVC63" s="175"/>
      <c r="UVD63" s="175"/>
      <c r="UVE63" s="175"/>
      <c r="UVF63" s="175"/>
      <c r="UVG63" s="176"/>
      <c r="UVH63" s="104"/>
      <c r="UVI63" s="106"/>
      <c r="UVJ63" s="175"/>
      <c r="UVK63" s="175"/>
      <c r="UVL63" s="175"/>
      <c r="UVM63" s="175"/>
      <c r="UVN63" s="176"/>
      <c r="UVO63" s="104"/>
      <c r="UVP63" s="106"/>
      <c r="UVQ63" s="175"/>
      <c r="UVR63" s="175"/>
      <c r="UVS63" s="175"/>
      <c r="UVT63" s="175"/>
      <c r="UVU63" s="176"/>
      <c r="UVV63" s="104"/>
      <c r="UVW63" s="106"/>
      <c r="UVX63" s="175"/>
      <c r="UVY63" s="175"/>
      <c r="UVZ63" s="175"/>
      <c r="UWA63" s="175"/>
      <c r="UWB63" s="176"/>
      <c r="UWC63" s="104"/>
      <c r="UWD63" s="106"/>
      <c r="UWE63" s="175"/>
      <c r="UWF63" s="175"/>
      <c r="UWG63" s="175"/>
      <c r="UWH63" s="175"/>
      <c r="UWI63" s="176"/>
      <c r="UWJ63" s="104"/>
      <c r="UWK63" s="106"/>
      <c r="UWL63" s="175"/>
      <c r="UWM63" s="175"/>
      <c r="UWN63" s="175"/>
      <c r="UWO63" s="175"/>
      <c r="UWP63" s="176"/>
      <c r="UWQ63" s="104"/>
      <c r="UWR63" s="106"/>
      <c r="UWS63" s="175"/>
      <c r="UWT63" s="175"/>
      <c r="UWU63" s="175"/>
      <c r="UWV63" s="175"/>
      <c r="UWW63" s="176"/>
      <c r="UWX63" s="104"/>
      <c r="UWY63" s="106"/>
      <c r="UWZ63" s="175"/>
      <c r="UXA63" s="175"/>
      <c r="UXB63" s="175"/>
      <c r="UXC63" s="175"/>
      <c r="UXD63" s="176"/>
      <c r="UXE63" s="104"/>
      <c r="UXF63" s="106"/>
      <c r="UXG63" s="175"/>
      <c r="UXH63" s="175"/>
      <c r="UXI63" s="175"/>
      <c r="UXJ63" s="175"/>
      <c r="UXK63" s="176"/>
      <c r="UXL63" s="104"/>
      <c r="UXM63" s="106"/>
      <c r="UXN63" s="175"/>
      <c r="UXO63" s="175"/>
      <c r="UXP63" s="175"/>
      <c r="UXQ63" s="175"/>
      <c r="UXR63" s="176"/>
      <c r="UXS63" s="104"/>
      <c r="UXT63" s="106"/>
      <c r="UXU63" s="175"/>
      <c r="UXV63" s="175"/>
      <c r="UXW63" s="175"/>
      <c r="UXX63" s="175"/>
      <c r="UXY63" s="176"/>
      <c r="UXZ63" s="104"/>
      <c r="UYA63" s="106"/>
      <c r="UYB63" s="175"/>
      <c r="UYC63" s="175"/>
      <c r="UYD63" s="175"/>
      <c r="UYE63" s="175"/>
      <c r="UYF63" s="176"/>
      <c r="UYG63" s="104"/>
      <c r="UYH63" s="106"/>
      <c r="UYI63" s="175"/>
      <c r="UYJ63" s="175"/>
      <c r="UYK63" s="175"/>
      <c r="UYL63" s="175"/>
      <c r="UYM63" s="176"/>
      <c r="UYN63" s="104"/>
      <c r="UYO63" s="106"/>
      <c r="UYP63" s="175"/>
      <c r="UYQ63" s="175"/>
      <c r="UYR63" s="175"/>
      <c r="UYS63" s="175"/>
      <c r="UYT63" s="176"/>
      <c r="UYU63" s="104"/>
      <c r="UYV63" s="106"/>
      <c r="UYW63" s="175"/>
      <c r="UYX63" s="175"/>
      <c r="UYY63" s="175"/>
      <c r="UYZ63" s="175"/>
      <c r="UZA63" s="176"/>
      <c r="UZB63" s="104"/>
      <c r="UZC63" s="106"/>
      <c r="UZD63" s="175"/>
      <c r="UZE63" s="175"/>
      <c r="UZF63" s="175"/>
      <c r="UZG63" s="175"/>
      <c r="UZH63" s="176"/>
      <c r="UZI63" s="104"/>
      <c r="UZJ63" s="106"/>
      <c r="UZK63" s="175"/>
      <c r="UZL63" s="175"/>
      <c r="UZM63" s="175"/>
      <c r="UZN63" s="175"/>
      <c r="UZO63" s="176"/>
      <c r="UZP63" s="104"/>
      <c r="UZQ63" s="106"/>
      <c r="UZR63" s="175"/>
      <c r="UZS63" s="175"/>
      <c r="UZT63" s="175"/>
      <c r="UZU63" s="175"/>
      <c r="UZV63" s="176"/>
      <c r="UZW63" s="104"/>
      <c r="UZX63" s="106"/>
      <c r="UZY63" s="175"/>
      <c r="UZZ63" s="175"/>
      <c r="VAA63" s="175"/>
      <c r="VAB63" s="175"/>
      <c r="VAC63" s="176"/>
      <c r="VAD63" s="104"/>
      <c r="VAE63" s="106"/>
      <c r="VAF63" s="175"/>
      <c r="VAG63" s="175"/>
      <c r="VAH63" s="175"/>
      <c r="VAI63" s="175"/>
      <c r="VAJ63" s="176"/>
      <c r="VAK63" s="104"/>
      <c r="VAL63" s="106"/>
      <c r="VAM63" s="175"/>
      <c r="VAN63" s="175"/>
      <c r="VAO63" s="175"/>
      <c r="VAP63" s="175"/>
      <c r="VAQ63" s="176"/>
      <c r="VAR63" s="104"/>
      <c r="VAS63" s="106"/>
      <c r="VAT63" s="175"/>
      <c r="VAU63" s="175"/>
      <c r="VAV63" s="175"/>
      <c r="VAW63" s="175"/>
      <c r="VAX63" s="176"/>
      <c r="VAY63" s="104"/>
      <c r="VAZ63" s="106"/>
      <c r="VBA63" s="175"/>
      <c r="VBB63" s="175"/>
      <c r="VBC63" s="175"/>
      <c r="VBD63" s="175"/>
      <c r="VBE63" s="176"/>
      <c r="VBF63" s="104"/>
      <c r="VBG63" s="106"/>
      <c r="VBH63" s="175"/>
      <c r="VBI63" s="175"/>
      <c r="VBJ63" s="175"/>
      <c r="VBK63" s="175"/>
      <c r="VBL63" s="176"/>
      <c r="VBM63" s="104"/>
      <c r="VBN63" s="106"/>
      <c r="VBO63" s="175"/>
      <c r="VBP63" s="175"/>
      <c r="VBQ63" s="175"/>
      <c r="VBR63" s="175"/>
      <c r="VBS63" s="176"/>
      <c r="VBT63" s="104"/>
      <c r="VBU63" s="106"/>
      <c r="VBV63" s="175"/>
      <c r="VBW63" s="175"/>
      <c r="VBX63" s="175"/>
      <c r="VBY63" s="175"/>
      <c r="VBZ63" s="176"/>
      <c r="VCA63" s="104"/>
      <c r="VCB63" s="106"/>
      <c r="VCC63" s="175"/>
      <c r="VCD63" s="175"/>
      <c r="VCE63" s="175"/>
      <c r="VCF63" s="175"/>
      <c r="VCG63" s="176"/>
      <c r="VCH63" s="104"/>
      <c r="VCI63" s="106"/>
      <c r="VCJ63" s="175"/>
      <c r="VCK63" s="175"/>
      <c r="VCL63" s="175"/>
      <c r="VCM63" s="175"/>
      <c r="VCN63" s="176"/>
      <c r="VCO63" s="104"/>
      <c r="VCP63" s="106"/>
      <c r="VCQ63" s="175"/>
      <c r="VCR63" s="175"/>
      <c r="VCS63" s="175"/>
      <c r="VCT63" s="175"/>
      <c r="VCU63" s="176"/>
      <c r="VCV63" s="104"/>
      <c r="VCW63" s="106"/>
      <c r="VCX63" s="175"/>
      <c r="VCY63" s="175"/>
      <c r="VCZ63" s="175"/>
      <c r="VDA63" s="175"/>
      <c r="VDB63" s="176"/>
      <c r="VDC63" s="104"/>
      <c r="VDD63" s="106"/>
      <c r="VDE63" s="175"/>
      <c r="VDF63" s="175"/>
      <c r="VDG63" s="175"/>
      <c r="VDH63" s="175"/>
      <c r="VDI63" s="176"/>
      <c r="VDJ63" s="104"/>
      <c r="VDK63" s="106"/>
      <c r="VDL63" s="175"/>
      <c r="VDM63" s="175"/>
      <c r="VDN63" s="175"/>
      <c r="VDO63" s="175"/>
      <c r="VDP63" s="176"/>
      <c r="VDQ63" s="104"/>
      <c r="VDR63" s="106"/>
      <c r="VDS63" s="175"/>
      <c r="VDT63" s="175"/>
      <c r="VDU63" s="175"/>
      <c r="VDV63" s="175"/>
      <c r="VDW63" s="176"/>
      <c r="VDX63" s="104"/>
      <c r="VDY63" s="106"/>
      <c r="VDZ63" s="175"/>
      <c r="VEA63" s="175"/>
      <c r="VEB63" s="175"/>
      <c r="VEC63" s="175"/>
      <c r="VED63" s="176"/>
      <c r="VEE63" s="104"/>
      <c r="VEF63" s="106"/>
      <c r="VEG63" s="175"/>
      <c r="VEH63" s="175"/>
      <c r="VEI63" s="175"/>
      <c r="VEJ63" s="175"/>
      <c r="VEK63" s="176"/>
      <c r="VEL63" s="104"/>
      <c r="VEM63" s="106"/>
      <c r="VEN63" s="175"/>
      <c r="VEO63" s="175"/>
      <c r="VEP63" s="175"/>
      <c r="VEQ63" s="175"/>
      <c r="VER63" s="176"/>
      <c r="VES63" s="104"/>
      <c r="VET63" s="106"/>
      <c r="VEU63" s="175"/>
      <c r="VEV63" s="175"/>
      <c r="VEW63" s="175"/>
      <c r="VEX63" s="175"/>
      <c r="VEY63" s="176"/>
      <c r="VEZ63" s="104"/>
      <c r="VFA63" s="106"/>
      <c r="VFB63" s="175"/>
      <c r="VFC63" s="175"/>
      <c r="VFD63" s="175"/>
      <c r="VFE63" s="175"/>
      <c r="VFF63" s="176"/>
      <c r="VFG63" s="104"/>
      <c r="VFH63" s="106"/>
      <c r="VFI63" s="175"/>
      <c r="VFJ63" s="175"/>
      <c r="VFK63" s="175"/>
      <c r="VFL63" s="175"/>
      <c r="VFM63" s="176"/>
      <c r="VFN63" s="104"/>
      <c r="VFO63" s="106"/>
      <c r="VFP63" s="175"/>
      <c r="VFQ63" s="175"/>
      <c r="VFR63" s="175"/>
      <c r="VFS63" s="175"/>
      <c r="VFT63" s="176"/>
      <c r="VFU63" s="104"/>
      <c r="VFV63" s="106"/>
      <c r="VFW63" s="175"/>
      <c r="VFX63" s="175"/>
      <c r="VFY63" s="175"/>
      <c r="VFZ63" s="175"/>
      <c r="VGA63" s="176"/>
      <c r="VGB63" s="104"/>
      <c r="VGC63" s="106"/>
      <c r="VGD63" s="175"/>
      <c r="VGE63" s="175"/>
      <c r="VGF63" s="175"/>
      <c r="VGG63" s="175"/>
      <c r="VGH63" s="176"/>
      <c r="VGI63" s="104"/>
      <c r="VGJ63" s="106"/>
      <c r="VGK63" s="175"/>
      <c r="VGL63" s="175"/>
      <c r="VGM63" s="175"/>
      <c r="VGN63" s="175"/>
      <c r="VGO63" s="176"/>
      <c r="VGP63" s="104"/>
      <c r="VGQ63" s="106"/>
      <c r="VGR63" s="175"/>
      <c r="VGS63" s="175"/>
      <c r="VGT63" s="175"/>
      <c r="VGU63" s="175"/>
      <c r="VGV63" s="176"/>
      <c r="VGW63" s="104"/>
      <c r="VGX63" s="106"/>
      <c r="VGY63" s="175"/>
      <c r="VGZ63" s="175"/>
      <c r="VHA63" s="175"/>
      <c r="VHB63" s="175"/>
      <c r="VHC63" s="176"/>
      <c r="VHD63" s="104"/>
      <c r="VHE63" s="106"/>
      <c r="VHF63" s="175"/>
      <c r="VHG63" s="175"/>
      <c r="VHH63" s="175"/>
      <c r="VHI63" s="175"/>
      <c r="VHJ63" s="176"/>
      <c r="VHK63" s="104"/>
      <c r="VHL63" s="106"/>
      <c r="VHM63" s="175"/>
      <c r="VHN63" s="175"/>
      <c r="VHO63" s="175"/>
      <c r="VHP63" s="175"/>
      <c r="VHQ63" s="176"/>
      <c r="VHR63" s="104"/>
      <c r="VHS63" s="106"/>
      <c r="VHT63" s="175"/>
      <c r="VHU63" s="175"/>
      <c r="VHV63" s="175"/>
      <c r="VHW63" s="175"/>
      <c r="VHX63" s="176"/>
      <c r="VHY63" s="104"/>
      <c r="VHZ63" s="106"/>
      <c r="VIA63" s="175"/>
      <c r="VIB63" s="175"/>
      <c r="VIC63" s="175"/>
      <c r="VID63" s="175"/>
      <c r="VIE63" s="176"/>
      <c r="VIF63" s="104"/>
      <c r="VIG63" s="106"/>
      <c r="VIH63" s="175"/>
      <c r="VII63" s="175"/>
      <c r="VIJ63" s="175"/>
      <c r="VIK63" s="175"/>
      <c r="VIL63" s="176"/>
      <c r="VIM63" s="104"/>
      <c r="VIN63" s="106"/>
      <c r="VIO63" s="175"/>
      <c r="VIP63" s="175"/>
      <c r="VIQ63" s="175"/>
      <c r="VIR63" s="175"/>
      <c r="VIS63" s="176"/>
      <c r="VIT63" s="104"/>
      <c r="VIU63" s="106"/>
      <c r="VIV63" s="175"/>
      <c r="VIW63" s="175"/>
      <c r="VIX63" s="175"/>
      <c r="VIY63" s="175"/>
      <c r="VIZ63" s="176"/>
      <c r="VJA63" s="104"/>
      <c r="VJB63" s="106"/>
      <c r="VJC63" s="175"/>
      <c r="VJD63" s="175"/>
      <c r="VJE63" s="175"/>
      <c r="VJF63" s="175"/>
      <c r="VJG63" s="176"/>
      <c r="VJH63" s="104"/>
      <c r="VJI63" s="106"/>
      <c r="VJJ63" s="175"/>
      <c r="VJK63" s="175"/>
      <c r="VJL63" s="175"/>
      <c r="VJM63" s="175"/>
      <c r="VJN63" s="176"/>
      <c r="VJO63" s="104"/>
      <c r="VJP63" s="106"/>
      <c r="VJQ63" s="175"/>
      <c r="VJR63" s="175"/>
      <c r="VJS63" s="175"/>
      <c r="VJT63" s="175"/>
      <c r="VJU63" s="176"/>
      <c r="VJV63" s="104"/>
      <c r="VJW63" s="106"/>
      <c r="VJX63" s="175"/>
      <c r="VJY63" s="175"/>
      <c r="VJZ63" s="175"/>
      <c r="VKA63" s="175"/>
      <c r="VKB63" s="176"/>
      <c r="VKC63" s="104"/>
      <c r="VKD63" s="106"/>
      <c r="VKE63" s="175"/>
      <c r="VKF63" s="175"/>
      <c r="VKG63" s="175"/>
      <c r="VKH63" s="175"/>
      <c r="VKI63" s="176"/>
      <c r="VKJ63" s="104"/>
      <c r="VKK63" s="106"/>
      <c r="VKL63" s="175"/>
      <c r="VKM63" s="175"/>
      <c r="VKN63" s="175"/>
      <c r="VKO63" s="175"/>
      <c r="VKP63" s="176"/>
      <c r="VKQ63" s="104"/>
      <c r="VKR63" s="106"/>
      <c r="VKS63" s="175"/>
      <c r="VKT63" s="175"/>
      <c r="VKU63" s="175"/>
      <c r="VKV63" s="175"/>
      <c r="VKW63" s="176"/>
      <c r="VKX63" s="104"/>
      <c r="VKY63" s="106"/>
      <c r="VKZ63" s="175"/>
      <c r="VLA63" s="175"/>
      <c r="VLB63" s="175"/>
      <c r="VLC63" s="175"/>
      <c r="VLD63" s="176"/>
      <c r="VLE63" s="104"/>
      <c r="VLF63" s="106"/>
      <c r="VLG63" s="175"/>
      <c r="VLH63" s="175"/>
      <c r="VLI63" s="175"/>
      <c r="VLJ63" s="175"/>
      <c r="VLK63" s="176"/>
      <c r="VLL63" s="104"/>
      <c r="VLM63" s="106"/>
      <c r="VLN63" s="175"/>
      <c r="VLO63" s="175"/>
      <c r="VLP63" s="175"/>
      <c r="VLQ63" s="175"/>
      <c r="VLR63" s="176"/>
      <c r="VLS63" s="104"/>
      <c r="VLT63" s="106"/>
      <c r="VLU63" s="175"/>
      <c r="VLV63" s="175"/>
      <c r="VLW63" s="175"/>
      <c r="VLX63" s="175"/>
      <c r="VLY63" s="176"/>
      <c r="VLZ63" s="104"/>
      <c r="VMA63" s="106"/>
      <c r="VMB63" s="175"/>
      <c r="VMC63" s="175"/>
      <c r="VMD63" s="175"/>
      <c r="VME63" s="175"/>
      <c r="VMF63" s="176"/>
      <c r="VMG63" s="104"/>
      <c r="VMH63" s="106"/>
      <c r="VMI63" s="175"/>
      <c r="VMJ63" s="175"/>
      <c r="VMK63" s="175"/>
      <c r="VML63" s="175"/>
      <c r="VMM63" s="176"/>
      <c r="VMN63" s="104"/>
      <c r="VMO63" s="106"/>
      <c r="VMP63" s="175"/>
      <c r="VMQ63" s="175"/>
      <c r="VMR63" s="175"/>
      <c r="VMS63" s="175"/>
      <c r="VMT63" s="176"/>
      <c r="VMU63" s="104"/>
      <c r="VMV63" s="106"/>
      <c r="VMW63" s="175"/>
      <c r="VMX63" s="175"/>
      <c r="VMY63" s="175"/>
      <c r="VMZ63" s="175"/>
      <c r="VNA63" s="176"/>
      <c r="VNB63" s="104"/>
      <c r="VNC63" s="106"/>
      <c r="VND63" s="175"/>
      <c r="VNE63" s="175"/>
      <c r="VNF63" s="175"/>
      <c r="VNG63" s="175"/>
      <c r="VNH63" s="176"/>
      <c r="VNI63" s="104"/>
      <c r="VNJ63" s="106"/>
      <c r="VNK63" s="175"/>
      <c r="VNL63" s="175"/>
      <c r="VNM63" s="175"/>
      <c r="VNN63" s="175"/>
      <c r="VNO63" s="176"/>
      <c r="VNP63" s="104"/>
      <c r="VNQ63" s="106"/>
      <c r="VNR63" s="175"/>
      <c r="VNS63" s="175"/>
      <c r="VNT63" s="175"/>
      <c r="VNU63" s="175"/>
      <c r="VNV63" s="176"/>
      <c r="VNW63" s="104"/>
      <c r="VNX63" s="106"/>
      <c r="VNY63" s="175"/>
      <c r="VNZ63" s="175"/>
      <c r="VOA63" s="175"/>
      <c r="VOB63" s="175"/>
      <c r="VOC63" s="176"/>
      <c r="VOD63" s="104"/>
      <c r="VOE63" s="106"/>
      <c r="VOF63" s="175"/>
      <c r="VOG63" s="175"/>
      <c r="VOH63" s="175"/>
      <c r="VOI63" s="175"/>
      <c r="VOJ63" s="176"/>
      <c r="VOK63" s="104"/>
      <c r="VOL63" s="106"/>
      <c r="VOM63" s="175"/>
      <c r="VON63" s="175"/>
      <c r="VOO63" s="175"/>
      <c r="VOP63" s="175"/>
      <c r="VOQ63" s="176"/>
      <c r="VOR63" s="104"/>
      <c r="VOS63" s="106"/>
      <c r="VOT63" s="175"/>
      <c r="VOU63" s="175"/>
      <c r="VOV63" s="175"/>
      <c r="VOW63" s="175"/>
      <c r="VOX63" s="176"/>
      <c r="VOY63" s="104"/>
      <c r="VOZ63" s="106"/>
      <c r="VPA63" s="175"/>
      <c r="VPB63" s="175"/>
      <c r="VPC63" s="175"/>
      <c r="VPD63" s="175"/>
      <c r="VPE63" s="176"/>
      <c r="VPF63" s="104"/>
      <c r="VPG63" s="106"/>
      <c r="VPH63" s="175"/>
      <c r="VPI63" s="175"/>
      <c r="VPJ63" s="175"/>
      <c r="VPK63" s="175"/>
      <c r="VPL63" s="176"/>
      <c r="VPM63" s="104"/>
      <c r="VPN63" s="106"/>
      <c r="VPO63" s="175"/>
      <c r="VPP63" s="175"/>
      <c r="VPQ63" s="175"/>
      <c r="VPR63" s="175"/>
      <c r="VPS63" s="176"/>
      <c r="VPT63" s="104"/>
      <c r="VPU63" s="106"/>
      <c r="VPV63" s="175"/>
      <c r="VPW63" s="175"/>
      <c r="VPX63" s="175"/>
      <c r="VPY63" s="175"/>
      <c r="VPZ63" s="176"/>
      <c r="VQA63" s="104"/>
      <c r="VQB63" s="106"/>
      <c r="VQC63" s="175"/>
      <c r="VQD63" s="175"/>
      <c r="VQE63" s="175"/>
      <c r="VQF63" s="175"/>
      <c r="VQG63" s="176"/>
      <c r="VQH63" s="104"/>
      <c r="VQI63" s="106"/>
      <c r="VQJ63" s="175"/>
      <c r="VQK63" s="175"/>
      <c r="VQL63" s="175"/>
      <c r="VQM63" s="175"/>
      <c r="VQN63" s="176"/>
      <c r="VQO63" s="104"/>
      <c r="VQP63" s="106"/>
      <c r="VQQ63" s="175"/>
      <c r="VQR63" s="175"/>
      <c r="VQS63" s="175"/>
      <c r="VQT63" s="175"/>
      <c r="VQU63" s="176"/>
      <c r="VQV63" s="104"/>
      <c r="VQW63" s="106"/>
      <c r="VQX63" s="175"/>
      <c r="VQY63" s="175"/>
      <c r="VQZ63" s="175"/>
      <c r="VRA63" s="175"/>
      <c r="VRB63" s="176"/>
      <c r="VRC63" s="104"/>
      <c r="VRD63" s="106"/>
      <c r="VRE63" s="175"/>
      <c r="VRF63" s="175"/>
      <c r="VRG63" s="175"/>
      <c r="VRH63" s="175"/>
      <c r="VRI63" s="176"/>
      <c r="VRJ63" s="104"/>
      <c r="VRK63" s="106"/>
      <c r="VRL63" s="175"/>
      <c r="VRM63" s="175"/>
      <c r="VRN63" s="175"/>
      <c r="VRO63" s="175"/>
      <c r="VRP63" s="176"/>
      <c r="VRQ63" s="104"/>
      <c r="VRR63" s="106"/>
      <c r="VRS63" s="175"/>
      <c r="VRT63" s="175"/>
      <c r="VRU63" s="175"/>
      <c r="VRV63" s="175"/>
      <c r="VRW63" s="176"/>
      <c r="VRX63" s="104"/>
      <c r="VRY63" s="106"/>
      <c r="VRZ63" s="175"/>
      <c r="VSA63" s="175"/>
      <c r="VSB63" s="175"/>
      <c r="VSC63" s="175"/>
      <c r="VSD63" s="176"/>
      <c r="VSE63" s="104"/>
      <c r="VSF63" s="106"/>
      <c r="VSG63" s="175"/>
      <c r="VSH63" s="175"/>
      <c r="VSI63" s="175"/>
      <c r="VSJ63" s="175"/>
      <c r="VSK63" s="176"/>
      <c r="VSL63" s="104"/>
      <c r="VSM63" s="106"/>
      <c r="VSN63" s="175"/>
      <c r="VSO63" s="175"/>
      <c r="VSP63" s="175"/>
      <c r="VSQ63" s="175"/>
      <c r="VSR63" s="176"/>
      <c r="VSS63" s="104"/>
      <c r="VST63" s="106"/>
      <c r="VSU63" s="175"/>
      <c r="VSV63" s="175"/>
      <c r="VSW63" s="175"/>
      <c r="VSX63" s="175"/>
      <c r="VSY63" s="176"/>
      <c r="VSZ63" s="104"/>
      <c r="VTA63" s="106"/>
      <c r="VTB63" s="175"/>
      <c r="VTC63" s="175"/>
      <c r="VTD63" s="175"/>
      <c r="VTE63" s="175"/>
      <c r="VTF63" s="176"/>
      <c r="VTG63" s="104"/>
      <c r="VTH63" s="106"/>
      <c r="VTI63" s="175"/>
      <c r="VTJ63" s="175"/>
      <c r="VTK63" s="175"/>
      <c r="VTL63" s="175"/>
      <c r="VTM63" s="176"/>
      <c r="VTN63" s="104"/>
      <c r="VTO63" s="106"/>
      <c r="VTP63" s="175"/>
      <c r="VTQ63" s="175"/>
      <c r="VTR63" s="175"/>
      <c r="VTS63" s="175"/>
      <c r="VTT63" s="176"/>
      <c r="VTU63" s="104"/>
      <c r="VTV63" s="106"/>
      <c r="VTW63" s="175"/>
      <c r="VTX63" s="175"/>
      <c r="VTY63" s="175"/>
      <c r="VTZ63" s="175"/>
      <c r="VUA63" s="176"/>
      <c r="VUB63" s="104"/>
      <c r="VUC63" s="106"/>
      <c r="VUD63" s="175"/>
      <c r="VUE63" s="175"/>
      <c r="VUF63" s="175"/>
      <c r="VUG63" s="175"/>
      <c r="VUH63" s="176"/>
      <c r="VUI63" s="104"/>
      <c r="VUJ63" s="106"/>
      <c r="VUK63" s="175"/>
      <c r="VUL63" s="175"/>
      <c r="VUM63" s="175"/>
      <c r="VUN63" s="175"/>
      <c r="VUO63" s="176"/>
      <c r="VUP63" s="104"/>
      <c r="VUQ63" s="106"/>
      <c r="VUR63" s="175"/>
      <c r="VUS63" s="175"/>
      <c r="VUT63" s="175"/>
      <c r="VUU63" s="175"/>
      <c r="VUV63" s="176"/>
      <c r="VUW63" s="104"/>
      <c r="VUX63" s="106"/>
      <c r="VUY63" s="175"/>
      <c r="VUZ63" s="175"/>
      <c r="VVA63" s="175"/>
      <c r="VVB63" s="175"/>
      <c r="VVC63" s="176"/>
      <c r="VVD63" s="104"/>
      <c r="VVE63" s="106"/>
      <c r="VVF63" s="175"/>
      <c r="VVG63" s="175"/>
      <c r="VVH63" s="175"/>
      <c r="VVI63" s="175"/>
      <c r="VVJ63" s="176"/>
      <c r="VVK63" s="104"/>
      <c r="VVL63" s="106"/>
      <c r="VVM63" s="175"/>
      <c r="VVN63" s="175"/>
      <c r="VVO63" s="175"/>
      <c r="VVP63" s="175"/>
      <c r="VVQ63" s="176"/>
      <c r="VVR63" s="104"/>
      <c r="VVS63" s="106"/>
      <c r="VVT63" s="175"/>
      <c r="VVU63" s="175"/>
      <c r="VVV63" s="175"/>
      <c r="VVW63" s="175"/>
      <c r="VVX63" s="176"/>
      <c r="VVY63" s="104"/>
      <c r="VVZ63" s="106"/>
      <c r="VWA63" s="175"/>
      <c r="VWB63" s="175"/>
      <c r="VWC63" s="175"/>
      <c r="VWD63" s="175"/>
      <c r="VWE63" s="176"/>
      <c r="VWF63" s="104"/>
      <c r="VWG63" s="106"/>
      <c r="VWH63" s="175"/>
      <c r="VWI63" s="175"/>
      <c r="VWJ63" s="175"/>
      <c r="VWK63" s="175"/>
      <c r="VWL63" s="176"/>
      <c r="VWM63" s="104"/>
      <c r="VWN63" s="106"/>
      <c r="VWO63" s="175"/>
      <c r="VWP63" s="175"/>
      <c r="VWQ63" s="175"/>
      <c r="VWR63" s="175"/>
      <c r="VWS63" s="176"/>
      <c r="VWT63" s="104"/>
      <c r="VWU63" s="106"/>
      <c r="VWV63" s="175"/>
      <c r="VWW63" s="175"/>
      <c r="VWX63" s="175"/>
      <c r="VWY63" s="175"/>
      <c r="VWZ63" s="176"/>
      <c r="VXA63" s="104"/>
      <c r="VXB63" s="106"/>
      <c r="VXC63" s="175"/>
      <c r="VXD63" s="175"/>
      <c r="VXE63" s="175"/>
      <c r="VXF63" s="175"/>
      <c r="VXG63" s="176"/>
      <c r="VXH63" s="104"/>
      <c r="VXI63" s="106"/>
      <c r="VXJ63" s="175"/>
      <c r="VXK63" s="175"/>
      <c r="VXL63" s="175"/>
      <c r="VXM63" s="175"/>
      <c r="VXN63" s="176"/>
      <c r="VXO63" s="104"/>
      <c r="VXP63" s="106"/>
      <c r="VXQ63" s="175"/>
      <c r="VXR63" s="175"/>
      <c r="VXS63" s="175"/>
      <c r="VXT63" s="175"/>
      <c r="VXU63" s="176"/>
      <c r="VXV63" s="104"/>
      <c r="VXW63" s="106"/>
      <c r="VXX63" s="175"/>
      <c r="VXY63" s="175"/>
      <c r="VXZ63" s="175"/>
      <c r="VYA63" s="175"/>
      <c r="VYB63" s="176"/>
      <c r="VYC63" s="104"/>
      <c r="VYD63" s="106"/>
      <c r="VYE63" s="175"/>
      <c r="VYF63" s="175"/>
      <c r="VYG63" s="175"/>
      <c r="VYH63" s="175"/>
      <c r="VYI63" s="176"/>
      <c r="VYJ63" s="104"/>
      <c r="VYK63" s="106"/>
      <c r="VYL63" s="175"/>
      <c r="VYM63" s="175"/>
      <c r="VYN63" s="175"/>
      <c r="VYO63" s="175"/>
      <c r="VYP63" s="176"/>
      <c r="VYQ63" s="104"/>
      <c r="VYR63" s="106"/>
      <c r="VYS63" s="175"/>
      <c r="VYT63" s="175"/>
      <c r="VYU63" s="175"/>
      <c r="VYV63" s="175"/>
      <c r="VYW63" s="176"/>
      <c r="VYX63" s="104"/>
      <c r="VYY63" s="106"/>
      <c r="VYZ63" s="175"/>
      <c r="VZA63" s="175"/>
      <c r="VZB63" s="175"/>
      <c r="VZC63" s="175"/>
      <c r="VZD63" s="176"/>
      <c r="VZE63" s="104"/>
      <c r="VZF63" s="106"/>
      <c r="VZG63" s="175"/>
      <c r="VZH63" s="175"/>
      <c r="VZI63" s="175"/>
      <c r="VZJ63" s="175"/>
      <c r="VZK63" s="176"/>
      <c r="VZL63" s="104"/>
      <c r="VZM63" s="106"/>
      <c r="VZN63" s="175"/>
      <c r="VZO63" s="175"/>
      <c r="VZP63" s="175"/>
      <c r="VZQ63" s="175"/>
      <c r="VZR63" s="176"/>
      <c r="VZS63" s="104"/>
      <c r="VZT63" s="106"/>
      <c r="VZU63" s="175"/>
      <c r="VZV63" s="175"/>
      <c r="VZW63" s="175"/>
      <c r="VZX63" s="175"/>
      <c r="VZY63" s="176"/>
      <c r="VZZ63" s="104"/>
      <c r="WAA63" s="106"/>
      <c r="WAB63" s="175"/>
      <c r="WAC63" s="175"/>
      <c r="WAD63" s="175"/>
      <c r="WAE63" s="175"/>
      <c r="WAF63" s="176"/>
      <c r="WAG63" s="104"/>
      <c r="WAH63" s="106"/>
      <c r="WAI63" s="175"/>
      <c r="WAJ63" s="175"/>
      <c r="WAK63" s="175"/>
      <c r="WAL63" s="175"/>
      <c r="WAM63" s="176"/>
      <c r="WAN63" s="104"/>
      <c r="WAO63" s="106"/>
      <c r="WAP63" s="175"/>
      <c r="WAQ63" s="175"/>
      <c r="WAR63" s="175"/>
      <c r="WAS63" s="175"/>
      <c r="WAT63" s="176"/>
      <c r="WAU63" s="104"/>
      <c r="WAV63" s="106"/>
      <c r="WAW63" s="175"/>
      <c r="WAX63" s="175"/>
      <c r="WAY63" s="175"/>
      <c r="WAZ63" s="175"/>
      <c r="WBA63" s="176"/>
      <c r="WBB63" s="104"/>
      <c r="WBC63" s="106"/>
      <c r="WBD63" s="175"/>
      <c r="WBE63" s="175"/>
      <c r="WBF63" s="175"/>
      <c r="WBG63" s="175"/>
      <c r="WBH63" s="176"/>
      <c r="WBI63" s="104"/>
      <c r="WBJ63" s="106"/>
      <c r="WBK63" s="175"/>
      <c r="WBL63" s="175"/>
      <c r="WBM63" s="175"/>
      <c r="WBN63" s="175"/>
      <c r="WBO63" s="176"/>
      <c r="WBP63" s="104"/>
      <c r="WBQ63" s="106"/>
      <c r="WBR63" s="175"/>
      <c r="WBS63" s="175"/>
      <c r="WBT63" s="175"/>
      <c r="WBU63" s="175"/>
      <c r="WBV63" s="176"/>
      <c r="WBW63" s="104"/>
      <c r="WBX63" s="106"/>
      <c r="WBY63" s="175"/>
      <c r="WBZ63" s="175"/>
      <c r="WCA63" s="175"/>
      <c r="WCB63" s="175"/>
      <c r="WCC63" s="176"/>
      <c r="WCD63" s="104"/>
      <c r="WCE63" s="106"/>
      <c r="WCF63" s="175"/>
      <c r="WCG63" s="175"/>
      <c r="WCH63" s="175"/>
      <c r="WCI63" s="175"/>
      <c r="WCJ63" s="176"/>
      <c r="WCK63" s="104"/>
      <c r="WCL63" s="106"/>
      <c r="WCM63" s="175"/>
      <c r="WCN63" s="175"/>
      <c r="WCO63" s="175"/>
      <c r="WCP63" s="175"/>
      <c r="WCQ63" s="176"/>
      <c r="WCR63" s="104"/>
      <c r="WCS63" s="106"/>
      <c r="WCT63" s="175"/>
      <c r="WCU63" s="175"/>
      <c r="WCV63" s="175"/>
      <c r="WCW63" s="175"/>
      <c r="WCX63" s="176"/>
      <c r="WCY63" s="104"/>
      <c r="WCZ63" s="106"/>
      <c r="WDA63" s="175"/>
      <c r="WDB63" s="175"/>
      <c r="WDC63" s="175"/>
      <c r="WDD63" s="175"/>
      <c r="WDE63" s="176"/>
      <c r="WDF63" s="104"/>
      <c r="WDG63" s="106"/>
      <c r="WDH63" s="175"/>
      <c r="WDI63" s="175"/>
      <c r="WDJ63" s="175"/>
      <c r="WDK63" s="175"/>
      <c r="WDL63" s="176"/>
      <c r="WDM63" s="104"/>
      <c r="WDN63" s="106"/>
      <c r="WDO63" s="175"/>
      <c r="WDP63" s="175"/>
      <c r="WDQ63" s="175"/>
      <c r="WDR63" s="175"/>
      <c r="WDS63" s="176"/>
      <c r="WDT63" s="104"/>
      <c r="WDU63" s="106"/>
      <c r="WDV63" s="175"/>
      <c r="WDW63" s="175"/>
      <c r="WDX63" s="175"/>
      <c r="WDY63" s="175"/>
      <c r="WDZ63" s="176"/>
      <c r="WEA63" s="104"/>
      <c r="WEB63" s="106"/>
      <c r="WEC63" s="175"/>
      <c r="WED63" s="175"/>
      <c r="WEE63" s="175"/>
      <c r="WEF63" s="175"/>
      <c r="WEG63" s="176"/>
      <c r="WEH63" s="104"/>
      <c r="WEI63" s="106"/>
      <c r="WEJ63" s="175"/>
      <c r="WEK63" s="175"/>
      <c r="WEL63" s="175"/>
      <c r="WEM63" s="175"/>
      <c r="WEN63" s="176"/>
      <c r="WEO63" s="104"/>
      <c r="WEP63" s="106"/>
      <c r="WEQ63" s="175"/>
      <c r="WER63" s="175"/>
      <c r="WES63" s="175"/>
      <c r="WET63" s="175"/>
      <c r="WEU63" s="176"/>
      <c r="WEV63" s="104"/>
      <c r="WEW63" s="106"/>
      <c r="WEX63" s="175"/>
      <c r="WEY63" s="175"/>
      <c r="WEZ63" s="175"/>
      <c r="WFA63" s="175"/>
      <c r="WFB63" s="176"/>
      <c r="WFC63" s="104"/>
      <c r="WFD63" s="106"/>
      <c r="WFE63" s="175"/>
      <c r="WFF63" s="175"/>
      <c r="WFG63" s="175"/>
      <c r="WFH63" s="175"/>
      <c r="WFI63" s="176"/>
      <c r="WFJ63" s="104"/>
      <c r="WFK63" s="106"/>
      <c r="WFL63" s="175"/>
      <c r="WFM63" s="175"/>
      <c r="WFN63" s="175"/>
      <c r="WFO63" s="175"/>
      <c r="WFP63" s="176"/>
      <c r="WFQ63" s="104"/>
      <c r="WFR63" s="106"/>
      <c r="WFS63" s="175"/>
      <c r="WFT63" s="175"/>
      <c r="WFU63" s="175"/>
      <c r="WFV63" s="175"/>
      <c r="WFW63" s="176"/>
      <c r="WFX63" s="104"/>
      <c r="WFY63" s="106"/>
      <c r="WFZ63" s="175"/>
      <c r="WGA63" s="175"/>
      <c r="WGB63" s="175"/>
      <c r="WGC63" s="175"/>
      <c r="WGD63" s="176"/>
      <c r="WGE63" s="104"/>
      <c r="WGF63" s="106"/>
      <c r="WGG63" s="175"/>
      <c r="WGH63" s="175"/>
      <c r="WGI63" s="175"/>
      <c r="WGJ63" s="175"/>
      <c r="WGK63" s="176"/>
      <c r="WGL63" s="104"/>
      <c r="WGM63" s="106"/>
      <c r="WGN63" s="175"/>
      <c r="WGO63" s="175"/>
      <c r="WGP63" s="175"/>
      <c r="WGQ63" s="175"/>
      <c r="WGR63" s="176"/>
      <c r="WGS63" s="104"/>
      <c r="WGT63" s="106"/>
      <c r="WGU63" s="175"/>
      <c r="WGV63" s="175"/>
      <c r="WGW63" s="175"/>
      <c r="WGX63" s="175"/>
      <c r="WGY63" s="176"/>
      <c r="WGZ63" s="104"/>
      <c r="WHA63" s="106"/>
      <c r="WHB63" s="175"/>
      <c r="WHC63" s="175"/>
      <c r="WHD63" s="175"/>
      <c r="WHE63" s="175"/>
      <c r="WHF63" s="176"/>
      <c r="WHG63" s="104"/>
      <c r="WHH63" s="106"/>
      <c r="WHI63" s="175"/>
      <c r="WHJ63" s="175"/>
      <c r="WHK63" s="175"/>
      <c r="WHL63" s="175"/>
      <c r="WHM63" s="176"/>
      <c r="WHN63" s="104"/>
      <c r="WHO63" s="106"/>
      <c r="WHP63" s="175"/>
      <c r="WHQ63" s="175"/>
      <c r="WHR63" s="175"/>
      <c r="WHS63" s="175"/>
      <c r="WHT63" s="176"/>
      <c r="WHU63" s="104"/>
      <c r="WHV63" s="106"/>
      <c r="WHW63" s="175"/>
      <c r="WHX63" s="175"/>
      <c r="WHY63" s="175"/>
      <c r="WHZ63" s="175"/>
      <c r="WIA63" s="176"/>
      <c r="WIB63" s="104"/>
      <c r="WIC63" s="106"/>
      <c r="WID63" s="175"/>
      <c r="WIE63" s="175"/>
      <c r="WIF63" s="175"/>
      <c r="WIG63" s="175"/>
      <c r="WIH63" s="176"/>
      <c r="WII63" s="104"/>
      <c r="WIJ63" s="106"/>
      <c r="WIK63" s="175"/>
      <c r="WIL63" s="175"/>
      <c r="WIM63" s="175"/>
      <c r="WIN63" s="175"/>
      <c r="WIO63" s="176"/>
      <c r="WIP63" s="104"/>
      <c r="WIQ63" s="106"/>
      <c r="WIR63" s="175"/>
      <c r="WIS63" s="175"/>
      <c r="WIT63" s="175"/>
      <c r="WIU63" s="175"/>
      <c r="WIV63" s="176"/>
      <c r="WIW63" s="104"/>
      <c r="WIX63" s="106"/>
      <c r="WIY63" s="175"/>
      <c r="WIZ63" s="175"/>
      <c r="WJA63" s="175"/>
      <c r="WJB63" s="175"/>
      <c r="WJC63" s="176"/>
      <c r="WJD63" s="104"/>
      <c r="WJE63" s="106"/>
      <c r="WJF63" s="175"/>
      <c r="WJG63" s="175"/>
      <c r="WJH63" s="175"/>
      <c r="WJI63" s="175"/>
      <c r="WJJ63" s="176"/>
      <c r="WJK63" s="104"/>
      <c r="WJL63" s="106"/>
      <c r="WJM63" s="175"/>
      <c r="WJN63" s="175"/>
      <c r="WJO63" s="175"/>
      <c r="WJP63" s="175"/>
      <c r="WJQ63" s="176"/>
      <c r="WJR63" s="104"/>
      <c r="WJS63" s="106"/>
      <c r="WJT63" s="175"/>
      <c r="WJU63" s="175"/>
      <c r="WJV63" s="175"/>
      <c r="WJW63" s="175"/>
      <c r="WJX63" s="176"/>
      <c r="WJY63" s="104"/>
      <c r="WJZ63" s="106"/>
      <c r="WKA63" s="175"/>
      <c r="WKB63" s="175"/>
      <c r="WKC63" s="175"/>
      <c r="WKD63" s="175"/>
      <c r="WKE63" s="176"/>
      <c r="WKF63" s="104"/>
      <c r="WKG63" s="106"/>
      <c r="WKH63" s="175"/>
      <c r="WKI63" s="175"/>
      <c r="WKJ63" s="175"/>
      <c r="WKK63" s="175"/>
      <c r="WKL63" s="176"/>
      <c r="WKM63" s="104"/>
      <c r="WKN63" s="106"/>
      <c r="WKO63" s="175"/>
      <c r="WKP63" s="175"/>
      <c r="WKQ63" s="175"/>
      <c r="WKR63" s="175"/>
      <c r="WKS63" s="176"/>
      <c r="WKT63" s="104"/>
      <c r="WKU63" s="106"/>
      <c r="WKV63" s="175"/>
      <c r="WKW63" s="175"/>
      <c r="WKX63" s="175"/>
      <c r="WKY63" s="175"/>
      <c r="WKZ63" s="176"/>
      <c r="WLA63" s="104"/>
      <c r="WLB63" s="106"/>
      <c r="WLC63" s="175"/>
      <c r="WLD63" s="175"/>
      <c r="WLE63" s="175"/>
      <c r="WLF63" s="175"/>
      <c r="WLG63" s="176"/>
      <c r="WLH63" s="104"/>
      <c r="WLI63" s="106"/>
      <c r="WLJ63" s="175"/>
      <c r="WLK63" s="175"/>
      <c r="WLL63" s="175"/>
      <c r="WLM63" s="175"/>
      <c r="WLN63" s="176"/>
      <c r="WLO63" s="104"/>
      <c r="WLP63" s="106"/>
      <c r="WLQ63" s="175"/>
      <c r="WLR63" s="175"/>
      <c r="WLS63" s="175"/>
      <c r="WLT63" s="175"/>
      <c r="WLU63" s="176"/>
      <c r="WLV63" s="104"/>
      <c r="WLW63" s="106"/>
      <c r="WLX63" s="175"/>
      <c r="WLY63" s="175"/>
      <c r="WLZ63" s="175"/>
      <c r="WMA63" s="175"/>
      <c r="WMB63" s="176"/>
      <c r="WMC63" s="104"/>
      <c r="WMD63" s="106"/>
      <c r="WME63" s="175"/>
      <c r="WMF63" s="175"/>
      <c r="WMG63" s="175"/>
      <c r="WMH63" s="175"/>
      <c r="WMI63" s="176"/>
      <c r="WMJ63" s="104"/>
      <c r="WMK63" s="106"/>
      <c r="WML63" s="175"/>
      <c r="WMM63" s="175"/>
      <c r="WMN63" s="175"/>
      <c r="WMO63" s="175"/>
      <c r="WMP63" s="176"/>
      <c r="WMQ63" s="104"/>
      <c r="WMR63" s="106"/>
      <c r="WMS63" s="175"/>
      <c r="WMT63" s="175"/>
      <c r="WMU63" s="175"/>
      <c r="WMV63" s="175"/>
      <c r="WMW63" s="176"/>
      <c r="WMX63" s="104"/>
      <c r="WMY63" s="106"/>
      <c r="WMZ63" s="175"/>
      <c r="WNA63" s="175"/>
      <c r="WNB63" s="175"/>
      <c r="WNC63" s="175"/>
      <c r="WND63" s="176"/>
      <c r="WNE63" s="104"/>
      <c r="WNF63" s="106"/>
      <c r="WNG63" s="175"/>
      <c r="WNH63" s="175"/>
      <c r="WNI63" s="175"/>
      <c r="WNJ63" s="175"/>
      <c r="WNK63" s="176"/>
      <c r="WNL63" s="104"/>
      <c r="WNM63" s="106"/>
      <c r="WNN63" s="175"/>
      <c r="WNO63" s="175"/>
      <c r="WNP63" s="175"/>
      <c r="WNQ63" s="175"/>
      <c r="WNR63" s="176"/>
      <c r="WNS63" s="104"/>
      <c r="WNT63" s="106"/>
      <c r="WNU63" s="175"/>
      <c r="WNV63" s="175"/>
      <c r="WNW63" s="175"/>
      <c r="WNX63" s="175"/>
      <c r="WNY63" s="176"/>
      <c r="WNZ63" s="104"/>
      <c r="WOA63" s="106"/>
      <c r="WOB63" s="175"/>
      <c r="WOC63" s="175"/>
      <c r="WOD63" s="175"/>
      <c r="WOE63" s="175"/>
      <c r="WOF63" s="176"/>
      <c r="WOG63" s="104"/>
      <c r="WOH63" s="106"/>
      <c r="WOI63" s="175"/>
      <c r="WOJ63" s="175"/>
      <c r="WOK63" s="175"/>
      <c r="WOL63" s="175"/>
      <c r="WOM63" s="176"/>
      <c r="WON63" s="104"/>
      <c r="WOO63" s="106"/>
      <c r="WOP63" s="175"/>
      <c r="WOQ63" s="175"/>
      <c r="WOR63" s="175"/>
      <c r="WOS63" s="175"/>
      <c r="WOT63" s="176"/>
      <c r="WOU63" s="104"/>
      <c r="WOV63" s="106"/>
      <c r="WOW63" s="175"/>
      <c r="WOX63" s="175"/>
      <c r="WOY63" s="175"/>
      <c r="WOZ63" s="175"/>
      <c r="WPA63" s="176"/>
      <c r="WPB63" s="104"/>
      <c r="WPC63" s="106"/>
      <c r="WPD63" s="175"/>
      <c r="WPE63" s="175"/>
      <c r="WPF63" s="175"/>
      <c r="WPG63" s="175"/>
      <c r="WPH63" s="176"/>
      <c r="WPI63" s="104"/>
      <c r="WPJ63" s="106"/>
      <c r="WPK63" s="175"/>
      <c r="WPL63" s="175"/>
      <c r="WPM63" s="175"/>
      <c r="WPN63" s="175"/>
      <c r="WPO63" s="176"/>
      <c r="WPP63" s="104"/>
      <c r="WPQ63" s="106"/>
      <c r="WPR63" s="175"/>
      <c r="WPS63" s="175"/>
      <c r="WPT63" s="175"/>
      <c r="WPU63" s="175"/>
      <c r="WPV63" s="176"/>
      <c r="WPW63" s="104"/>
      <c r="WPX63" s="106"/>
      <c r="WPY63" s="175"/>
      <c r="WPZ63" s="175"/>
      <c r="WQA63" s="175"/>
      <c r="WQB63" s="175"/>
      <c r="WQC63" s="176"/>
      <c r="WQD63" s="104"/>
      <c r="WQE63" s="106"/>
      <c r="WQF63" s="175"/>
      <c r="WQG63" s="175"/>
      <c r="WQH63" s="175"/>
      <c r="WQI63" s="175"/>
      <c r="WQJ63" s="176"/>
      <c r="WQK63" s="104"/>
      <c r="WQL63" s="106"/>
      <c r="WQM63" s="175"/>
      <c r="WQN63" s="175"/>
      <c r="WQO63" s="175"/>
      <c r="WQP63" s="175"/>
      <c r="WQQ63" s="176"/>
      <c r="WQR63" s="104"/>
      <c r="WQS63" s="106"/>
      <c r="WQT63" s="175"/>
      <c r="WQU63" s="175"/>
      <c r="WQV63" s="175"/>
      <c r="WQW63" s="175"/>
      <c r="WQX63" s="176"/>
      <c r="WQY63" s="104"/>
      <c r="WQZ63" s="106"/>
      <c r="WRA63" s="175"/>
      <c r="WRB63" s="175"/>
      <c r="WRC63" s="175"/>
      <c r="WRD63" s="175"/>
      <c r="WRE63" s="176"/>
      <c r="WRF63" s="104"/>
      <c r="WRG63" s="106"/>
      <c r="WRH63" s="175"/>
      <c r="WRI63" s="175"/>
      <c r="WRJ63" s="175"/>
      <c r="WRK63" s="175"/>
      <c r="WRL63" s="176"/>
      <c r="WRM63" s="104"/>
      <c r="WRN63" s="106"/>
      <c r="WRO63" s="175"/>
      <c r="WRP63" s="175"/>
      <c r="WRQ63" s="175"/>
      <c r="WRR63" s="175"/>
      <c r="WRS63" s="176"/>
      <c r="WRT63" s="104"/>
      <c r="WRU63" s="106"/>
      <c r="WRV63" s="175"/>
      <c r="WRW63" s="175"/>
      <c r="WRX63" s="175"/>
      <c r="WRY63" s="175"/>
      <c r="WRZ63" s="176"/>
      <c r="WSA63" s="104"/>
      <c r="WSB63" s="106"/>
      <c r="WSC63" s="175"/>
      <c r="WSD63" s="175"/>
      <c r="WSE63" s="175"/>
      <c r="WSF63" s="175"/>
      <c r="WSG63" s="176"/>
      <c r="WSH63" s="104"/>
      <c r="WSI63" s="106"/>
      <c r="WSJ63" s="175"/>
      <c r="WSK63" s="175"/>
      <c r="WSL63" s="175"/>
      <c r="WSM63" s="175"/>
      <c r="WSN63" s="176"/>
      <c r="WSO63" s="104"/>
      <c r="WSP63" s="106"/>
      <c r="WSQ63" s="175"/>
      <c r="WSR63" s="175"/>
      <c r="WSS63" s="175"/>
      <c r="WST63" s="175"/>
      <c r="WSU63" s="176"/>
      <c r="WSV63" s="104"/>
      <c r="WSW63" s="106"/>
      <c r="WSX63" s="175"/>
      <c r="WSY63" s="175"/>
      <c r="WSZ63" s="175"/>
      <c r="WTA63" s="175"/>
      <c r="WTB63" s="176"/>
      <c r="WTC63" s="104"/>
      <c r="WTD63" s="106"/>
      <c r="WTE63" s="175"/>
      <c r="WTF63" s="175"/>
      <c r="WTG63" s="175"/>
      <c r="WTH63" s="175"/>
      <c r="WTI63" s="176"/>
      <c r="WTJ63" s="104"/>
      <c r="WTK63" s="106"/>
      <c r="WTL63" s="175"/>
      <c r="WTM63" s="175"/>
      <c r="WTN63" s="175"/>
      <c r="WTO63" s="175"/>
      <c r="WTP63" s="176"/>
      <c r="WTQ63" s="104"/>
      <c r="WTR63" s="106"/>
      <c r="WTS63" s="175"/>
      <c r="WTT63" s="175"/>
      <c r="WTU63" s="175"/>
      <c r="WTV63" s="175"/>
      <c r="WTW63" s="176"/>
      <c r="WTX63" s="104"/>
      <c r="WTY63" s="106"/>
      <c r="WTZ63" s="175"/>
      <c r="WUA63" s="175"/>
      <c r="WUB63" s="175"/>
      <c r="WUC63" s="175"/>
      <c r="WUD63" s="176"/>
      <c r="WUE63" s="104"/>
      <c r="WUF63" s="106"/>
      <c r="WUG63" s="175"/>
      <c r="WUH63" s="175"/>
      <c r="WUI63" s="175"/>
      <c r="WUJ63" s="175"/>
      <c r="WUK63" s="176"/>
      <c r="WUL63" s="104"/>
      <c r="WUM63" s="106"/>
      <c r="WUN63" s="175"/>
      <c r="WUO63" s="175"/>
      <c r="WUP63" s="175"/>
      <c r="WUQ63" s="175"/>
      <c r="WUR63" s="176"/>
      <c r="WUS63" s="104"/>
      <c r="WUT63" s="106"/>
      <c r="WUU63" s="175"/>
      <c r="WUV63" s="175"/>
      <c r="WUW63" s="175"/>
      <c r="WUX63" s="175"/>
      <c r="WUY63" s="176"/>
      <c r="WUZ63" s="104"/>
      <c r="WVA63" s="106"/>
      <c r="WVB63" s="175"/>
      <c r="WVC63" s="175"/>
      <c r="WVD63" s="175"/>
      <c r="WVE63" s="175"/>
      <c r="WVF63" s="176"/>
      <c r="WVG63" s="104"/>
      <c r="WVH63" s="106"/>
      <c r="WVI63" s="175"/>
      <c r="WVJ63" s="175"/>
      <c r="WVK63" s="175"/>
      <c r="WVL63" s="175"/>
      <c r="WVM63" s="176"/>
      <c r="WVN63" s="104"/>
      <c r="WVO63" s="106"/>
      <c r="WVP63" s="175"/>
      <c r="WVQ63" s="175"/>
      <c r="WVR63" s="175"/>
      <c r="WVS63" s="175"/>
      <c r="WVT63" s="176"/>
      <c r="WVU63" s="104"/>
      <c r="WVV63" s="106"/>
      <c r="WVW63" s="175"/>
      <c r="WVX63" s="175"/>
      <c r="WVY63" s="175"/>
      <c r="WVZ63" s="175"/>
      <c r="WWA63" s="176"/>
      <c r="WWB63" s="104"/>
      <c r="WWC63" s="106"/>
      <c r="WWD63" s="175"/>
      <c r="WWE63" s="175"/>
      <c r="WWF63" s="175"/>
      <c r="WWG63" s="175"/>
      <c r="WWH63" s="176"/>
      <c r="WWI63" s="104"/>
      <c r="WWJ63" s="106"/>
      <c r="WWK63" s="175"/>
      <c r="WWL63" s="175"/>
      <c r="WWM63" s="175"/>
      <c r="WWN63" s="175"/>
      <c r="WWO63" s="176"/>
      <c r="WWP63" s="104"/>
      <c r="WWQ63" s="106"/>
      <c r="WWR63" s="175"/>
      <c r="WWS63" s="175"/>
      <c r="WWT63" s="175"/>
      <c r="WWU63" s="175"/>
      <c r="WWV63" s="176"/>
      <c r="WWW63" s="104"/>
      <c r="WWX63" s="106"/>
      <c r="WWY63" s="175"/>
      <c r="WWZ63" s="175"/>
      <c r="WXA63" s="175"/>
      <c r="WXB63" s="175"/>
      <c r="WXC63" s="176"/>
      <c r="WXD63" s="104"/>
      <c r="WXE63" s="106"/>
      <c r="WXF63" s="175"/>
      <c r="WXG63" s="175"/>
      <c r="WXH63" s="175"/>
      <c r="WXI63" s="175"/>
      <c r="WXJ63" s="176"/>
      <c r="WXK63" s="104"/>
      <c r="WXL63" s="106"/>
      <c r="WXM63" s="175"/>
      <c r="WXN63" s="175"/>
      <c r="WXO63" s="175"/>
      <c r="WXP63" s="175"/>
      <c r="WXQ63" s="176"/>
      <c r="WXR63" s="104"/>
      <c r="WXS63" s="106"/>
      <c r="WXT63" s="175"/>
      <c r="WXU63" s="175"/>
      <c r="WXV63" s="175"/>
      <c r="WXW63" s="175"/>
      <c r="WXX63" s="176"/>
      <c r="WXY63" s="104"/>
      <c r="WXZ63" s="106"/>
      <c r="WYA63" s="175"/>
      <c r="WYB63" s="175"/>
      <c r="WYC63" s="175"/>
      <c r="WYD63" s="175"/>
      <c r="WYE63" s="176"/>
      <c r="WYF63" s="104"/>
      <c r="WYG63" s="106"/>
      <c r="WYH63" s="175"/>
      <c r="WYI63" s="175"/>
      <c r="WYJ63" s="175"/>
      <c r="WYK63" s="175"/>
      <c r="WYL63" s="176"/>
      <c r="WYM63" s="104"/>
      <c r="WYN63" s="106"/>
      <c r="WYO63" s="175"/>
      <c r="WYP63" s="175"/>
      <c r="WYQ63" s="175"/>
      <c r="WYR63" s="175"/>
      <c r="WYS63" s="176"/>
      <c r="WYT63" s="104"/>
      <c r="WYU63" s="106"/>
      <c r="WYV63" s="175"/>
      <c r="WYW63" s="175"/>
      <c r="WYX63" s="175"/>
      <c r="WYY63" s="175"/>
      <c r="WYZ63" s="176"/>
      <c r="WZA63" s="104"/>
      <c r="WZB63" s="106"/>
      <c r="WZC63" s="175"/>
      <c r="WZD63" s="175"/>
      <c r="WZE63" s="175"/>
      <c r="WZF63" s="175"/>
      <c r="WZG63" s="176"/>
      <c r="WZH63" s="104"/>
      <c r="WZI63" s="106"/>
      <c r="WZJ63" s="175"/>
      <c r="WZK63" s="175"/>
      <c r="WZL63" s="175"/>
      <c r="WZM63" s="175"/>
      <c r="WZN63" s="176"/>
      <c r="WZO63" s="104"/>
      <c r="WZP63" s="106"/>
      <c r="WZQ63" s="175"/>
      <c r="WZR63" s="175"/>
      <c r="WZS63" s="175"/>
      <c r="WZT63" s="175"/>
      <c r="WZU63" s="176"/>
      <c r="WZV63" s="104"/>
      <c r="WZW63" s="106"/>
      <c r="WZX63" s="175"/>
      <c r="WZY63" s="175"/>
      <c r="WZZ63" s="175"/>
      <c r="XAA63" s="175"/>
      <c r="XAB63" s="176"/>
      <c r="XAC63" s="104"/>
      <c r="XAD63" s="106"/>
      <c r="XAE63" s="175"/>
      <c r="XAF63" s="175"/>
      <c r="XAG63" s="175"/>
      <c r="XAH63" s="175"/>
      <c r="XAI63" s="176"/>
      <c r="XAJ63" s="104"/>
      <c r="XAK63" s="106"/>
      <c r="XAL63" s="175"/>
      <c r="XAM63" s="175"/>
      <c r="XAN63" s="175"/>
      <c r="XAO63" s="175"/>
      <c r="XAP63" s="176"/>
      <c r="XAQ63" s="104"/>
      <c r="XAR63" s="106"/>
      <c r="XAS63" s="175"/>
      <c r="XAT63" s="175"/>
      <c r="XAU63" s="175"/>
      <c r="XAV63" s="175"/>
      <c r="XAW63" s="176"/>
      <c r="XAX63" s="104"/>
      <c r="XAY63" s="106"/>
      <c r="XAZ63" s="175"/>
      <c r="XBA63" s="175"/>
      <c r="XBB63" s="175"/>
      <c r="XBC63" s="175"/>
      <c r="XBD63" s="176"/>
      <c r="XBE63" s="104"/>
      <c r="XBF63" s="106"/>
      <c r="XBG63" s="175"/>
      <c r="XBH63" s="175"/>
      <c r="XBI63" s="175"/>
      <c r="XBJ63" s="175"/>
      <c r="XBK63" s="176"/>
      <c r="XBL63" s="104"/>
      <c r="XBM63" s="106"/>
      <c r="XBN63" s="175"/>
      <c r="XBO63" s="175"/>
      <c r="XBP63" s="175"/>
      <c r="XBQ63" s="175"/>
      <c r="XBR63" s="176"/>
      <c r="XBS63" s="104"/>
      <c r="XBT63" s="106"/>
      <c r="XBU63" s="175"/>
      <c r="XBV63" s="175"/>
      <c r="XBW63" s="175"/>
      <c r="XBX63" s="175"/>
      <c r="XBY63" s="176"/>
      <c r="XBZ63" s="104"/>
      <c r="XCA63" s="106"/>
      <c r="XCB63" s="175"/>
      <c r="XCC63" s="175"/>
      <c r="XCD63" s="175"/>
      <c r="XCE63" s="175"/>
      <c r="XCF63" s="176"/>
      <c r="XCG63" s="104"/>
      <c r="XCH63" s="106"/>
      <c r="XCI63" s="175"/>
      <c r="XCJ63" s="175"/>
      <c r="XCK63" s="175"/>
      <c r="XCL63" s="175"/>
      <c r="XCM63" s="176"/>
      <c r="XCN63" s="104"/>
      <c r="XCO63" s="106"/>
      <c r="XCP63" s="175"/>
      <c r="XCQ63" s="175"/>
      <c r="XCR63" s="175"/>
      <c r="XCS63" s="175"/>
      <c r="XCT63" s="176"/>
      <c r="XCU63" s="104"/>
      <c r="XCV63" s="106"/>
      <c r="XCW63" s="175"/>
      <c r="XCX63" s="175"/>
      <c r="XCY63" s="175"/>
      <c r="XCZ63" s="175"/>
      <c r="XDA63" s="176"/>
      <c r="XDB63" s="104"/>
      <c r="XDC63" s="106"/>
      <c r="XDD63" s="175"/>
      <c r="XDE63" s="175"/>
      <c r="XDF63" s="175"/>
      <c r="XDG63" s="175"/>
      <c r="XDH63" s="176"/>
      <c r="XDI63" s="104"/>
      <c r="XDJ63" s="106"/>
      <c r="XDK63" s="175"/>
      <c r="XDL63" s="175"/>
      <c r="XDM63" s="175"/>
      <c r="XDN63" s="175"/>
      <c r="XDO63" s="176"/>
      <c r="XDP63" s="104"/>
      <c r="XDQ63" s="106"/>
      <c r="XDR63" s="175"/>
      <c r="XDS63" s="175"/>
      <c r="XDT63" s="175"/>
      <c r="XDU63" s="175"/>
      <c r="XDV63" s="176"/>
      <c r="XDW63" s="104"/>
      <c r="XDX63" s="106"/>
      <c r="XDY63" s="175"/>
      <c r="XDZ63" s="175"/>
      <c r="XEA63" s="175"/>
      <c r="XEB63" s="175"/>
      <c r="XEC63" s="176"/>
      <c r="XED63" s="104"/>
      <c r="XEE63" s="106"/>
      <c r="XEF63" s="175"/>
      <c r="XEG63" s="175"/>
      <c r="XEH63" s="175"/>
      <c r="XEI63" s="175"/>
      <c r="XEJ63" s="176"/>
      <c r="XEK63" s="104"/>
      <c r="XEL63" s="106"/>
      <c r="XEM63" s="175"/>
      <c r="XEN63" s="175"/>
      <c r="XEO63" s="175"/>
      <c r="XEP63" s="175"/>
      <c r="XEQ63" s="176"/>
      <c r="XER63" s="104"/>
      <c r="XES63" s="106"/>
      <c r="XET63" s="175"/>
      <c r="XEU63" s="175"/>
      <c r="XEV63" s="175"/>
      <c r="XEW63" s="175"/>
      <c r="XEX63" s="176"/>
      <c r="XEY63" s="104"/>
      <c r="XEZ63" s="106"/>
      <c r="XFA63" s="175"/>
      <c r="XFB63" s="175"/>
      <c r="XFC63" s="175"/>
      <c r="XFD63" s="175"/>
    </row>
    <row r="64" spans="1:16384" s="11" customFormat="1" x14ac:dyDescent="0.25">
      <c r="A64" s="205">
        <v>37021048</v>
      </c>
      <c r="B64" s="89" t="s">
        <v>517</v>
      </c>
      <c r="C64" s="207" t="s">
        <v>486</v>
      </c>
      <c r="D64" s="89" t="s">
        <v>231</v>
      </c>
      <c r="E64" s="87">
        <v>45727</v>
      </c>
      <c r="F64" s="167" t="s">
        <v>487</v>
      </c>
      <c r="G64" s="23">
        <v>20086483</v>
      </c>
      <c r="H64" s="87"/>
      <c r="I64" s="155">
        <v>373114</v>
      </c>
      <c r="J64" s="155" t="s">
        <v>565</v>
      </c>
      <c r="K64" s="24"/>
      <c r="L64" s="29"/>
      <c r="M64" s="33"/>
      <c r="N64" s="159"/>
      <c r="O64" s="159"/>
      <c r="P64"/>
      <c r="Q64"/>
      <c r="R64"/>
      <c r="S64"/>
      <c r="T64"/>
      <c r="U64"/>
    </row>
    <row r="65" spans="1:21 16376:16382" s="11" customFormat="1" x14ac:dyDescent="0.25">
      <c r="A65" s="205">
        <v>37020181</v>
      </c>
      <c r="B65" s="89" t="s">
        <v>471</v>
      </c>
      <c r="C65" s="89" t="s">
        <v>30</v>
      </c>
      <c r="D65" s="89" t="s">
        <v>236</v>
      </c>
      <c r="E65" s="90">
        <v>45629</v>
      </c>
      <c r="F65" s="23" t="s">
        <v>29</v>
      </c>
      <c r="G65" s="23">
        <v>20083030</v>
      </c>
      <c r="H65" s="87"/>
      <c r="I65" s="23">
        <v>373114</v>
      </c>
      <c r="J65" s="23" t="s">
        <v>565</v>
      </c>
      <c r="K65" s="24"/>
      <c r="L65" s="136"/>
      <c r="M65" s="13"/>
      <c r="N65" s="64"/>
      <c r="O65" s="64"/>
      <c r="P65"/>
      <c r="Q65"/>
      <c r="R65"/>
      <c r="S65"/>
      <c r="T65"/>
      <c r="U65"/>
    </row>
    <row r="66" spans="1:21 16376:16382" s="11" customFormat="1" hidden="1" x14ac:dyDescent="0.25">
      <c r="A66" s="89">
        <v>37020281</v>
      </c>
      <c r="B66" s="89" t="s">
        <v>488</v>
      </c>
      <c r="C66" s="207" t="s">
        <v>486</v>
      </c>
      <c r="D66" s="207" t="s">
        <v>236</v>
      </c>
      <c r="E66" s="87">
        <v>45636</v>
      </c>
      <c r="F66" s="167" t="s">
        <v>487</v>
      </c>
      <c r="G66" s="23">
        <v>20083240</v>
      </c>
      <c r="H66" s="87" t="e">
        <f>VLOOKUP(Apoio_Transp[[#This Row],[MATRÍCULA]],[2]!Tabela1[[#All],[ID SAP]:[NOMENCLATURA DA POSIÇÃO]],6,0)</f>
        <v>#REF!</v>
      </c>
      <c r="I66" s="155">
        <v>373114</v>
      </c>
      <c r="J66" s="155" t="s">
        <v>564</v>
      </c>
      <c r="K66" s="24">
        <v>45771</v>
      </c>
      <c r="L66" s="141"/>
      <c r="M66" s="156"/>
      <c r="N66" s="159"/>
      <c r="O66" s="159"/>
      <c r="P66"/>
      <c r="Q66"/>
      <c r="R66"/>
      <c r="S66"/>
      <c r="T66"/>
      <c r="U66"/>
    </row>
    <row r="67" spans="1:21 16376:16382" s="11" customFormat="1" x14ac:dyDescent="0.25">
      <c r="A67" s="177">
        <v>37020902</v>
      </c>
      <c r="B67" s="144" t="s">
        <v>501</v>
      </c>
      <c r="C67" s="207" t="s">
        <v>486</v>
      </c>
      <c r="D67" s="89" t="s">
        <v>236</v>
      </c>
      <c r="E67" s="27">
        <v>45706</v>
      </c>
      <c r="F67" s="167" t="s">
        <v>487</v>
      </c>
      <c r="G67" s="155">
        <v>20085320</v>
      </c>
      <c r="H67" s="87"/>
      <c r="I67" s="157">
        <v>373114</v>
      </c>
      <c r="J67" s="155" t="s">
        <v>565</v>
      </c>
      <c r="K67" s="158"/>
      <c r="L67" s="141"/>
      <c r="M67" s="156"/>
      <c r="N67" s="159"/>
      <c r="O67" s="159"/>
      <c r="P67"/>
      <c r="Q67"/>
      <c r="R67"/>
      <c r="S67"/>
      <c r="T67"/>
      <c r="U67"/>
    </row>
    <row r="68" spans="1:21 16376:16382" s="11" customFormat="1" x14ac:dyDescent="0.25">
      <c r="A68" s="177">
        <v>37018341</v>
      </c>
      <c r="B68" s="144" t="s">
        <v>282</v>
      </c>
      <c r="C68" s="89" t="s">
        <v>35</v>
      </c>
      <c r="D68" s="144" t="s">
        <v>259</v>
      </c>
      <c r="E68" s="90">
        <v>45475</v>
      </c>
      <c r="F68" s="23" t="s">
        <v>29</v>
      </c>
      <c r="G68" s="168">
        <v>20073125</v>
      </c>
      <c r="H68" s="87"/>
      <c r="I68" s="168">
        <v>373114</v>
      </c>
      <c r="J68" s="23" t="s">
        <v>565</v>
      </c>
      <c r="K68" s="158"/>
      <c r="L68" s="188" t="s">
        <v>379</v>
      </c>
      <c r="M68" s="124" t="s">
        <v>291</v>
      </c>
      <c r="N68" s="138" t="s">
        <v>298</v>
      </c>
      <c r="O68" s="139" t="s">
        <v>353</v>
      </c>
      <c r="P68"/>
      <c r="Q68"/>
      <c r="R68"/>
      <c r="S68"/>
      <c r="T68"/>
      <c r="U68"/>
    </row>
    <row r="69" spans="1:21 16376:16382" s="11" customFormat="1" x14ac:dyDescent="0.25">
      <c r="A69" s="177">
        <v>37013837</v>
      </c>
      <c r="B69" s="144" t="s">
        <v>498</v>
      </c>
      <c r="C69" s="89" t="s">
        <v>35</v>
      </c>
      <c r="D69" s="144" t="s">
        <v>259</v>
      </c>
      <c r="E69" s="90">
        <v>45160</v>
      </c>
      <c r="F69" s="23" t="s">
        <v>29</v>
      </c>
      <c r="G69" s="168">
        <v>20056794</v>
      </c>
      <c r="H69" s="87"/>
      <c r="I69" s="168">
        <v>373114</v>
      </c>
      <c r="J69" s="23" t="s">
        <v>565</v>
      </c>
      <c r="K69" s="186"/>
      <c r="L69" s="189"/>
      <c r="M69" s="186"/>
      <c r="P69"/>
      <c r="Q69"/>
      <c r="R69"/>
      <c r="S69"/>
      <c r="T69"/>
      <c r="U69"/>
    </row>
    <row r="70" spans="1:21 16376:16382" s="11" customFormat="1" x14ac:dyDescent="0.25">
      <c r="A70" s="177">
        <v>37020502</v>
      </c>
      <c r="B70" s="144" t="s">
        <v>495</v>
      </c>
      <c r="C70" s="207" t="s">
        <v>486</v>
      </c>
      <c r="D70" s="144" t="s">
        <v>231</v>
      </c>
      <c r="E70" s="178">
        <v>45671</v>
      </c>
      <c r="F70" s="167" t="s">
        <v>487</v>
      </c>
      <c r="G70" s="157">
        <v>20084134</v>
      </c>
      <c r="H70" s="87"/>
      <c r="I70" s="157">
        <v>373114</v>
      </c>
      <c r="J70" s="155" t="s">
        <v>565</v>
      </c>
      <c r="K70" s="158"/>
      <c r="L70" s="141"/>
      <c r="M70" s="156"/>
      <c r="N70" s="159"/>
      <c r="O70" s="159"/>
      <c r="P70"/>
      <c r="Q70"/>
      <c r="R70"/>
      <c r="S70"/>
      <c r="T70"/>
      <c r="U70"/>
    </row>
    <row r="71" spans="1:21 16376:16382" s="11" customFormat="1" x14ac:dyDescent="0.25">
      <c r="A71" s="177">
        <v>37020764</v>
      </c>
      <c r="B71" s="144" t="s">
        <v>493</v>
      </c>
      <c r="C71" s="89" t="s">
        <v>35</v>
      </c>
      <c r="D71" s="144" t="s">
        <v>231</v>
      </c>
      <c r="E71" s="90">
        <v>45692</v>
      </c>
      <c r="F71" s="23" t="s">
        <v>29</v>
      </c>
      <c r="G71" s="168">
        <v>20085115</v>
      </c>
      <c r="H71" s="87"/>
      <c r="I71" s="168">
        <v>373114</v>
      </c>
      <c r="J71" s="23" t="s">
        <v>565</v>
      </c>
      <c r="K71" s="187"/>
      <c r="L71" s="190"/>
      <c r="M71" s="191"/>
      <c r="N71" s="181"/>
      <c r="O71" s="182"/>
      <c r="P71"/>
      <c r="Q71"/>
      <c r="R71"/>
      <c r="S71"/>
      <c r="T71"/>
      <c r="U71"/>
      <c r="XEV71" s="177"/>
      <c r="XEW71" s="144"/>
      <c r="XEX71" s="89"/>
      <c r="XEY71" s="144"/>
      <c r="XEZ71" s="90"/>
      <c r="XFA71" s="23"/>
      <c r="XFB71" s="168"/>
    </row>
    <row r="72" spans="1:21 16376:16382" x14ac:dyDescent="0.25">
      <c r="A72" s="177">
        <v>37020694</v>
      </c>
      <c r="B72" s="144" t="s">
        <v>496</v>
      </c>
      <c r="C72" s="207" t="s">
        <v>486</v>
      </c>
      <c r="D72" s="144" t="s">
        <v>236</v>
      </c>
      <c r="E72" s="158">
        <v>45692</v>
      </c>
      <c r="F72" s="167" t="s">
        <v>487</v>
      </c>
      <c r="G72" s="157">
        <v>20084983</v>
      </c>
      <c r="H72" s="87"/>
      <c r="I72" s="157">
        <v>373114</v>
      </c>
      <c r="J72" s="155" t="s">
        <v>565</v>
      </c>
      <c r="K72" s="158"/>
      <c r="L72" s="141"/>
      <c r="M72" s="156"/>
      <c r="N72" s="159"/>
      <c r="O72" s="159"/>
    </row>
    <row r="73" spans="1:21 16376:16382" x14ac:dyDescent="0.25">
      <c r="A73" s="177">
        <v>37005788</v>
      </c>
      <c r="B73" s="144" t="s">
        <v>59</v>
      </c>
      <c r="C73" s="144" t="s">
        <v>25</v>
      </c>
      <c r="D73" s="208" t="s">
        <v>236</v>
      </c>
      <c r="E73" s="87">
        <v>44348</v>
      </c>
      <c r="F73" s="168" t="s">
        <v>24</v>
      </c>
      <c r="G73" s="121">
        <v>20016044</v>
      </c>
      <c r="H73" s="87"/>
      <c r="I73" s="157">
        <v>373114</v>
      </c>
      <c r="J73" s="23" t="s">
        <v>565</v>
      </c>
      <c r="K73" s="158"/>
      <c r="L73" s="141"/>
      <c r="M73" s="156"/>
      <c r="N73" s="159"/>
      <c r="O73" s="159"/>
    </row>
    <row r="74" spans="1:21 16376:16382" x14ac:dyDescent="0.25">
      <c r="A74" s="177">
        <v>37016985</v>
      </c>
      <c r="B74" s="144" t="s">
        <v>265</v>
      </c>
      <c r="C74" s="93" t="s">
        <v>14</v>
      </c>
      <c r="D74" s="89" t="s">
        <v>231</v>
      </c>
      <c r="E74" s="178">
        <v>45370</v>
      </c>
      <c r="F74" s="23" t="s">
        <v>13</v>
      </c>
      <c r="G74" s="168">
        <v>20065936</v>
      </c>
      <c r="H74" s="87"/>
      <c r="I74" s="23">
        <v>373114</v>
      </c>
      <c r="J74" s="23" t="s">
        <v>565</v>
      </c>
      <c r="K74" s="158"/>
      <c r="L74" s="141" t="s">
        <v>360</v>
      </c>
      <c r="M74" s="121" t="s">
        <v>291</v>
      </c>
      <c r="N74" s="139" t="s">
        <v>291</v>
      </c>
      <c r="O74" s="197"/>
    </row>
    <row r="75" spans="1:21 16376:16382" x14ac:dyDescent="0.25">
      <c r="A75" s="177">
        <v>37021148</v>
      </c>
      <c r="B75" s="144" t="s">
        <v>518</v>
      </c>
      <c r="C75" s="207" t="s">
        <v>486</v>
      </c>
      <c r="D75" s="208" t="s">
        <v>236</v>
      </c>
      <c r="E75" s="178">
        <v>45727</v>
      </c>
      <c r="F75" s="167" t="s">
        <v>487</v>
      </c>
      <c r="G75" s="168">
        <v>20087213</v>
      </c>
      <c r="H75" s="87"/>
      <c r="I75" s="157">
        <v>373114</v>
      </c>
      <c r="J75" s="157" t="s">
        <v>565</v>
      </c>
      <c r="K75" s="158"/>
      <c r="L75" s="141"/>
      <c r="M75" s="156"/>
      <c r="N75" s="159"/>
      <c r="O75" s="159"/>
    </row>
    <row r="76" spans="1:21 16376:16382" x14ac:dyDescent="0.25">
      <c r="A76" s="177">
        <v>37020100</v>
      </c>
      <c r="B76" s="144" t="s">
        <v>484</v>
      </c>
      <c r="C76" s="207" t="s">
        <v>486</v>
      </c>
      <c r="D76" s="208" t="s">
        <v>231</v>
      </c>
      <c r="E76" s="178">
        <v>45629</v>
      </c>
      <c r="F76" s="167" t="s">
        <v>487</v>
      </c>
      <c r="G76" s="194">
        <v>20082552</v>
      </c>
      <c r="H76" s="87"/>
      <c r="I76" s="157">
        <v>373114</v>
      </c>
      <c r="J76" s="157" t="s">
        <v>565</v>
      </c>
      <c r="K76" s="158"/>
      <c r="L76" s="141"/>
      <c r="M76" s="156"/>
      <c r="N76" s="66"/>
      <c r="O76" s="66"/>
    </row>
    <row r="77" spans="1:21 16376:16382" x14ac:dyDescent="0.25">
      <c r="A77" s="177">
        <v>37020285</v>
      </c>
      <c r="B77" s="144" t="s">
        <v>483</v>
      </c>
      <c r="C77" s="207" t="s">
        <v>486</v>
      </c>
      <c r="D77" s="208" t="s">
        <v>236</v>
      </c>
      <c r="E77" s="178">
        <v>45636</v>
      </c>
      <c r="F77" s="167" t="s">
        <v>487</v>
      </c>
      <c r="G77" s="194">
        <v>20083244</v>
      </c>
      <c r="H77" s="87"/>
      <c r="I77" s="157">
        <v>373114</v>
      </c>
      <c r="J77" s="157" t="s">
        <v>565</v>
      </c>
      <c r="K77" s="158"/>
      <c r="L77" s="141"/>
      <c r="M77" s="156"/>
      <c r="N77" s="66"/>
      <c r="O77" s="66"/>
    </row>
    <row r="78" spans="1:21 16376:16382" x14ac:dyDescent="0.25">
      <c r="A78" s="177">
        <v>37017222</v>
      </c>
      <c r="B78" s="144" t="s">
        <v>269</v>
      </c>
      <c r="C78" s="93" t="s">
        <v>16</v>
      </c>
      <c r="D78" s="89" t="s">
        <v>236</v>
      </c>
      <c r="E78" s="178">
        <v>45398</v>
      </c>
      <c r="F78" s="23" t="s">
        <v>13</v>
      </c>
      <c r="G78" s="168">
        <v>20052324</v>
      </c>
      <c r="H78" s="87"/>
      <c r="I78" s="23">
        <v>373114</v>
      </c>
      <c r="J78" s="168" t="s">
        <v>565</v>
      </c>
      <c r="K78" s="158"/>
      <c r="L78" s="200" t="s">
        <v>360</v>
      </c>
      <c r="M78" s="37" t="s">
        <v>291</v>
      </c>
      <c r="N78" s="138"/>
      <c r="O78" s="139"/>
    </row>
    <row r="79" spans="1:21 16376:16382" x14ac:dyDescent="0.25">
      <c r="A79" s="177">
        <v>37020385</v>
      </c>
      <c r="B79" s="144" t="s">
        <v>494</v>
      </c>
      <c r="C79" s="207" t="s">
        <v>486</v>
      </c>
      <c r="D79" s="144" t="s">
        <v>231</v>
      </c>
      <c r="E79" s="87">
        <v>45664</v>
      </c>
      <c r="F79" s="167" t="s">
        <v>487</v>
      </c>
      <c r="G79" s="157">
        <v>20083826</v>
      </c>
      <c r="H79" s="87"/>
      <c r="I79" s="157">
        <v>373114</v>
      </c>
      <c r="J79" s="157" t="s">
        <v>565</v>
      </c>
      <c r="K79" s="158"/>
      <c r="L79" s="141"/>
      <c r="M79" s="156"/>
      <c r="N79" s="159"/>
      <c r="O79" s="159"/>
    </row>
    <row r="80" spans="1:21 16376:16382" x14ac:dyDescent="0.25">
      <c r="A80" s="177">
        <v>37021871</v>
      </c>
      <c r="B80" s="144" t="s">
        <v>566</v>
      </c>
      <c r="C80" s="207" t="s">
        <v>486</v>
      </c>
      <c r="D80" s="144" t="s">
        <v>231</v>
      </c>
      <c r="E80" s="209">
        <v>45783</v>
      </c>
      <c r="F80" s="167" t="s">
        <v>487</v>
      </c>
      <c r="G80" s="157">
        <v>20091143</v>
      </c>
      <c r="H80" s="210"/>
      <c r="I80" s="157">
        <v>373114</v>
      </c>
      <c r="J80" s="157"/>
      <c r="K80" s="158"/>
      <c r="L80" s="141"/>
      <c r="M80" s="156"/>
      <c r="N80" s="159"/>
      <c r="O80" s="159"/>
    </row>
  </sheetData>
  <conditionalFormatting sqref="A64:A65">
    <cfRule type="duplicateValues" dxfId="34" priority="13"/>
  </conditionalFormatting>
  <conditionalFormatting sqref="A67">
    <cfRule type="duplicateValues" dxfId="33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D1F8-3651-4AA5-896F-4FC685EA5004}">
  <sheetPr codeName="Planilha6"/>
  <dimension ref="A1:O24"/>
  <sheetViews>
    <sheetView showGridLines="0" topLeftCell="F1" workbookViewId="0">
      <selection activeCell="Q24" sqref="Q24"/>
    </sheetView>
  </sheetViews>
  <sheetFormatPr defaultRowHeight="15" x14ac:dyDescent="0.25"/>
  <cols>
    <col min="1" max="1" width="13.5703125" bestFit="1" customWidth="1"/>
    <col min="2" max="2" width="25.5703125" bestFit="1" customWidth="1"/>
    <col min="3" max="3" width="29.42578125" bestFit="1" customWidth="1"/>
    <col min="4" max="4" width="28.140625" bestFit="1" customWidth="1"/>
    <col min="5" max="5" width="32.28515625" bestFit="1" customWidth="1"/>
    <col min="6" max="6" width="6.85546875" customWidth="1"/>
    <col min="7" max="7" width="8.5703125" bestFit="1" customWidth="1"/>
    <col min="8" max="8" width="13.5703125" customWidth="1"/>
    <col min="9" max="9" width="10.28515625" bestFit="1" customWidth="1"/>
    <col min="13" max="13" width="13.28515625" bestFit="1" customWidth="1"/>
    <col min="14" max="14" width="13.5703125" customWidth="1"/>
    <col min="15" max="15" width="8.5703125" bestFit="1" customWidth="1"/>
  </cols>
  <sheetData>
    <row r="1" spans="1:15" x14ac:dyDescent="0.25">
      <c r="A1" s="211" t="s">
        <v>417</v>
      </c>
      <c r="B1" s="212"/>
      <c r="C1" s="212"/>
      <c r="D1" s="212"/>
      <c r="E1" s="213"/>
      <c r="G1" s="214" t="s">
        <v>426</v>
      </c>
      <c r="H1" s="215"/>
      <c r="I1" s="215"/>
      <c r="J1" s="216"/>
      <c r="K1" s="111"/>
      <c r="L1" s="211" t="s">
        <v>427</v>
      </c>
      <c r="M1" s="212"/>
      <c r="N1" s="212"/>
      <c r="O1" s="213"/>
    </row>
    <row r="2" spans="1:15" x14ac:dyDescent="0.25">
      <c r="A2" s="118" t="s">
        <v>412</v>
      </c>
      <c r="B2" s="118" t="s">
        <v>413</v>
      </c>
      <c r="C2" s="118" t="s">
        <v>415</v>
      </c>
      <c r="D2" s="118" t="s">
        <v>414</v>
      </c>
      <c r="E2" s="118" t="s">
        <v>416</v>
      </c>
      <c r="G2" s="119" t="s">
        <v>412</v>
      </c>
      <c r="H2" s="119" t="s">
        <v>419</v>
      </c>
      <c r="I2" s="119" t="s">
        <v>425</v>
      </c>
      <c r="J2" s="119" t="s">
        <v>424</v>
      </c>
      <c r="K2" s="111"/>
      <c r="L2" s="118" t="s">
        <v>412</v>
      </c>
      <c r="M2" s="118" t="s">
        <v>396</v>
      </c>
      <c r="N2" s="118" t="s">
        <v>425</v>
      </c>
      <c r="O2" s="118" t="s">
        <v>424</v>
      </c>
    </row>
    <row r="3" spans="1:15" x14ac:dyDescent="0.25">
      <c r="A3" s="4">
        <v>6</v>
      </c>
      <c r="B3" s="4" t="s">
        <v>395</v>
      </c>
      <c r="C3" s="4" t="s">
        <v>337</v>
      </c>
      <c r="D3" s="4" t="s">
        <v>29</v>
      </c>
      <c r="E3" s="4" t="s">
        <v>400</v>
      </c>
      <c r="G3" s="110">
        <v>1</v>
      </c>
      <c r="H3" s="114" t="str">
        <f>IF(GETPIVOTDATA("COLABORADOR",DINAMICS1!$A$3,"MÓDULO2","MOD.01","SITUACAO","Assistente Operador Carregamento Grua") &gt;= 'ESCOPO-VAGAS'!$I$22,"Completo","incompleto")</f>
        <v>Completo</v>
      </c>
      <c r="I3" s="110">
        <f>GETPIVOTDATA("COLABORADOR",DINAMICS1!$A$3,"MÓDULO2","MOD.01","SITUACAO","Assistente Operador Carregamento Grua")</f>
        <v>8</v>
      </c>
      <c r="J3" s="110">
        <f t="shared" ref="J3:J10" si="0">I3-$I$22</f>
        <v>1</v>
      </c>
      <c r="K3" s="111"/>
      <c r="L3" s="4">
        <v>1</v>
      </c>
      <c r="M3" s="116" t="str">
        <f t="shared" ref="M3:M10" si="1">IF(N3&gt;=$N$23,"Completo","Incompleto")</f>
        <v>Completo</v>
      </c>
      <c r="N3" s="4">
        <f>SUM(DINAMICS1!B19:C19)</f>
        <v>3</v>
      </c>
      <c r="O3" s="4">
        <f t="shared" ref="O3:O10" si="2">N3-$N$23</f>
        <v>0</v>
      </c>
    </row>
    <row r="4" spans="1:15" x14ac:dyDescent="0.25">
      <c r="A4" s="4">
        <v>6</v>
      </c>
      <c r="B4" s="4" t="s">
        <v>397</v>
      </c>
      <c r="C4" s="4" t="s">
        <v>236</v>
      </c>
      <c r="D4" s="4" t="s">
        <v>29</v>
      </c>
      <c r="E4" s="4" t="s">
        <v>400</v>
      </c>
      <c r="G4" s="110">
        <v>2</v>
      </c>
      <c r="H4" s="115" t="str">
        <f>IF(GETPIVOTDATA("COLABORADOR",DINAMICS1!$A$3,"MÓDULO2","MOD.02","SITUACAO","Assistente Operador Carregamento Grua")&gt;='ESCOPO-VAGAS'!$I$22,"Completo","incompleto")</f>
        <v>Completo</v>
      </c>
      <c r="I4" s="110">
        <f>GETPIVOTDATA("COLABORADOR",DINAMICS1!$A$3,"MÓDULO2","MOD.02","SITUACAO","Assistente Operador Carregamento Grua")</f>
        <v>7</v>
      </c>
      <c r="J4" s="110">
        <f t="shared" si="0"/>
        <v>0</v>
      </c>
      <c r="K4" s="111"/>
      <c r="L4" s="4">
        <v>2</v>
      </c>
      <c r="M4" s="116" t="str">
        <f t="shared" si="1"/>
        <v>Completo</v>
      </c>
      <c r="N4" s="4">
        <f>SUM(DINAMICS1!B20:C20)</f>
        <v>3</v>
      </c>
      <c r="O4" s="4">
        <f t="shared" si="2"/>
        <v>0</v>
      </c>
    </row>
    <row r="5" spans="1:15" x14ac:dyDescent="0.25">
      <c r="A5" s="4">
        <v>6</v>
      </c>
      <c r="B5" s="4" t="s">
        <v>398</v>
      </c>
      <c r="C5" s="4" t="s">
        <v>54</v>
      </c>
      <c r="D5" s="4" t="s">
        <v>29</v>
      </c>
      <c r="E5" s="4" t="s">
        <v>400</v>
      </c>
      <c r="G5" s="110">
        <v>3</v>
      </c>
      <c r="H5" s="114" t="str">
        <f>IF(GETPIVOTDATA("COLABORADOR",DINAMICS1!$A$3,"MÓDULO2","MOD.03","SITUACAO","Assistente Operador Carregamento Grua")&gt;='ESCOPO-VAGAS'!$I$22,"Completo","Imcompleto")</f>
        <v>Completo</v>
      </c>
      <c r="I5" s="110">
        <f>GETPIVOTDATA("COLABORADOR",DINAMICS1!$A$3,"MÓDULO2","MOD.03","SITUACAO","Assistente Operador Carregamento Grua")</f>
        <v>7</v>
      </c>
      <c r="J5" s="110">
        <f t="shared" si="0"/>
        <v>0</v>
      </c>
      <c r="K5" s="111"/>
      <c r="L5" s="4">
        <v>3</v>
      </c>
      <c r="M5" s="116" t="str">
        <f t="shared" si="1"/>
        <v>Completo</v>
      </c>
      <c r="N5" s="4">
        <f>SUM(DINAMICS1!B21:C21)</f>
        <v>3</v>
      </c>
      <c r="O5" s="4">
        <f t="shared" si="2"/>
        <v>0</v>
      </c>
    </row>
    <row r="6" spans="1:15" x14ac:dyDescent="0.25">
      <c r="A6" s="4">
        <v>6</v>
      </c>
      <c r="B6" s="4" t="s">
        <v>399</v>
      </c>
      <c r="C6" s="4" t="s">
        <v>54</v>
      </c>
      <c r="D6" s="4" t="s">
        <v>29</v>
      </c>
      <c r="E6" s="4" t="s">
        <v>400</v>
      </c>
      <c r="G6" s="110">
        <v>4</v>
      </c>
      <c r="H6" s="115" t="str">
        <f>IF(GETPIVOTDATA("COLABORADOR",DINAMICS1!$A$3,"MÓDULO2","MOD.04","SITUACAO","Assistente Operador Carregamento Grua")&gt;='ESCOPO-VAGAS'!$I$22,"Completo","Imcompleto")</f>
        <v>Imcompleto</v>
      </c>
      <c r="I6" s="110">
        <f>GETPIVOTDATA("COLABORADOR",DINAMICS1!$A$3,"MÓDULO2","MOD.04","SITUACAO","Assistente Operador Carregamento Grua")</f>
        <v>6</v>
      </c>
      <c r="J6" s="110">
        <f t="shared" si="0"/>
        <v>-1</v>
      </c>
      <c r="K6" s="111"/>
      <c r="L6" s="4">
        <v>4</v>
      </c>
      <c r="M6" s="116" t="str">
        <f t="shared" si="1"/>
        <v>Completo</v>
      </c>
      <c r="N6" s="4">
        <f>SUM(DINAMICS1!B22:C22)</f>
        <v>3</v>
      </c>
      <c r="O6" s="4">
        <f t="shared" si="2"/>
        <v>0</v>
      </c>
    </row>
    <row r="7" spans="1:15" x14ac:dyDescent="0.25">
      <c r="A7" s="4">
        <v>8</v>
      </c>
      <c r="B7" s="4" t="s">
        <v>410</v>
      </c>
      <c r="C7" s="4" t="s">
        <v>337</v>
      </c>
      <c r="D7" s="4" t="s">
        <v>13</v>
      </c>
      <c r="E7" s="4" t="s">
        <v>430</v>
      </c>
      <c r="G7" s="110">
        <v>5</v>
      </c>
      <c r="H7" s="114" t="str">
        <f>IF(GETPIVOTDATA("COLABORADOR",DINAMICS1!$A$3,"MÓDULO2","MOD.05","SITUACAO","Assistente Operador Carregamento Grua")&gt;='ESCOPO-VAGAS'!$I$22,"Completo","Imcompleto")</f>
        <v>Imcompleto</v>
      </c>
      <c r="I7" s="110">
        <f>GETPIVOTDATA("COLABORADOR",DINAMICS1!$A$3,"MÓDULO2","MOD.05","SITUACAO","Assistente Operador Carregamento Grua")</f>
        <v>6</v>
      </c>
      <c r="J7" s="110">
        <f t="shared" si="0"/>
        <v>-1</v>
      </c>
      <c r="K7" s="111"/>
      <c r="L7" s="4">
        <v>5</v>
      </c>
      <c r="M7" s="116" t="str">
        <f t="shared" si="1"/>
        <v>Completo</v>
      </c>
      <c r="N7" s="4">
        <f>SUM(DINAMICS1!B23:C23)</f>
        <v>3</v>
      </c>
      <c r="O7" s="4">
        <f t="shared" si="2"/>
        <v>0</v>
      </c>
    </row>
    <row r="8" spans="1:15" x14ac:dyDescent="0.25">
      <c r="A8" s="4">
        <v>8</v>
      </c>
      <c r="B8" s="4" t="s">
        <v>410</v>
      </c>
      <c r="C8" s="4" t="s">
        <v>337</v>
      </c>
      <c r="D8" s="4" t="s">
        <v>13</v>
      </c>
      <c r="E8" s="4" t="s">
        <v>430</v>
      </c>
      <c r="G8" s="110">
        <v>6</v>
      </c>
      <c r="H8" s="114" t="str">
        <f>IF(GETPIVOTDATA("COLABORADOR",DINAMICS1!$A$3,"MÓDULO2","MOD.06","SITUACAO","Assistente Operador Carregamento Grua")&gt;='ESCOPO-VAGAS'!$I$22,"Completo","Imcompleto")</f>
        <v>Imcompleto</v>
      </c>
      <c r="I8" s="110">
        <f>GETPIVOTDATA("COLABORADOR",DINAMICS1!$A$3,"MÓDULO2","MOD.06","SITUACAO","Assistente Operador Carregamento Grua")</f>
        <v>6</v>
      </c>
      <c r="J8" s="110">
        <f t="shared" si="0"/>
        <v>-1</v>
      </c>
      <c r="K8" s="111"/>
      <c r="L8" s="4">
        <v>6</v>
      </c>
      <c r="M8" s="116" t="str">
        <f t="shared" si="1"/>
        <v>Completo</v>
      </c>
      <c r="N8" s="4">
        <f>SUM(DINAMICS1!B24:C24)</f>
        <v>3</v>
      </c>
      <c r="O8" s="4">
        <f t="shared" si="2"/>
        <v>0</v>
      </c>
    </row>
    <row r="9" spans="1:15" x14ac:dyDescent="0.25">
      <c r="A9" s="4">
        <v>8</v>
      </c>
      <c r="B9" s="4" t="s">
        <v>410</v>
      </c>
      <c r="C9" s="4" t="s">
        <v>337</v>
      </c>
      <c r="D9" s="4" t="s">
        <v>13</v>
      </c>
      <c r="E9" s="4" t="s">
        <v>430</v>
      </c>
      <c r="G9" s="110">
        <v>7</v>
      </c>
      <c r="H9" s="115" t="str">
        <f>IF(GETPIVOTDATA("COLABORADOR",DINAMICS1!$A$3,"MÓDULO2","MOD.07","SITUACAO","Assistente Operador Carregamento Grua")&gt;='ESCOPO-VAGAS'!$I$22,"Completo","Imcompleto")</f>
        <v>Imcompleto</v>
      </c>
      <c r="I9" s="110">
        <f>GETPIVOTDATA("COLABORADOR",DINAMICS1!$A$3,"MÓDULO2","MOD.07","SITUACAO","Assistente Operador Carregamento Grua")</f>
        <v>6</v>
      </c>
      <c r="J9" s="110">
        <f t="shared" si="0"/>
        <v>-1</v>
      </c>
      <c r="K9" s="111"/>
      <c r="L9" s="4">
        <v>7</v>
      </c>
      <c r="M9" s="116" t="str">
        <f t="shared" si="1"/>
        <v>Completo</v>
      </c>
      <c r="N9" s="4">
        <f>SUM(DINAMICS1!B25:C25)</f>
        <v>3</v>
      </c>
      <c r="O9" s="4">
        <f t="shared" si="2"/>
        <v>0</v>
      </c>
    </row>
    <row r="10" spans="1:15" x14ac:dyDescent="0.25">
      <c r="A10" s="4">
        <v>5</v>
      </c>
      <c r="B10" s="4" t="s">
        <v>410</v>
      </c>
      <c r="C10" s="4" t="s">
        <v>54</v>
      </c>
      <c r="D10" s="4" t="s">
        <v>13</v>
      </c>
      <c r="E10" s="4" t="s">
        <v>430</v>
      </c>
      <c r="G10" s="110">
        <v>8</v>
      </c>
      <c r="H10" s="115" t="str">
        <f>IF(GETPIVOTDATA("COLABORADOR",DINAMICS1!$A$3,"MÓDULO2","MOD.08","SITUACAO","Assistente Operador Carregamento Grua")&gt;='ESCOPO-VAGAS'!$I$22,"Completo","incompleto")</f>
        <v>Completo</v>
      </c>
      <c r="I10" s="110">
        <f>GETPIVOTDATA("COLABORADOR",DINAMICS1!$A$3,"MÓDULO2","MOD.08","SITUACAO","Assistente Operador Carregamento Grua")</f>
        <v>7</v>
      </c>
      <c r="J10" s="110">
        <f t="shared" si="0"/>
        <v>0</v>
      </c>
      <c r="K10" s="111"/>
      <c r="L10" s="4">
        <v>8</v>
      </c>
      <c r="M10" s="117" t="str">
        <f t="shared" si="1"/>
        <v>Incompleto</v>
      </c>
      <c r="N10" s="4">
        <f>SUM(DINAMICS1!B26:C26)</f>
        <v>1</v>
      </c>
      <c r="O10" s="4">
        <f t="shared" si="2"/>
        <v>-2</v>
      </c>
    </row>
    <row r="11" spans="1:15" x14ac:dyDescent="0.25">
      <c r="A11" s="4" t="s">
        <v>418</v>
      </c>
      <c r="B11" s="4" t="s">
        <v>410</v>
      </c>
      <c r="C11" s="4" t="s">
        <v>198</v>
      </c>
      <c r="D11" s="4" t="s">
        <v>13</v>
      </c>
      <c r="E11" s="4" t="s">
        <v>411</v>
      </c>
      <c r="G11" s="119" t="s">
        <v>412</v>
      </c>
      <c r="H11" s="119" t="s">
        <v>420</v>
      </c>
      <c r="I11" s="119" t="s">
        <v>425</v>
      </c>
      <c r="J11" s="119" t="s">
        <v>424</v>
      </c>
      <c r="K11" s="111"/>
      <c r="L11" s="118" t="s">
        <v>412</v>
      </c>
      <c r="M11" s="118" t="s">
        <v>429</v>
      </c>
      <c r="N11" s="118" t="s">
        <v>425</v>
      </c>
      <c r="O11" s="118" t="s">
        <v>424</v>
      </c>
    </row>
    <row r="12" spans="1:15" x14ac:dyDescent="0.25">
      <c r="G12" s="110">
        <v>1</v>
      </c>
      <c r="H12" s="114" t="str">
        <f>IF(GETPIVOTDATA("COLABORADOR",DINAMICS1!$A$3,"MÓDULO2","MOD.01","SITUACAO","Oper Maqs Florestais I Grua")&gt;='ESCOPO-VAGAS'!$I$23,"Completo","Incompleto")</f>
        <v>Completo</v>
      </c>
      <c r="I12" s="110">
        <f>GETPIVOTDATA("COLABORADOR",DINAMICS1!$A$3,"MÓDULO2","MOD.01","SITUACAO","Oper Maqs Florestais I Grua")</f>
        <v>9</v>
      </c>
      <c r="J12" s="110">
        <f t="shared" ref="J12:J19" si="3">I12-$I$23</f>
        <v>1</v>
      </c>
      <c r="K12" s="111"/>
      <c r="L12" s="4">
        <v>1</v>
      </c>
      <c r="M12" s="116" t="str">
        <f t="shared" ref="M12:M19" si="4">IF(N12&gt;=$N$22,"Completo","Incompleto")</f>
        <v>Completo</v>
      </c>
      <c r="N12" s="4">
        <f>SUM(DINAMICS1!D19:F19)</f>
        <v>4</v>
      </c>
      <c r="O12" s="4">
        <f t="shared" ref="O12:O19" si="5">N12-$N$22</f>
        <v>0</v>
      </c>
    </row>
    <row r="13" spans="1:15" x14ac:dyDescent="0.25">
      <c r="G13" s="110">
        <v>2</v>
      </c>
      <c r="H13" s="114" t="str">
        <f>IF(GETPIVOTDATA("COLABORADOR",DINAMICS1!$A$3,"MÓDULO2","MOD.02","SITUACAO","Oper Maqs Florestais I Grua")&gt;='ESCOPO-VAGAS'!$I$23,"Completo","Incompleto")</f>
        <v>Incompleto</v>
      </c>
      <c r="I13" s="110">
        <f>GETPIVOTDATA("COLABORADOR",DINAMICS1!$A$3,"MÓDULO2","MOD.02","SITUACAO","Oper Maqs Florestais I Grua")</f>
        <v>7</v>
      </c>
      <c r="J13" s="110">
        <f t="shared" si="3"/>
        <v>-1</v>
      </c>
      <c r="K13" s="111"/>
      <c r="L13" s="4">
        <v>2</v>
      </c>
      <c r="M13" s="116" t="str">
        <f t="shared" si="4"/>
        <v>Completo</v>
      </c>
      <c r="N13" s="4">
        <f>SUM(DINAMICS1!D20:F20)</f>
        <v>4</v>
      </c>
      <c r="O13" s="4">
        <f t="shared" si="5"/>
        <v>0</v>
      </c>
    </row>
    <row r="14" spans="1:15" x14ac:dyDescent="0.25">
      <c r="G14" s="110">
        <v>3</v>
      </c>
      <c r="H14" s="114" t="str">
        <f>IF(GETPIVOTDATA("COLABORADOR",DINAMICS1!$A$3,"MÓDULO2","MOD.03","SITUACAO","Oper Maqs Florestais I Grua")&gt;='ESCOPO-VAGAS'!$I$23,"Completo","Incompleto")</f>
        <v>Completo</v>
      </c>
      <c r="I14" s="110">
        <f>GETPIVOTDATA("COLABORADOR",DINAMICS1!$A$3,"MÓDULO2","MOD.03","SITUACAO","Oper Maqs Florestais I Grua")</f>
        <v>9</v>
      </c>
      <c r="J14" s="110">
        <f t="shared" si="3"/>
        <v>1</v>
      </c>
      <c r="K14" s="111"/>
      <c r="L14" s="4">
        <v>3</v>
      </c>
      <c r="M14" s="116" t="str">
        <f t="shared" si="4"/>
        <v>Completo</v>
      </c>
      <c r="N14" s="4">
        <f>SUM(DINAMICS1!D21:F21)</f>
        <v>4</v>
      </c>
      <c r="O14" s="4">
        <f t="shared" si="5"/>
        <v>0</v>
      </c>
    </row>
    <row r="15" spans="1:15" x14ac:dyDescent="0.25">
      <c r="G15" s="110">
        <v>4</v>
      </c>
      <c r="H15" s="114" t="str">
        <f>IF(GETPIVOTDATA("COLABORADOR",DINAMICS1!$A$3,"MÓDULO2","MOD.04","SITUACAO","Oper Maqs Florestais I Grua")&gt;='ESCOPO-VAGAS'!$I$23,"Completo","Incompleto")</f>
        <v>Completo</v>
      </c>
      <c r="I15" s="110">
        <f>GETPIVOTDATA("COLABORADOR",DINAMICS1!$A$3,"MÓDULO2","MOD.04","SITUACAO","Oper Maqs Florestais I Grua")</f>
        <v>8</v>
      </c>
      <c r="J15" s="110">
        <f t="shared" si="3"/>
        <v>0</v>
      </c>
      <c r="K15" s="111"/>
      <c r="L15" s="4">
        <v>4</v>
      </c>
      <c r="M15" s="116" t="str">
        <f t="shared" si="4"/>
        <v>Completo</v>
      </c>
      <c r="N15" s="4">
        <f>SUM(DINAMICS1!D22:F22)</f>
        <v>4</v>
      </c>
      <c r="O15" s="4">
        <f t="shared" si="5"/>
        <v>0</v>
      </c>
    </row>
    <row r="16" spans="1:15" x14ac:dyDescent="0.25">
      <c r="G16" s="110">
        <v>5</v>
      </c>
      <c r="H16" s="114" t="str">
        <f>IF(GETPIVOTDATA("COLABORADOR",DINAMICS1!$A$3,"MÓDULO2","MOD.05","SITUACAO","Oper Maqs Florestais I Grua")&gt;='ESCOPO-VAGAS'!$I$23,"Completo","Incompleto")</f>
        <v>Completo</v>
      </c>
      <c r="I16" s="110">
        <f>GETPIVOTDATA("COLABORADOR",DINAMICS1!$A$3,"MÓDULO2","MOD.05","SITUACAO","Oper Maqs Florestais I Grua")</f>
        <v>9</v>
      </c>
      <c r="J16" s="110">
        <f t="shared" si="3"/>
        <v>1</v>
      </c>
      <c r="K16" s="111"/>
      <c r="L16" s="4">
        <v>5</v>
      </c>
      <c r="M16" s="116" t="str">
        <f t="shared" si="4"/>
        <v>Completo</v>
      </c>
      <c r="N16" s="4">
        <f>SUM(DINAMICS1!D23:F23)</f>
        <v>4</v>
      </c>
      <c r="O16" s="4">
        <f t="shared" si="5"/>
        <v>0</v>
      </c>
    </row>
    <row r="17" spans="7:15" x14ac:dyDescent="0.25">
      <c r="G17" s="110">
        <v>6</v>
      </c>
      <c r="H17" s="114" t="str">
        <f>IF(GETPIVOTDATA("COLABORADOR",DINAMICS1!$A$3,"MÓDULO2","MOD.06","SITUACAO","Oper Maqs Florestais I Grua")&gt;='ESCOPO-VAGAS'!$I$23,"Completo","Incompleto")</f>
        <v>Completo</v>
      </c>
      <c r="I17" s="110">
        <f>GETPIVOTDATA("COLABORADOR",DINAMICS1!$A$3,"MÓDULO2","MOD.06","SITUACAO","Oper Maqs Florestais I Grua")</f>
        <v>9</v>
      </c>
      <c r="J17" s="110">
        <f t="shared" si="3"/>
        <v>1</v>
      </c>
      <c r="K17" s="111"/>
      <c r="L17" s="4">
        <v>6</v>
      </c>
      <c r="M17" s="116" t="str">
        <f t="shared" si="4"/>
        <v>Completo</v>
      </c>
      <c r="N17" s="4">
        <f>SUM(DINAMICS1!D24:F24)</f>
        <v>4</v>
      </c>
      <c r="O17" s="4">
        <f t="shared" si="5"/>
        <v>0</v>
      </c>
    </row>
    <row r="18" spans="7:15" x14ac:dyDescent="0.25">
      <c r="G18" s="110">
        <v>7</v>
      </c>
      <c r="H18" s="114" t="str">
        <f>IF(GETPIVOTDATA("COLABORADOR",DINAMICS1!$A$3,"MÓDULO2","MOD.07","SITUACAO","Oper Maqs Florestais I Grua")&gt;='ESCOPO-VAGAS'!$I$23,"Completo","Incompleto")</f>
        <v>Completo</v>
      </c>
      <c r="I18" s="110">
        <f>GETPIVOTDATA("COLABORADOR",DINAMICS1!$A$3,"MÓDULO2","MOD.07","SITUACAO","Oper Maqs Florestais I Grua")</f>
        <v>10</v>
      </c>
      <c r="J18" s="110">
        <f t="shared" si="3"/>
        <v>2</v>
      </c>
      <c r="K18" s="111"/>
      <c r="L18" s="4">
        <v>7</v>
      </c>
      <c r="M18" s="116" t="str">
        <f t="shared" si="4"/>
        <v>Completo</v>
      </c>
      <c r="N18" s="4">
        <f>SUM(DINAMICS1!D25:F25)</f>
        <v>4</v>
      </c>
      <c r="O18" s="4">
        <f t="shared" si="5"/>
        <v>0</v>
      </c>
    </row>
    <row r="19" spans="7:15" x14ac:dyDescent="0.25">
      <c r="G19" s="110">
        <v>8</v>
      </c>
      <c r="H19" s="114" t="str">
        <f>IF(GETPIVOTDATA("COLABORADOR",DINAMICS1!$A$3,"MÓDULO2","MOD.08","SITUACAO","Oper Maqs Florestais I Grua")&gt;='ESCOPO-VAGAS'!$I$23,"Completo","Incompleto")</f>
        <v>Completo</v>
      </c>
      <c r="I19" s="110">
        <f>GETPIVOTDATA("COLABORADOR",DINAMICS1!$A$3,"MÓDULO2","MOD.08","SITUACAO","Oper Maqs Florestais I Grua")</f>
        <v>8</v>
      </c>
      <c r="J19" s="110">
        <f t="shared" si="3"/>
        <v>0</v>
      </c>
      <c r="K19" s="111"/>
      <c r="L19" s="4">
        <v>8</v>
      </c>
      <c r="M19" s="116" t="str">
        <f t="shared" si="4"/>
        <v>Completo</v>
      </c>
      <c r="N19" s="4">
        <f>SUM(DINAMICS1!D26:F26)</f>
        <v>4</v>
      </c>
      <c r="O19" s="4">
        <f t="shared" si="5"/>
        <v>0</v>
      </c>
    </row>
    <row r="20" spans="7:15" x14ac:dyDescent="0.25">
      <c r="G20" s="111"/>
      <c r="H20" s="111"/>
      <c r="I20" s="111"/>
      <c r="J20" s="111"/>
      <c r="K20" s="111"/>
      <c r="L20" s="111"/>
      <c r="M20" s="111"/>
      <c r="N20" s="111"/>
      <c r="O20" s="111"/>
    </row>
    <row r="21" spans="7:15" x14ac:dyDescent="0.25">
      <c r="G21" s="111"/>
      <c r="H21" s="217" t="s">
        <v>330</v>
      </c>
      <c r="I21" s="217"/>
      <c r="J21" s="111"/>
      <c r="K21" s="111"/>
      <c r="L21" s="111"/>
      <c r="M21" s="217" t="s">
        <v>330</v>
      </c>
      <c r="N21" s="217"/>
      <c r="O21" s="111"/>
    </row>
    <row r="22" spans="7:15" x14ac:dyDescent="0.25">
      <c r="G22" s="111"/>
      <c r="H22" s="112" t="s">
        <v>421</v>
      </c>
      <c r="I22" s="112">
        <v>7</v>
      </c>
      <c r="J22" s="111"/>
      <c r="K22" s="111"/>
      <c r="L22" s="111"/>
      <c r="M22" s="112" t="s">
        <v>423</v>
      </c>
      <c r="N22" s="112">
        <v>4</v>
      </c>
      <c r="O22" s="111"/>
    </row>
    <row r="23" spans="7:15" x14ac:dyDescent="0.25">
      <c r="G23" s="111"/>
      <c r="H23" s="112" t="s">
        <v>422</v>
      </c>
      <c r="I23" s="112">
        <v>8</v>
      </c>
      <c r="J23" s="111"/>
      <c r="K23" s="111"/>
      <c r="L23" s="111"/>
      <c r="M23" s="112" t="s">
        <v>396</v>
      </c>
      <c r="N23" s="112">
        <v>3</v>
      </c>
      <c r="O23" s="111"/>
    </row>
    <row r="24" spans="7:15" x14ac:dyDescent="0.25">
      <c r="G24" s="111"/>
      <c r="H24" s="113" t="s">
        <v>428</v>
      </c>
      <c r="I24" s="112">
        <v>15</v>
      </c>
      <c r="J24" s="111"/>
      <c r="K24" s="111"/>
      <c r="L24" s="111"/>
      <c r="M24" s="113" t="s">
        <v>428</v>
      </c>
      <c r="N24" s="112">
        <v>7</v>
      </c>
      <c r="O24" s="111"/>
    </row>
  </sheetData>
  <mergeCells count="5">
    <mergeCell ref="A1:E1"/>
    <mergeCell ref="G1:J1"/>
    <mergeCell ref="L1:O1"/>
    <mergeCell ref="M21:N21"/>
    <mergeCell ref="H21:I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BE8A-15A8-4E2B-B549-327A06C04CE0}">
  <sheetPr codeName="Planilha7"/>
  <dimension ref="A1:H12"/>
  <sheetViews>
    <sheetView workbookViewId="0">
      <selection activeCell="D18" sqref="D18"/>
    </sheetView>
  </sheetViews>
  <sheetFormatPr defaultRowHeight="15" x14ac:dyDescent="0.25"/>
  <cols>
    <col min="1" max="1" width="12" customWidth="1"/>
    <col min="2" max="2" width="13.7109375" bestFit="1" customWidth="1"/>
    <col min="3" max="3" width="22.140625" bestFit="1" customWidth="1"/>
    <col min="4" max="4" width="33.5703125" bestFit="1" customWidth="1"/>
    <col min="5" max="5" width="34.140625" bestFit="1" customWidth="1"/>
    <col min="6" max="6" width="21.140625" bestFit="1" customWidth="1"/>
    <col min="7" max="7" width="11.42578125" bestFit="1" customWidth="1"/>
  </cols>
  <sheetData>
    <row r="1" spans="1:8" x14ac:dyDescent="0.25">
      <c r="A1" s="150" t="s">
        <v>439</v>
      </c>
      <c r="B1" s="149" t="s">
        <v>440</v>
      </c>
      <c r="C1" s="149" t="s">
        <v>412</v>
      </c>
      <c r="D1" s="149" t="s">
        <v>441</v>
      </c>
      <c r="E1" s="149" t="s">
        <v>442</v>
      </c>
      <c r="F1" s="149" t="s">
        <v>443</v>
      </c>
      <c r="G1" s="149" t="s">
        <v>444</v>
      </c>
      <c r="H1" s="130"/>
    </row>
    <row r="2" spans="1:8" ht="15.75" thickBot="1" x14ac:dyDescent="0.3">
      <c r="A2" s="131" t="s">
        <v>445</v>
      </c>
      <c r="B2" s="132" t="s">
        <v>446</v>
      </c>
      <c r="C2" s="162" t="s">
        <v>19</v>
      </c>
      <c r="D2" s="133" t="s">
        <v>447</v>
      </c>
      <c r="E2" s="163" t="s">
        <v>448</v>
      </c>
      <c r="F2" s="133" t="s">
        <v>449</v>
      </c>
      <c r="G2" s="133">
        <v>24</v>
      </c>
      <c r="H2" s="130"/>
    </row>
    <row r="3" spans="1:8" ht="15.75" thickBot="1" x14ac:dyDescent="0.3">
      <c r="A3" s="131" t="s">
        <v>445</v>
      </c>
      <c r="B3" s="132" t="s">
        <v>446</v>
      </c>
      <c r="C3" s="162" t="s">
        <v>49</v>
      </c>
      <c r="D3" s="133" t="s">
        <v>447</v>
      </c>
      <c r="E3" s="163" t="s">
        <v>450</v>
      </c>
      <c r="F3" s="133" t="s">
        <v>451</v>
      </c>
      <c r="G3" s="133">
        <v>24</v>
      </c>
      <c r="H3" s="130"/>
    </row>
    <row r="4" spans="1:8" ht="15.75" thickBot="1" x14ac:dyDescent="0.3">
      <c r="A4" s="131" t="s">
        <v>445</v>
      </c>
      <c r="B4" s="132" t="s">
        <v>446</v>
      </c>
      <c r="C4" s="162" t="s">
        <v>25</v>
      </c>
      <c r="D4" s="133" t="s">
        <v>447</v>
      </c>
      <c r="E4" s="163" t="s">
        <v>450</v>
      </c>
      <c r="F4" s="133" t="s">
        <v>382</v>
      </c>
      <c r="G4" s="133">
        <v>23</v>
      </c>
      <c r="H4" s="130"/>
    </row>
    <row r="5" spans="1:8" ht="15.75" thickBot="1" x14ac:dyDescent="0.3">
      <c r="A5" s="131" t="s">
        <v>445</v>
      </c>
      <c r="B5" s="132" t="s">
        <v>446</v>
      </c>
      <c r="C5" s="162" t="s">
        <v>21</v>
      </c>
      <c r="D5" s="133" t="s">
        <v>447</v>
      </c>
      <c r="E5" s="163" t="s">
        <v>448</v>
      </c>
      <c r="F5" s="133" t="s">
        <v>452</v>
      </c>
      <c r="G5" s="133">
        <v>22</v>
      </c>
      <c r="H5" s="130"/>
    </row>
    <row r="6" spans="1:8" ht="15.75" thickBot="1" x14ac:dyDescent="0.3">
      <c r="A6" s="131" t="s">
        <v>445</v>
      </c>
      <c r="B6" s="132" t="s">
        <v>446</v>
      </c>
      <c r="C6" s="162" t="s">
        <v>14</v>
      </c>
      <c r="D6" s="133" t="s">
        <v>447</v>
      </c>
      <c r="E6" s="163" t="s">
        <v>453</v>
      </c>
      <c r="F6" s="133" t="s">
        <v>454</v>
      </c>
      <c r="G6" s="133">
        <v>21</v>
      </c>
      <c r="H6" s="130"/>
    </row>
    <row r="7" spans="1:8" ht="15.75" thickBot="1" x14ac:dyDescent="0.3">
      <c r="A7" s="131" t="s">
        <v>445</v>
      </c>
      <c r="B7" s="132" t="s">
        <v>446</v>
      </c>
      <c r="C7" s="162" t="s">
        <v>30</v>
      </c>
      <c r="D7" s="133" t="s">
        <v>447</v>
      </c>
      <c r="E7" s="163" t="s">
        <v>455</v>
      </c>
      <c r="F7" s="133" t="s">
        <v>377</v>
      </c>
      <c r="G7" s="133">
        <v>20</v>
      </c>
      <c r="H7" s="130"/>
    </row>
    <row r="8" spans="1:8" ht="15.75" thickBot="1" x14ac:dyDescent="0.3">
      <c r="A8" s="131" t="s">
        <v>445</v>
      </c>
      <c r="B8" s="132" t="s">
        <v>446</v>
      </c>
      <c r="C8" s="162" t="s">
        <v>35</v>
      </c>
      <c r="D8" s="133" t="s">
        <v>447</v>
      </c>
      <c r="E8" s="163" t="s">
        <v>455</v>
      </c>
      <c r="F8" s="133" t="s">
        <v>380</v>
      </c>
      <c r="G8" s="133">
        <v>23</v>
      </c>
      <c r="H8" s="130"/>
    </row>
    <row r="9" spans="1:8" ht="15.75" thickBot="1" x14ac:dyDescent="0.3">
      <c r="A9" s="131" t="s">
        <v>445</v>
      </c>
      <c r="B9" s="132" t="s">
        <v>446</v>
      </c>
      <c r="C9" s="162" t="s">
        <v>16</v>
      </c>
      <c r="D9" s="133" t="s">
        <v>447</v>
      </c>
      <c r="E9" s="163" t="s">
        <v>453</v>
      </c>
      <c r="F9" s="133" t="s">
        <v>454</v>
      </c>
      <c r="G9" s="133">
        <v>22</v>
      </c>
      <c r="H9" s="130"/>
    </row>
    <row r="10" spans="1:8" ht="15.75" thickBot="1" x14ac:dyDescent="0.3">
      <c r="A10" s="131" t="s">
        <v>445</v>
      </c>
      <c r="B10" s="132" t="s">
        <v>446</v>
      </c>
      <c r="C10" s="162" t="s">
        <v>456</v>
      </c>
      <c r="D10" s="133" t="s">
        <v>431</v>
      </c>
      <c r="E10" s="163" t="s">
        <v>457</v>
      </c>
      <c r="F10" s="133" t="s">
        <v>458</v>
      </c>
      <c r="G10" s="133" t="s">
        <v>459</v>
      </c>
      <c r="H10" s="130"/>
    </row>
    <row r="11" spans="1:8" ht="15.75" thickBot="1" x14ac:dyDescent="0.3">
      <c r="A11" s="131" t="s">
        <v>445</v>
      </c>
      <c r="B11" s="132" t="s">
        <v>446</v>
      </c>
      <c r="C11" s="162" t="s">
        <v>460</v>
      </c>
      <c r="D11" s="133" t="s">
        <v>447</v>
      </c>
      <c r="E11" s="163" t="s">
        <v>448</v>
      </c>
      <c r="F11" s="133" t="s">
        <v>461</v>
      </c>
      <c r="G11" s="133" t="s">
        <v>459</v>
      </c>
      <c r="H11" s="130"/>
    </row>
    <row r="12" spans="1:8" ht="15.75" thickBot="1" x14ac:dyDescent="0.3">
      <c r="A12" s="131" t="s">
        <v>445</v>
      </c>
      <c r="B12" s="132" t="s">
        <v>446</v>
      </c>
      <c r="C12" s="162" t="s">
        <v>462</v>
      </c>
      <c r="D12" s="133" t="s">
        <v>431</v>
      </c>
      <c r="E12" s="163" t="s">
        <v>463</v>
      </c>
      <c r="F12" s="133" t="s">
        <v>464</v>
      </c>
      <c r="G12" s="133" t="s">
        <v>459</v>
      </c>
      <c r="H12" s="13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9365-4ACC-49DC-B365-1F568A7A7367}">
  <sheetPr codeName="Planilha8"/>
  <dimension ref="A1:E11"/>
  <sheetViews>
    <sheetView workbookViewId="0">
      <selection activeCell="C13" sqref="C13"/>
    </sheetView>
  </sheetViews>
  <sheetFormatPr defaultRowHeight="15" x14ac:dyDescent="0.25"/>
  <cols>
    <col min="1" max="1" width="9" bestFit="1" customWidth="1"/>
    <col min="2" max="2" width="25.28515625" bestFit="1" customWidth="1"/>
    <col min="3" max="3" width="26" bestFit="1" customWidth="1"/>
    <col min="4" max="4" width="6.5703125" bestFit="1" customWidth="1"/>
    <col min="5" max="5" width="41.140625" bestFit="1" customWidth="1"/>
  </cols>
  <sheetData>
    <row r="1" spans="1:5" ht="15.75" thickBot="1" x14ac:dyDescent="0.3">
      <c r="A1" s="67">
        <v>37017525</v>
      </c>
      <c r="B1" s="76" t="s">
        <v>278</v>
      </c>
      <c r="C1" s="68" t="s">
        <v>334</v>
      </c>
      <c r="D1" s="68" t="s">
        <v>335</v>
      </c>
      <c r="E1" s="69" t="s">
        <v>336</v>
      </c>
    </row>
    <row r="2" spans="1:5" ht="15.75" thickBot="1" x14ac:dyDescent="0.3">
      <c r="A2" s="70">
        <v>37018016</v>
      </c>
      <c r="B2" s="77" t="s">
        <v>271</v>
      </c>
      <c r="C2" s="71" t="s">
        <v>337</v>
      </c>
      <c r="D2" s="71" t="s">
        <v>335</v>
      </c>
      <c r="E2" s="72" t="s">
        <v>336</v>
      </c>
    </row>
    <row r="3" spans="1:5" ht="15.75" thickBot="1" x14ac:dyDescent="0.3">
      <c r="A3" s="70">
        <v>37018148</v>
      </c>
      <c r="B3" s="77" t="s">
        <v>338</v>
      </c>
      <c r="C3" s="71" t="s">
        <v>337</v>
      </c>
      <c r="D3" s="71" t="s">
        <v>339</v>
      </c>
      <c r="E3" s="72" t="s">
        <v>340</v>
      </c>
    </row>
    <row r="4" spans="1:5" ht="15.75" thickBot="1" x14ac:dyDescent="0.3">
      <c r="A4" s="70">
        <v>37018408</v>
      </c>
      <c r="B4" s="77" t="s">
        <v>341</v>
      </c>
      <c r="C4" s="71" t="s">
        <v>337</v>
      </c>
      <c r="D4" s="71" t="s">
        <v>339</v>
      </c>
      <c r="E4" s="72" t="s">
        <v>340</v>
      </c>
    </row>
    <row r="5" spans="1:5" ht="15.75" thickBot="1" x14ac:dyDescent="0.3">
      <c r="A5" s="70">
        <v>37017084</v>
      </c>
      <c r="B5" s="77" t="s">
        <v>342</v>
      </c>
      <c r="C5" s="71" t="s">
        <v>343</v>
      </c>
      <c r="D5" s="71" t="s">
        <v>344</v>
      </c>
      <c r="E5" s="72" t="s">
        <v>345</v>
      </c>
    </row>
    <row r="6" spans="1:5" ht="15.75" thickBot="1" x14ac:dyDescent="0.3">
      <c r="A6" s="70">
        <v>37017957</v>
      </c>
      <c r="B6" s="77" t="s">
        <v>346</v>
      </c>
      <c r="C6" s="71" t="s">
        <v>343</v>
      </c>
      <c r="D6" s="71" t="s">
        <v>347</v>
      </c>
      <c r="E6" s="72" t="s">
        <v>348</v>
      </c>
    </row>
    <row r="7" spans="1:5" ht="15.75" thickBot="1" x14ac:dyDescent="0.3">
      <c r="A7" s="70">
        <v>37018146</v>
      </c>
      <c r="B7" s="77" t="s">
        <v>349</v>
      </c>
      <c r="C7" s="71" t="s">
        <v>337</v>
      </c>
      <c r="D7" s="71" t="s">
        <v>347</v>
      </c>
      <c r="E7" s="72" t="s">
        <v>348</v>
      </c>
    </row>
    <row r="8" spans="1:5" ht="15.75" thickBot="1" x14ac:dyDescent="0.3">
      <c r="A8" s="70">
        <v>37018150</v>
      </c>
      <c r="B8" s="77" t="s">
        <v>350</v>
      </c>
      <c r="C8" s="71" t="s">
        <v>334</v>
      </c>
      <c r="D8" s="71" t="s">
        <v>347</v>
      </c>
      <c r="E8" s="72" t="s">
        <v>348</v>
      </c>
    </row>
    <row r="9" spans="1:5" ht="15.75" thickBot="1" x14ac:dyDescent="0.3">
      <c r="A9" s="70">
        <v>37018142</v>
      </c>
      <c r="B9" s="77" t="s">
        <v>351</v>
      </c>
      <c r="C9" s="71" t="s">
        <v>337</v>
      </c>
      <c r="D9" s="71" t="s">
        <v>347</v>
      </c>
      <c r="E9" s="72" t="s">
        <v>348</v>
      </c>
    </row>
    <row r="10" spans="1:5" ht="15.75" thickBot="1" x14ac:dyDescent="0.3">
      <c r="A10" s="73">
        <v>37017990</v>
      </c>
      <c r="B10" s="74" t="s">
        <v>279</v>
      </c>
      <c r="C10" s="74" t="s">
        <v>334</v>
      </c>
    </row>
    <row r="11" spans="1:5" x14ac:dyDescent="0.25">
      <c r="A11" s="7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DINAMICS1</vt:lpstr>
      <vt:lpstr>ASSISTENTES E OPERADORES</vt:lpstr>
      <vt:lpstr>Planilha1</vt:lpstr>
      <vt:lpstr>SUPERVISORES E TECNICOS</vt:lpstr>
      <vt:lpstr>APOIO_TRANSPORTE</vt:lpstr>
      <vt:lpstr>ESCOPO-VAGAS</vt:lpstr>
      <vt:lpstr>MAPEAMENTO</vt:lpstr>
      <vt:lpstr>Planilha2</vt:lpstr>
    </vt:vector>
  </TitlesOfParts>
  <Company>BRACELL CELULOSE 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Da Silva Pontes</dc:creator>
  <cp:lastModifiedBy>Ana Laura Da Silva Pontes</cp:lastModifiedBy>
  <cp:lastPrinted>2024-12-19T16:06:16Z</cp:lastPrinted>
  <dcterms:created xsi:type="dcterms:W3CDTF">2024-08-19T12:30:42Z</dcterms:created>
  <dcterms:modified xsi:type="dcterms:W3CDTF">2025-05-16T12:49:38Z</dcterms:modified>
</cp:coreProperties>
</file>